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soes" sheetId="1" r:id="rId5"/>
    <sheet state="visible" name="contas" sheetId="2" r:id="rId6"/>
    <sheet state="visible" name="cartoes" sheetId="3" r:id="rId7"/>
    <sheet state="visible" name="gasto_cartao" sheetId="4" r:id="rId8"/>
    <sheet state="visible" name="despesas_recorrentes" sheetId="5" r:id="rId9"/>
    <sheet state="visible" name="receitas_recorrentes" sheetId="6" r:id="rId10"/>
    <sheet state="visible" name="receitas_pontuais" sheetId="7" r:id="rId11"/>
    <sheet state="visible" name="investimento" sheetId="8" r:id="rId12"/>
    <sheet state="visible" name="saldo" sheetId="9" r:id="rId13"/>
    <sheet state="visible" name="metas" sheetId="10" r:id="rId14"/>
    <sheet state="visible" name="reservas" sheetId="11" r:id="rId15"/>
    <sheet state="visible" name="icons" sheetId="12" r:id="rId16"/>
  </sheets>
  <definedNames>
    <definedName hidden="1" localSheetId="3" name="_xlnm._FilterDatabase">gasto_cartao!$A$1:$Y$42</definedName>
  </definedNames>
  <calcPr/>
</workbook>
</file>

<file path=xl/sharedStrings.xml><?xml version="1.0" encoding="utf-8"?>
<sst xmlns="http://schemas.openxmlformats.org/spreadsheetml/2006/main" count="349" uniqueCount="103">
  <si>
    <t>Despesa</t>
  </si>
  <si>
    <t>Valor</t>
  </si>
  <si>
    <t>Parcelas</t>
  </si>
  <si>
    <t>Valor da Parcela</t>
  </si>
  <si>
    <t>Data Início</t>
  </si>
  <si>
    <t>Data Fim</t>
  </si>
  <si>
    <t>Responsável</t>
  </si>
  <si>
    <t>Emprestimo Dora</t>
  </si>
  <si>
    <t>Ivana</t>
  </si>
  <si>
    <t>Nova etapa do jardim</t>
  </si>
  <si>
    <t>Samuel</t>
  </si>
  <si>
    <t>13o Jaque</t>
  </si>
  <si>
    <t>13o Alexandre</t>
  </si>
  <si>
    <t>Conta</t>
  </si>
  <si>
    <t>Saldo</t>
  </si>
  <si>
    <t>Banco</t>
  </si>
  <si>
    <t>Data</t>
  </si>
  <si>
    <t>Próximo mês</t>
  </si>
  <si>
    <t>chave_ano_mes</t>
  </si>
  <si>
    <t>Logo</t>
  </si>
  <si>
    <t>BTG</t>
  </si>
  <si>
    <t>BB</t>
  </si>
  <si>
    <t>Santander</t>
  </si>
  <si>
    <t>Caixa</t>
  </si>
  <si>
    <t>Revolut</t>
  </si>
  <si>
    <t>Cartão</t>
  </si>
  <si>
    <t>Dia do Vencimento</t>
  </si>
  <si>
    <t>Valor base</t>
  </si>
  <si>
    <t>samuel</t>
  </si>
  <si>
    <t>Elo</t>
  </si>
  <si>
    <t>ivana</t>
  </si>
  <si>
    <t>AA - Santander</t>
  </si>
  <si>
    <t>Unq - Santander</t>
  </si>
  <si>
    <t>Azul - Itau</t>
  </si>
  <si>
    <t>Fatura</t>
  </si>
  <si>
    <t>Prazo</t>
  </si>
  <si>
    <t>Financiamento Caixa</t>
  </si>
  <si>
    <t>Condomínio</t>
  </si>
  <si>
    <t>Telefonia</t>
  </si>
  <si>
    <t>Salário Jackie</t>
  </si>
  <si>
    <t>Nutrição</t>
  </si>
  <si>
    <t>Caesb</t>
  </si>
  <si>
    <t>Neoenergia</t>
  </si>
  <si>
    <t>Natação</t>
  </si>
  <si>
    <t>Ginastica Olimpica</t>
  </si>
  <si>
    <t>Piscineiro</t>
  </si>
  <si>
    <t>Gastos cartão</t>
  </si>
  <si>
    <t>Jardineiro</t>
  </si>
  <si>
    <t>Financiamento Jaque</t>
  </si>
  <si>
    <t>Receita</t>
  </si>
  <si>
    <t>Dia Recebimento</t>
  </si>
  <si>
    <t>Salário Ivana</t>
  </si>
  <si>
    <t>Salário Samuel</t>
  </si>
  <si>
    <t>Investimentos</t>
  </si>
  <si>
    <t>Alimentação Samuel</t>
  </si>
  <si>
    <t>Férias Ivana</t>
  </si>
  <si>
    <t>Férias Samuel</t>
  </si>
  <si>
    <t>13o Ivana</t>
  </si>
  <si>
    <t>13o Samuel</t>
  </si>
  <si>
    <t>Restituição IR</t>
  </si>
  <si>
    <t>local</t>
  </si>
  <si>
    <t>posicao_atual</t>
  </si>
  <si>
    <t>instituicao</t>
  </si>
  <si>
    <t>Fundos de Investimento</t>
  </si>
  <si>
    <t>Renda Fixa</t>
  </si>
  <si>
    <t>Renda Variável</t>
  </si>
  <si>
    <t>Conta investimento BTG</t>
  </si>
  <si>
    <t>Mês</t>
  </si>
  <si>
    <t>Despesas</t>
  </si>
  <si>
    <t>Receitas</t>
  </si>
  <si>
    <t>Saldo corrente</t>
  </si>
  <si>
    <t>Saldo conta</t>
  </si>
  <si>
    <t>Previsões</t>
  </si>
  <si>
    <t>Acumulado Previsões</t>
  </si>
  <si>
    <t>Saldo mensal</t>
  </si>
  <si>
    <t>Aporte metas</t>
  </si>
  <si>
    <t>Saldo mensal aportes</t>
  </si>
  <si>
    <t>Acumulado aporte</t>
  </si>
  <si>
    <t>Saldo total</t>
  </si>
  <si>
    <t>Meta</t>
  </si>
  <si>
    <t>Peso</t>
  </si>
  <si>
    <t>Inicio</t>
  </si>
  <si>
    <t>Data atual</t>
  </si>
  <si>
    <t>Valor atual previa</t>
  </si>
  <si>
    <t>Peso zerado</t>
  </si>
  <si>
    <t>Peso atualizado</t>
  </si>
  <si>
    <t>Valor atual</t>
  </si>
  <si>
    <t>Valor faltante</t>
  </si>
  <si>
    <t>Meses restantes</t>
  </si>
  <si>
    <t>Aporte mensal</t>
  </si>
  <si>
    <t>Meta alcançada</t>
  </si>
  <si>
    <t>Reserva emergência</t>
  </si>
  <si>
    <t>Previdência</t>
  </si>
  <si>
    <t>Viagem para China</t>
  </si>
  <si>
    <t>Carro Samuel</t>
  </si>
  <si>
    <t>https://play-lh.googleusercontent.com/O5Z9jsv79WTfdd37TFPyIwAQjNotIZTTEC6sOXaD3_2IXrMjtOI2ZnqReOicI3TgmqI</t>
  </si>
  <si>
    <t>https://assets.hgbrasil.com/finance/companies/big/santander-br.png</t>
  </si>
  <si>
    <t>https://blogger.googleusercontent.com/img/b/R29vZ2xl/AVvXsEjl4gJnZqQz-Wz4S_mjixZgRnvCTYbIzoYs34k0e5qslitovNsUJbX8owsXEISCuHSFYbZ09JrRBr6sH3QaUm9TltnTRlyFnl9W2TW2T1iIMnB9MKpoMWMpZi0lY0uBU5cSYKi5i2Uy0XQucH0orBc8QCDtkRIkSB6SnaBhBmeB-SeGFVUiKF93/s510/itau%20logo%20novo%201.jpg</t>
  </si>
  <si>
    <t>https://www.publicitarioscriativos.com/wp-content/uploads/2024/05/442415684_844179061088736_7389654490654112245_n.jpg</t>
  </si>
  <si>
    <t>https://encrypted-tbn0.gstatic.com/images?q=tbn:ANd9GcSJysUOK4O3SeA8O0Zzn289tU16vROXFtKvEQ&amp;s</t>
  </si>
  <si>
    <t>Itau</t>
  </si>
  <si>
    <t>https://raichu-uploads.s3.amazonaws.com/logo_caixa-economica-federal_q9tWzt.png</t>
  </si>
  <si>
    <t>https://www.logo.wine/a/logo/Revolut/Revolut-Logo.wine.svg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</si>
</sst>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dd&quot;/&quot;mm&quot;/&quot;yyyy"/>
    <numFmt numFmtId="166" formatCode="m/d/yyyy"/>
    <numFmt numFmtId="167" formatCode="yyyy&quot;-&quot;mm&quot;-&quot;dd"/>
    <numFmt numFmtId="168" formatCode="yyyy-mm-dd"/>
    <numFmt numFmtId="169" formatCode="yyyy&quot;-&quot;mm"/>
    <numFmt numFmtId="170" formatCode="&quot;$&quot;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2" numFmtId="164" xfId="0" applyFont="1" applyNumberFormat="1"/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3" numFmtId="0" xfId="0" applyFont="1"/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  <xf borderId="0" fillId="0" fontId="2" numFmtId="168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9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horizontal="center" readingOrder="0"/>
    </xf>
    <xf borderId="0" fillId="0" fontId="1" numFmtId="169" xfId="0" applyAlignment="1" applyFont="1" applyNumberFormat="1">
      <alignment readingOrder="0"/>
    </xf>
    <xf borderId="0" fillId="0" fontId="2" numFmtId="169" xfId="0" applyFont="1" applyNumberFormat="1"/>
    <xf borderId="0" fillId="0" fontId="2" numFmtId="10" xfId="0" applyFont="1" applyNumberFormat="1"/>
    <xf borderId="0" fillId="0" fontId="2" numFmtId="10" xfId="0" applyAlignment="1" applyFont="1" applyNumberFormat="1">
      <alignment horizontal="center" readingOrder="0"/>
    </xf>
    <xf borderId="0" fillId="0" fontId="2" numFmtId="170" xfId="0" applyAlignment="1" applyFont="1" applyNumberFormat="1">
      <alignment readingOrder="0"/>
    </xf>
    <xf borderId="0" fillId="0" fontId="2" numFmtId="10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l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01" displayName="Table1" name="Table1" id="1">
  <tableColumns count="13">
    <tableColumn name="Mês" id="1"/>
    <tableColumn name="chave_ano_mes" id="2"/>
    <tableColumn name="Despesas" id="3"/>
    <tableColumn name="Receitas" id="4"/>
    <tableColumn name="Saldo corrente" id="5"/>
    <tableColumn name="Saldo conta" id="6"/>
    <tableColumn name="Previsões" id="7"/>
    <tableColumn name="Acumulado Previsões" id="8"/>
    <tableColumn name="Saldo mensal" id="9"/>
    <tableColumn name="Aporte metas" id="10"/>
    <tableColumn name="Saldo mensal aportes" id="11"/>
    <tableColumn name="Acumulado aporte" id="12"/>
    <tableColumn name="Saldo total" id="13"/>
  </tableColumns>
  <tableStyleInfo name="sal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play-lh.googleusercontent.com/O5Z9jsv79WTfdd37TFPyIwAQjNotIZTTEC6sOXaD3_2IXrMjtOI2ZnqReOicI3TgmqI" TargetMode="External"/><Relationship Id="rId2" Type="http://schemas.openxmlformats.org/officeDocument/2006/relationships/hyperlink" Target="https://assets.hgbrasil.com/finance/companies/big/santander-br.png" TargetMode="External"/><Relationship Id="rId3" Type="http://schemas.openxmlformats.org/officeDocument/2006/relationships/hyperlink" Target="https://blogger.googleusercontent.com/img/b/R29vZ2xl/AVvXsEjl4gJnZqQz-Wz4S_mjixZgRnvCTYbIzoYs34k0e5qslitovNsUJbX8owsXEISCuHSFYbZ09JrRBr6sH3QaUm9TltnTRlyFnl9W2TW2T1iIMnB9MKpoMWMpZi0lY0uBU5cSYKi5i2Uy0XQucH0orBc8QCDtkRIkSB6SnaBhBmeB-SeGFVUiKF93/s510/itau%20logo%20novo%201.jpg" TargetMode="External"/><Relationship Id="rId4" Type="http://schemas.openxmlformats.org/officeDocument/2006/relationships/hyperlink" Target="https://assets.hgbrasil.com/finance/companies/big/santander-br.png" TargetMode="External"/><Relationship Id="rId11" Type="http://schemas.openxmlformats.org/officeDocument/2006/relationships/drawing" Target="../drawings/drawing12.xml"/><Relationship Id="rId10" Type="http://schemas.openxmlformats.org/officeDocument/2006/relationships/hyperlink" Target="https://www.logo.wine/a/logo/Revolut/Revolut-Logo.wine.svg" TargetMode="External"/><Relationship Id="rId9" Type="http://schemas.openxmlformats.org/officeDocument/2006/relationships/hyperlink" Target="https://assets.hgbrasil.com/finance/companies/big/santander-br.png" TargetMode="External"/><Relationship Id="rId5" Type="http://schemas.openxmlformats.org/officeDocument/2006/relationships/hyperlink" Target="https://www.publicitarioscriativos.com/wp-content/uploads/2024/05/442415684_844179061088736_7389654490654112245_n.jpg" TargetMode="External"/><Relationship Id="rId6" Type="http://schemas.openxmlformats.org/officeDocument/2006/relationships/hyperlink" Target="https://encrypted-tbn0.gstatic.com/images?q=tbn:ANd9GcSJysUOK4O3SeA8O0Zzn289tU16vROXFtKvEQ&amp;s" TargetMode="External"/><Relationship Id="rId7" Type="http://schemas.openxmlformats.org/officeDocument/2006/relationships/hyperlink" Target="https://blogger.googleusercontent.com/img/b/R29vZ2xl/AVvXsEjl4gJnZqQz-Wz4S_mjixZgRnvCTYbIzoYs34k0e5qslitovNsUJbX8owsXEISCuHSFYbZ09JrRBr6sH3QaUm9TltnTRlyFnl9W2TW2T1iIMnB9MKpoMWMpZi0lY0uBU5cSYKi5i2Uy0XQucH0orBc8QCDtkRIkSB6SnaBhBmeB-SeGFVUiKF93/s510/itau%20logo%20novo%201.jpg" TargetMode="External"/><Relationship Id="rId8" Type="http://schemas.openxmlformats.org/officeDocument/2006/relationships/hyperlink" Target="https://raichu-uploads.s3.amazonaws.com/logo_caixa-economica-federal_q9tWz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6" max="6" width="10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6">
        <v>133592.22</v>
      </c>
      <c r="C2" s="5">
        <v>24.0</v>
      </c>
      <c r="D2" s="7">
        <f t="shared" ref="D2:D4" si="1">IFERROR(B2/C2, "")</f>
        <v>5566.3425</v>
      </c>
      <c r="E2" s="8">
        <v>46235.0</v>
      </c>
      <c r="F2" s="9">
        <f t="shared" ref="F2:F5" si="2">IFERROR(IF(E2&lt;&gt;"", EDATE(E2, C2),""), "")</f>
        <v>46966</v>
      </c>
      <c r="G2" s="5">
        <f t="shared" ref="G2:G3" si="3">IF(F2&lt;&gt;"",DATEDIF(E2,F2,"M"),"")</f>
        <v>24</v>
      </c>
      <c r="H2" s="5" t="s">
        <v>8</v>
      </c>
    </row>
    <row r="3">
      <c r="A3" s="5" t="s">
        <v>9</v>
      </c>
      <c r="B3" s="6">
        <v>10000.0</v>
      </c>
      <c r="C3" s="5">
        <v>3.0</v>
      </c>
      <c r="D3" s="7">
        <f t="shared" si="1"/>
        <v>3333.333333</v>
      </c>
      <c r="E3" s="8">
        <v>46296.0</v>
      </c>
      <c r="F3" s="9">
        <f t="shared" si="2"/>
        <v>46388</v>
      </c>
      <c r="G3" s="5">
        <f t="shared" si="3"/>
        <v>3</v>
      </c>
      <c r="H3" s="5" t="s">
        <v>10</v>
      </c>
    </row>
    <row r="4">
      <c r="A4" s="5" t="s">
        <v>11</v>
      </c>
      <c r="B4" s="6">
        <v>3000.0</v>
      </c>
      <c r="C4" s="5">
        <v>1.0</v>
      </c>
      <c r="D4" s="7">
        <f t="shared" si="1"/>
        <v>3000</v>
      </c>
      <c r="E4" s="8">
        <v>46333.0</v>
      </c>
      <c r="F4" s="9">
        <f t="shared" si="2"/>
        <v>46363</v>
      </c>
      <c r="G4" s="5">
        <v>1.0</v>
      </c>
      <c r="H4" s="5" t="s">
        <v>8</v>
      </c>
    </row>
    <row r="5">
      <c r="A5" s="5" t="s">
        <v>12</v>
      </c>
      <c r="B5" s="6">
        <v>500.0</v>
      </c>
      <c r="C5" s="5">
        <v>1.0</v>
      </c>
      <c r="D5" s="7">
        <v>1000.0</v>
      </c>
      <c r="E5" s="8">
        <v>46357.0</v>
      </c>
      <c r="F5" s="9">
        <f t="shared" si="2"/>
        <v>46388</v>
      </c>
      <c r="G5" s="5">
        <v>1.0</v>
      </c>
      <c r="H5" s="5" t="s">
        <v>10</v>
      </c>
    </row>
    <row r="6">
      <c r="A6" s="5"/>
      <c r="B6" s="6"/>
      <c r="C6" s="5"/>
      <c r="D6" s="7"/>
      <c r="E6" s="8"/>
      <c r="F6" s="9"/>
      <c r="H6" s="5"/>
    </row>
    <row r="7">
      <c r="B7" s="10"/>
      <c r="D7" s="7" t="str">
        <f t="shared" ref="D7:D10" si="4">IFERROR(B7/C7, "")</f>
        <v/>
      </c>
      <c r="E7" s="9"/>
      <c r="F7" s="9"/>
    </row>
    <row r="8">
      <c r="B8" s="10"/>
      <c r="D8" s="7" t="str">
        <f t="shared" si="4"/>
        <v/>
      </c>
      <c r="E8" s="9"/>
      <c r="F8" s="9"/>
    </row>
    <row r="9">
      <c r="B9" s="10"/>
      <c r="D9" s="7" t="str">
        <f t="shared" si="4"/>
        <v/>
      </c>
      <c r="E9" s="9"/>
      <c r="F9" s="9"/>
    </row>
    <row r="10">
      <c r="B10" s="10"/>
      <c r="D10" s="7" t="str">
        <f t="shared" si="4"/>
        <v/>
      </c>
      <c r="E10" s="9"/>
      <c r="F10" s="9"/>
    </row>
    <row r="11">
      <c r="B11" s="10"/>
      <c r="D11" s="11"/>
      <c r="E11" s="9"/>
      <c r="F11" s="9"/>
    </row>
    <row r="12">
      <c r="B12" s="10"/>
      <c r="D12" s="11"/>
      <c r="E12" s="9"/>
      <c r="F12" s="9"/>
    </row>
    <row r="13">
      <c r="B13" s="10"/>
      <c r="D13" s="11"/>
      <c r="E13" s="9"/>
      <c r="F13" s="9"/>
    </row>
    <row r="14">
      <c r="B14" s="10"/>
      <c r="D14" s="11"/>
      <c r="E14" s="9"/>
      <c r="F14" s="9"/>
    </row>
    <row r="15">
      <c r="B15" s="10"/>
      <c r="D15" s="11"/>
      <c r="E15" s="9"/>
      <c r="F15" s="9"/>
    </row>
    <row r="16">
      <c r="B16" s="10"/>
      <c r="D16" s="11"/>
      <c r="E16" s="9"/>
      <c r="F16" s="9"/>
    </row>
    <row r="17">
      <c r="B17" s="10"/>
      <c r="D17" s="11"/>
      <c r="E17" s="9"/>
      <c r="F17" s="9"/>
    </row>
    <row r="18">
      <c r="B18" s="10"/>
      <c r="D18" s="11"/>
      <c r="E18" s="9"/>
      <c r="F18" s="9"/>
    </row>
    <row r="19">
      <c r="B19" s="10"/>
      <c r="D19" s="11"/>
      <c r="E19" s="9"/>
      <c r="F19" s="9"/>
    </row>
    <row r="20">
      <c r="B20" s="10"/>
      <c r="D20" s="11"/>
      <c r="E20" s="9"/>
      <c r="F20" s="9"/>
    </row>
    <row r="21">
      <c r="B21" s="10"/>
      <c r="D21" s="11"/>
      <c r="E21" s="9"/>
      <c r="F21" s="9"/>
    </row>
    <row r="22">
      <c r="B22" s="10"/>
      <c r="D22" s="11"/>
      <c r="E22" s="9"/>
      <c r="F22" s="9"/>
    </row>
    <row r="23">
      <c r="B23" s="10"/>
      <c r="D23" s="11"/>
      <c r="E23" s="9"/>
      <c r="F23" s="9"/>
    </row>
    <row r="24">
      <c r="B24" s="10"/>
      <c r="D24" s="11"/>
      <c r="E24" s="9"/>
      <c r="F24" s="9"/>
    </row>
    <row r="25">
      <c r="B25" s="10"/>
      <c r="D25" s="11"/>
      <c r="E25" s="9"/>
      <c r="F25" s="9"/>
    </row>
    <row r="26">
      <c r="B26" s="10"/>
      <c r="D26" s="11"/>
      <c r="E26" s="9"/>
      <c r="F26" s="9"/>
    </row>
    <row r="27">
      <c r="B27" s="10"/>
      <c r="D27" s="11"/>
      <c r="E27" s="9"/>
      <c r="F27" s="9"/>
    </row>
    <row r="28">
      <c r="B28" s="10"/>
      <c r="D28" s="11"/>
      <c r="E28" s="9"/>
      <c r="F28" s="9"/>
    </row>
    <row r="29">
      <c r="B29" s="10"/>
      <c r="D29" s="11"/>
      <c r="E29" s="9"/>
      <c r="F29" s="9"/>
    </row>
    <row r="30">
      <c r="B30" s="10"/>
      <c r="D30" s="11"/>
      <c r="E30" s="9"/>
      <c r="F30" s="9"/>
    </row>
    <row r="31">
      <c r="B31" s="10"/>
      <c r="D31" s="11"/>
      <c r="E31" s="9"/>
      <c r="F31" s="9"/>
    </row>
    <row r="32">
      <c r="B32" s="10"/>
      <c r="D32" s="11"/>
      <c r="E32" s="9"/>
      <c r="F32" s="9"/>
    </row>
    <row r="33">
      <c r="B33" s="10"/>
      <c r="D33" s="11"/>
      <c r="E33" s="9"/>
      <c r="F33" s="9"/>
    </row>
    <row r="34">
      <c r="B34" s="10"/>
      <c r="D34" s="11"/>
      <c r="E34" s="9"/>
      <c r="F34" s="9"/>
    </row>
    <row r="35">
      <c r="B35" s="10"/>
      <c r="D35" s="11"/>
      <c r="E35" s="9"/>
      <c r="F35" s="9"/>
    </row>
    <row r="36">
      <c r="B36" s="10"/>
      <c r="D36" s="11"/>
      <c r="E36" s="9"/>
      <c r="F36" s="9"/>
    </row>
    <row r="37">
      <c r="B37" s="10"/>
      <c r="D37" s="11"/>
      <c r="E37" s="9"/>
      <c r="F37" s="9"/>
    </row>
    <row r="38">
      <c r="B38" s="10"/>
      <c r="D38" s="11"/>
      <c r="E38" s="9"/>
      <c r="F38" s="9"/>
    </row>
    <row r="39">
      <c r="B39" s="10"/>
      <c r="D39" s="11"/>
      <c r="E39" s="9"/>
      <c r="F39" s="9"/>
    </row>
    <row r="40">
      <c r="B40" s="10"/>
      <c r="D40" s="11"/>
      <c r="E40" s="9"/>
      <c r="F40" s="9"/>
    </row>
    <row r="41">
      <c r="B41" s="10"/>
      <c r="D41" s="11"/>
      <c r="E41" s="9"/>
      <c r="F41" s="9"/>
    </row>
    <row r="42">
      <c r="B42" s="10"/>
      <c r="D42" s="11"/>
      <c r="E42" s="9"/>
      <c r="F42" s="9"/>
    </row>
    <row r="43">
      <c r="B43" s="10"/>
      <c r="D43" s="11"/>
      <c r="E43" s="9"/>
      <c r="F43" s="9"/>
    </row>
    <row r="44">
      <c r="B44" s="10"/>
      <c r="D44" s="11"/>
      <c r="E44" s="9"/>
      <c r="F44" s="9"/>
    </row>
    <row r="45">
      <c r="B45" s="10"/>
      <c r="D45" s="11"/>
      <c r="E45" s="9"/>
      <c r="F45" s="9"/>
    </row>
    <row r="46">
      <c r="B46" s="10"/>
      <c r="D46" s="11"/>
      <c r="E46" s="9"/>
      <c r="F46" s="9"/>
    </row>
    <row r="47">
      <c r="B47" s="10"/>
      <c r="D47" s="11"/>
      <c r="E47" s="9"/>
      <c r="F47" s="9"/>
    </row>
    <row r="48">
      <c r="B48" s="10"/>
      <c r="D48" s="11"/>
      <c r="E48" s="9"/>
      <c r="F48" s="9"/>
    </row>
    <row r="49">
      <c r="B49" s="10"/>
      <c r="D49" s="11"/>
      <c r="E49" s="9"/>
      <c r="F49" s="9"/>
    </row>
    <row r="50">
      <c r="B50" s="10"/>
      <c r="D50" s="11"/>
      <c r="E50" s="9"/>
      <c r="F50" s="9"/>
    </row>
    <row r="51">
      <c r="B51" s="10"/>
      <c r="D51" s="11"/>
      <c r="E51" s="9"/>
      <c r="F51" s="9"/>
    </row>
    <row r="52">
      <c r="B52" s="10"/>
      <c r="D52" s="11"/>
      <c r="E52" s="9"/>
      <c r="F52" s="9"/>
    </row>
    <row r="53">
      <c r="B53" s="10"/>
      <c r="D53" s="11"/>
      <c r="E53" s="9"/>
      <c r="F53" s="9"/>
    </row>
    <row r="54">
      <c r="B54" s="10"/>
      <c r="D54" s="11"/>
      <c r="E54" s="9"/>
      <c r="F54" s="9"/>
    </row>
    <row r="55">
      <c r="B55" s="10"/>
      <c r="D55" s="11"/>
      <c r="E55" s="9"/>
      <c r="F55" s="9"/>
    </row>
    <row r="56">
      <c r="B56" s="10"/>
      <c r="D56" s="11"/>
      <c r="E56" s="9"/>
      <c r="F56" s="9"/>
    </row>
    <row r="57">
      <c r="B57" s="10"/>
      <c r="D57" s="11"/>
      <c r="E57" s="9"/>
      <c r="F57" s="9"/>
    </row>
    <row r="58">
      <c r="B58" s="10"/>
      <c r="D58" s="11"/>
      <c r="E58" s="9"/>
      <c r="F58" s="9"/>
    </row>
    <row r="59">
      <c r="B59" s="10"/>
      <c r="D59" s="11"/>
      <c r="E59" s="9"/>
      <c r="F59" s="9"/>
    </row>
    <row r="60">
      <c r="B60" s="10"/>
      <c r="D60" s="11"/>
      <c r="E60" s="9"/>
      <c r="F60" s="9"/>
    </row>
    <row r="61">
      <c r="B61" s="10"/>
      <c r="D61" s="11"/>
      <c r="E61" s="9"/>
      <c r="F61" s="9"/>
    </row>
    <row r="62">
      <c r="B62" s="10"/>
      <c r="D62" s="11"/>
      <c r="E62" s="9"/>
      <c r="F62" s="9"/>
    </row>
    <row r="63">
      <c r="B63" s="10"/>
      <c r="D63" s="11"/>
      <c r="E63" s="9"/>
      <c r="F63" s="9"/>
    </row>
    <row r="64">
      <c r="B64" s="10"/>
      <c r="D64" s="11"/>
      <c r="E64" s="9"/>
      <c r="F64" s="9"/>
    </row>
    <row r="65">
      <c r="B65" s="10"/>
      <c r="D65" s="11"/>
      <c r="E65" s="9"/>
      <c r="F65" s="9"/>
    </row>
    <row r="66">
      <c r="B66" s="10"/>
      <c r="D66" s="11"/>
      <c r="E66" s="9"/>
      <c r="F66" s="9"/>
    </row>
    <row r="67">
      <c r="B67" s="10"/>
      <c r="D67" s="11"/>
      <c r="E67" s="9"/>
      <c r="F67" s="9"/>
    </row>
    <row r="68">
      <c r="B68" s="10"/>
      <c r="D68" s="11"/>
      <c r="E68" s="9"/>
      <c r="F68" s="9"/>
    </row>
    <row r="69">
      <c r="B69" s="10"/>
      <c r="D69" s="11"/>
      <c r="E69" s="9"/>
      <c r="F69" s="9"/>
    </row>
    <row r="70">
      <c r="B70" s="10"/>
      <c r="D70" s="11"/>
      <c r="E70" s="9"/>
      <c r="F70" s="9"/>
    </row>
    <row r="71">
      <c r="B71" s="10"/>
      <c r="D71" s="11"/>
      <c r="E71" s="9"/>
      <c r="F71" s="9"/>
    </row>
    <row r="72">
      <c r="B72" s="10"/>
      <c r="D72" s="11"/>
      <c r="E72" s="9"/>
      <c r="F72" s="9"/>
    </row>
    <row r="73">
      <c r="B73" s="10"/>
      <c r="D73" s="11"/>
      <c r="E73" s="9"/>
      <c r="F73" s="9"/>
    </row>
    <row r="74">
      <c r="B74" s="10"/>
      <c r="D74" s="11"/>
      <c r="E74" s="9"/>
      <c r="F74" s="9"/>
    </row>
    <row r="75">
      <c r="B75" s="10"/>
      <c r="D75" s="11"/>
      <c r="E75" s="9"/>
      <c r="F75" s="9"/>
    </row>
    <row r="76">
      <c r="B76" s="10"/>
      <c r="D76" s="11"/>
      <c r="E76" s="9"/>
      <c r="F76" s="9"/>
    </row>
    <row r="77">
      <c r="B77" s="10"/>
      <c r="D77" s="11"/>
      <c r="E77" s="9"/>
      <c r="F77" s="9"/>
    </row>
    <row r="78">
      <c r="B78" s="10"/>
      <c r="D78" s="11"/>
      <c r="E78" s="9"/>
      <c r="F78" s="9"/>
    </row>
    <row r="79">
      <c r="B79" s="10"/>
      <c r="D79" s="11"/>
      <c r="E79" s="9"/>
      <c r="F79" s="9"/>
    </row>
    <row r="80">
      <c r="B80" s="10"/>
      <c r="D80" s="11"/>
      <c r="E80" s="9"/>
      <c r="F80" s="9"/>
    </row>
    <row r="81">
      <c r="B81" s="10"/>
      <c r="D81" s="11"/>
      <c r="E81" s="9"/>
      <c r="F81" s="9"/>
    </row>
    <row r="82">
      <c r="B82" s="10"/>
      <c r="D82" s="11"/>
      <c r="E82" s="9"/>
      <c r="F82" s="9"/>
    </row>
    <row r="83">
      <c r="B83" s="10"/>
      <c r="D83" s="11"/>
      <c r="E83" s="9"/>
      <c r="F83" s="9"/>
    </row>
    <row r="84">
      <c r="B84" s="10"/>
      <c r="D84" s="11"/>
      <c r="E84" s="9"/>
      <c r="F84" s="9"/>
    </row>
    <row r="85">
      <c r="B85" s="10"/>
      <c r="D85" s="11"/>
      <c r="E85" s="9"/>
      <c r="F85" s="9"/>
    </row>
    <row r="86">
      <c r="B86" s="10"/>
      <c r="D86" s="11"/>
      <c r="E86" s="9"/>
      <c r="F86" s="9"/>
    </row>
    <row r="87">
      <c r="B87" s="10"/>
      <c r="D87" s="11"/>
      <c r="E87" s="9"/>
      <c r="F87" s="9"/>
    </row>
    <row r="88">
      <c r="B88" s="10"/>
      <c r="D88" s="11"/>
      <c r="E88" s="9"/>
      <c r="F88" s="9"/>
    </row>
    <row r="89">
      <c r="B89" s="10"/>
      <c r="D89" s="11"/>
      <c r="E89" s="9"/>
      <c r="F89" s="9"/>
    </row>
    <row r="90">
      <c r="B90" s="10"/>
      <c r="D90" s="11"/>
      <c r="E90" s="9"/>
      <c r="F90" s="9"/>
    </row>
    <row r="91">
      <c r="B91" s="10"/>
      <c r="D91" s="11"/>
      <c r="E91" s="9"/>
      <c r="F91" s="9"/>
    </row>
    <row r="92">
      <c r="B92" s="10"/>
      <c r="D92" s="11"/>
      <c r="E92" s="9"/>
      <c r="F92" s="9"/>
    </row>
    <row r="93">
      <c r="B93" s="10"/>
      <c r="D93" s="11"/>
      <c r="E93" s="9"/>
      <c r="F93" s="9"/>
    </row>
    <row r="94">
      <c r="B94" s="10"/>
      <c r="D94" s="11"/>
      <c r="E94" s="9"/>
      <c r="F94" s="9"/>
    </row>
    <row r="95">
      <c r="B95" s="10"/>
      <c r="D95" s="11"/>
      <c r="E95" s="9"/>
      <c r="F95" s="9"/>
    </row>
    <row r="96">
      <c r="B96" s="10"/>
      <c r="D96" s="11"/>
      <c r="E96" s="9"/>
      <c r="F96" s="9"/>
    </row>
    <row r="97">
      <c r="B97" s="10"/>
      <c r="D97" s="11"/>
      <c r="E97" s="9"/>
      <c r="F97" s="9"/>
    </row>
    <row r="98">
      <c r="B98" s="10"/>
      <c r="D98" s="11"/>
      <c r="E98" s="9"/>
      <c r="F98" s="9"/>
    </row>
    <row r="99">
      <c r="B99" s="10"/>
      <c r="D99" s="11"/>
      <c r="E99" s="9"/>
      <c r="F99" s="9"/>
    </row>
    <row r="100">
      <c r="B100" s="10"/>
      <c r="D100" s="11"/>
      <c r="E100" s="9"/>
      <c r="F100" s="9"/>
    </row>
    <row r="101">
      <c r="B101" s="10"/>
      <c r="D101" s="11"/>
      <c r="E101" s="9"/>
      <c r="F101" s="9"/>
    </row>
    <row r="102">
      <c r="B102" s="10"/>
      <c r="D102" s="11"/>
      <c r="E102" s="9"/>
      <c r="F102" s="9"/>
    </row>
    <row r="103">
      <c r="B103" s="10"/>
      <c r="D103" s="11"/>
      <c r="E103" s="9"/>
      <c r="F103" s="9"/>
    </row>
    <row r="104">
      <c r="B104" s="10"/>
      <c r="D104" s="11"/>
      <c r="E104" s="9"/>
      <c r="F104" s="9"/>
    </row>
    <row r="105">
      <c r="B105" s="10"/>
      <c r="D105" s="11"/>
      <c r="E105" s="9"/>
      <c r="F105" s="9"/>
    </row>
    <row r="106">
      <c r="B106" s="10"/>
      <c r="D106" s="11"/>
      <c r="E106" s="9"/>
      <c r="F106" s="9"/>
    </row>
    <row r="107">
      <c r="B107" s="10"/>
      <c r="D107" s="11"/>
      <c r="E107" s="9"/>
      <c r="F107" s="9"/>
    </row>
    <row r="108">
      <c r="B108" s="10"/>
      <c r="D108" s="11"/>
      <c r="E108" s="9"/>
      <c r="F108" s="9"/>
    </row>
    <row r="109">
      <c r="B109" s="10"/>
      <c r="D109" s="11"/>
      <c r="E109" s="9"/>
      <c r="F109" s="9"/>
    </row>
    <row r="110">
      <c r="B110" s="10"/>
      <c r="D110" s="11"/>
      <c r="E110" s="9"/>
      <c r="F110" s="9"/>
    </row>
    <row r="111">
      <c r="B111" s="10"/>
      <c r="D111" s="11"/>
      <c r="E111" s="9"/>
      <c r="F111" s="9"/>
    </row>
    <row r="112">
      <c r="B112" s="10"/>
      <c r="D112" s="11"/>
      <c r="E112" s="9"/>
      <c r="F112" s="9"/>
    </row>
    <row r="113">
      <c r="B113" s="10"/>
      <c r="D113" s="11"/>
      <c r="E113" s="9"/>
      <c r="F113" s="9"/>
    </row>
    <row r="114">
      <c r="B114" s="10"/>
      <c r="D114" s="11"/>
      <c r="E114" s="9"/>
      <c r="F114" s="9"/>
    </row>
    <row r="115">
      <c r="B115" s="10"/>
      <c r="D115" s="11"/>
      <c r="E115" s="9"/>
      <c r="F115" s="9"/>
    </row>
    <row r="116">
      <c r="B116" s="10"/>
      <c r="D116" s="11"/>
      <c r="E116" s="9"/>
      <c r="F116" s="9"/>
    </row>
    <row r="117">
      <c r="B117" s="10"/>
      <c r="D117" s="11"/>
      <c r="E117" s="9"/>
      <c r="F117" s="9"/>
    </row>
    <row r="118">
      <c r="B118" s="10"/>
      <c r="D118" s="11"/>
      <c r="E118" s="9"/>
      <c r="F118" s="9"/>
    </row>
    <row r="119">
      <c r="B119" s="10"/>
      <c r="D119" s="11"/>
      <c r="E119" s="9"/>
      <c r="F119" s="9"/>
    </row>
    <row r="120">
      <c r="B120" s="10"/>
      <c r="D120" s="11"/>
      <c r="E120" s="9"/>
      <c r="F120" s="9"/>
    </row>
    <row r="121">
      <c r="B121" s="10"/>
      <c r="D121" s="11"/>
      <c r="E121" s="9"/>
      <c r="F121" s="9"/>
    </row>
    <row r="122">
      <c r="B122" s="10"/>
      <c r="D122" s="11"/>
      <c r="E122" s="9"/>
      <c r="F122" s="9"/>
    </row>
    <row r="123">
      <c r="B123" s="10"/>
      <c r="D123" s="11"/>
      <c r="E123" s="9"/>
      <c r="F123" s="9"/>
    </row>
    <row r="124">
      <c r="B124" s="10"/>
      <c r="D124" s="11"/>
      <c r="E124" s="9"/>
      <c r="F124" s="9"/>
    </row>
    <row r="125">
      <c r="B125" s="10"/>
      <c r="D125" s="11"/>
      <c r="E125" s="9"/>
      <c r="F125" s="9"/>
    </row>
    <row r="126">
      <c r="B126" s="10"/>
      <c r="D126" s="11"/>
      <c r="E126" s="9"/>
      <c r="F126" s="9"/>
    </row>
    <row r="127">
      <c r="B127" s="10"/>
      <c r="D127" s="11"/>
      <c r="E127" s="9"/>
      <c r="F127" s="9"/>
    </row>
    <row r="128">
      <c r="B128" s="10"/>
      <c r="D128" s="11"/>
      <c r="E128" s="9"/>
      <c r="F128" s="9"/>
    </row>
    <row r="129">
      <c r="B129" s="10"/>
      <c r="D129" s="11"/>
      <c r="E129" s="9"/>
      <c r="F129" s="9"/>
    </row>
    <row r="130">
      <c r="B130" s="10"/>
      <c r="D130" s="11"/>
      <c r="E130" s="9"/>
      <c r="F130" s="9"/>
    </row>
    <row r="131">
      <c r="B131" s="10"/>
      <c r="D131" s="11"/>
      <c r="E131" s="9"/>
      <c r="F131" s="9"/>
    </row>
    <row r="132">
      <c r="B132" s="10"/>
      <c r="D132" s="11"/>
      <c r="E132" s="9"/>
      <c r="F132" s="9"/>
    </row>
    <row r="133">
      <c r="B133" s="10"/>
      <c r="D133" s="11"/>
      <c r="E133" s="9"/>
      <c r="F133" s="9"/>
    </row>
    <row r="134">
      <c r="B134" s="10"/>
      <c r="D134" s="11"/>
      <c r="E134" s="9"/>
      <c r="F134" s="9"/>
    </row>
    <row r="135">
      <c r="B135" s="10"/>
      <c r="D135" s="11"/>
      <c r="E135" s="9"/>
      <c r="F135" s="9"/>
    </row>
    <row r="136">
      <c r="B136" s="10"/>
      <c r="D136" s="11"/>
      <c r="E136" s="9"/>
      <c r="F136" s="9"/>
    </row>
    <row r="137">
      <c r="B137" s="10"/>
      <c r="D137" s="11"/>
      <c r="E137" s="9"/>
      <c r="F137" s="9"/>
    </row>
    <row r="138">
      <c r="B138" s="10"/>
      <c r="D138" s="11"/>
      <c r="E138" s="9"/>
      <c r="F138" s="9"/>
    </row>
    <row r="139">
      <c r="B139" s="10"/>
      <c r="D139" s="11"/>
      <c r="E139" s="9"/>
      <c r="F139" s="9"/>
    </row>
    <row r="140">
      <c r="B140" s="10"/>
      <c r="D140" s="11"/>
      <c r="E140" s="9"/>
      <c r="F140" s="9"/>
    </row>
    <row r="141">
      <c r="B141" s="10"/>
      <c r="D141" s="11"/>
      <c r="E141" s="9"/>
      <c r="F141" s="9"/>
    </row>
    <row r="142">
      <c r="B142" s="10"/>
      <c r="D142" s="11"/>
      <c r="E142" s="9"/>
      <c r="F142" s="9"/>
    </row>
    <row r="143">
      <c r="B143" s="10"/>
      <c r="D143" s="11"/>
      <c r="E143" s="9"/>
      <c r="F143" s="9"/>
    </row>
    <row r="144">
      <c r="B144" s="10"/>
      <c r="D144" s="11"/>
      <c r="E144" s="9"/>
      <c r="F144" s="9"/>
    </row>
    <row r="145">
      <c r="B145" s="10"/>
      <c r="D145" s="11"/>
      <c r="E145" s="9"/>
      <c r="F145" s="9"/>
    </row>
    <row r="146">
      <c r="B146" s="10"/>
      <c r="D146" s="11"/>
      <c r="E146" s="9"/>
      <c r="F146" s="9"/>
    </row>
    <row r="147">
      <c r="B147" s="10"/>
      <c r="D147" s="11"/>
      <c r="E147" s="9"/>
      <c r="F147" s="9"/>
    </row>
    <row r="148">
      <c r="B148" s="10"/>
      <c r="D148" s="11"/>
      <c r="E148" s="9"/>
      <c r="F148" s="9"/>
    </row>
    <row r="149">
      <c r="B149" s="10"/>
      <c r="D149" s="11"/>
      <c r="E149" s="9"/>
      <c r="F149" s="9"/>
    </row>
    <row r="150">
      <c r="B150" s="10"/>
      <c r="D150" s="11"/>
      <c r="E150" s="9"/>
      <c r="F150" s="9"/>
    </row>
    <row r="151">
      <c r="B151" s="10"/>
      <c r="D151" s="11"/>
      <c r="E151" s="9"/>
      <c r="F151" s="9"/>
    </row>
    <row r="152">
      <c r="B152" s="10"/>
      <c r="D152" s="11"/>
      <c r="E152" s="9"/>
      <c r="F152" s="9"/>
    </row>
    <row r="153">
      <c r="B153" s="10"/>
      <c r="D153" s="11"/>
      <c r="E153" s="9"/>
      <c r="F153" s="9"/>
    </row>
    <row r="154">
      <c r="B154" s="10"/>
      <c r="D154" s="11"/>
      <c r="E154" s="9"/>
      <c r="F154" s="9"/>
    </row>
    <row r="155">
      <c r="B155" s="10"/>
      <c r="D155" s="11"/>
      <c r="E155" s="9"/>
      <c r="F155" s="9"/>
    </row>
    <row r="156">
      <c r="B156" s="10"/>
      <c r="D156" s="11"/>
      <c r="E156" s="9"/>
      <c r="F156" s="9"/>
    </row>
    <row r="157">
      <c r="B157" s="10"/>
      <c r="D157" s="11"/>
      <c r="E157" s="9"/>
      <c r="F157" s="9"/>
    </row>
    <row r="158">
      <c r="B158" s="10"/>
      <c r="D158" s="11"/>
      <c r="E158" s="9"/>
      <c r="F158" s="9"/>
    </row>
    <row r="159">
      <c r="B159" s="10"/>
      <c r="D159" s="11"/>
      <c r="E159" s="9"/>
      <c r="F159" s="9"/>
    </row>
    <row r="160">
      <c r="B160" s="10"/>
      <c r="D160" s="11"/>
      <c r="E160" s="9"/>
      <c r="F160" s="9"/>
    </row>
    <row r="161">
      <c r="B161" s="10"/>
      <c r="D161" s="11"/>
      <c r="E161" s="9"/>
      <c r="F161" s="9"/>
    </row>
    <row r="162">
      <c r="B162" s="10"/>
      <c r="D162" s="11"/>
      <c r="E162" s="9"/>
      <c r="F162" s="9"/>
    </row>
    <row r="163">
      <c r="B163" s="10"/>
      <c r="D163" s="11"/>
      <c r="E163" s="9"/>
      <c r="F163" s="9"/>
    </row>
    <row r="164">
      <c r="B164" s="10"/>
      <c r="D164" s="11"/>
      <c r="E164" s="9"/>
      <c r="F164" s="9"/>
    </row>
    <row r="165">
      <c r="B165" s="10"/>
      <c r="D165" s="11"/>
      <c r="E165" s="9"/>
      <c r="F165" s="9"/>
    </row>
    <row r="166">
      <c r="B166" s="10"/>
      <c r="D166" s="11"/>
      <c r="E166" s="9"/>
      <c r="F166" s="9"/>
    </row>
    <row r="167">
      <c r="B167" s="10"/>
      <c r="D167" s="11"/>
      <c r="E167" s="9"/>
      <c r="F167" s="9"/>
    </row>
    <row r="168">
      <c r="B168" s="10"/>
      <c r="D168" s="11"/>
      <c r="E168" s="9"/>
      <c r="F168" s="9"/>
    </row>
    <row r="169">
      <c r="B169" s="10"/>
      <c r="D169" s="11"/>
      <c r="E169" s="9"/>
      <c r="F169" s="9"/>
    </row>
    <row r="170">
      <c r="B170" s="10"/>
      <c r="D170" s="11"/>
      <c r="E170" s="9"/>
      <c r="F170" s="9"/>
    </row>
    <row r="171">
      <c r="B171" s="10"/>
      <c r="D171" s="11"/>
      <c r="E171" s="9"/>
      <c r="F171" s="9"/>
    </row>
    <row r="172">
      <c r="B172" s="10"/>
      <c r="D172" s="11"/>
      <c r="E172" s="9"/>
      <c r="F172" s="9"/>
    </row>
    <row r="173">
      <c r="B173" s="10"/>
      <c r="D173" s="11"/>
      <c r="E173" s="9"/>
      <c r="F173" s="9"/>
    </row>
    <row r="174">
      <c r="B174" s="10"/>
      <c r="D174" s="11"/>
      <c r="E174" s="9"/>
      <c r="F174" s="9"/>
    </row>
    <row r="175">
      <c r="B175" s="10"/>
      <c r="D175" s="11"/>
      <c r="E175" s="9"/>
      <c r="F175" s="9"/>
    </row>
    <row r="176">
      <c r="B176" s="10"/>
      <c r="D176" s="11"/>
      <c r="E176" s="9"/>
      <c r="F176" s="9"/>
    </row>
    <row r="177">
      <c r="B177" s="10"/>
      <c r="D177" s="11"/>
      <c r="E177" s="9"/>
      <c r="F177" s="9"/>
    </row>
    <row r="178">
      <c r="B178" s="10"/>
      <c r="D178" s="11"/>
      <c r="E178" s="9"/>
      <c r="F178" s="9"/>
    </row>
    <row r="179">
      <c r="B179" s="10"/>
      <c r="D179" s="11"/>
      <c r="E179" s="9"/>
      <c r="F179" s="9"/>
    </row>
    <row r="180">
      <c r="B180" s="10"/>
      <c r="D180" s="11"/>
      <c r="E180" s="9"/>
      <c r="F180" s="9"/>
    </row>
    <row r="181">
      <c r="B181" s="10"/>
      <c r="D181" s="11"/>
      <c r="E181" s="9"/>
      <c r="F181" s="9"/>
    </row>
    <row r="182">
      <c r="B182" s="10"/>
      <c r="D182" s="11"/>
      <c r="E182" s="9"/>
      <c r="F182" s="9"/>
    </row>
    <row r="183">
      <c r="B183" s="10"/>
      <c r="D183" s="11"/>
      <c r="E183" s="9"/>
      <c r="F183" s="9"/>
    </row>
    <row r="184">
      <c r="B184" s="10"/>
      <c r="D184" s="11"/>
      <c r="E184" s="9"/>
      <c r="F184" s="9"/>
    </row>
    <row r="185">
      <c r="B185" s="10"/>
      <c r="D185" s="11"/>
      <c r="E185" s="9"/>
      <c r="F185" s="9"/>
    </row>
    <row r="186">
      <c r="B186" s="10"/>
      <c r="D186" s="11"/>
      <c r="E186" s="9"/>
      <c r="F186" s="9"/>
    </row>
    <row r="187">
      <c r="B187" s="10"/>
      <c r="D187" s="11"/>
      <c r="E187" s="9"/>
      <c r="F187" s="9"/>
    </row>
    <row r="188">
      <c r="B188" s="10"/>
      <c r="D188" s="11"/>
      <c r="E188" s="9"/>
      <c r="F188" s="9"/>
    </row>
    <row r="189">
      <c r="B189" s="10"/>
      <c r="D189" s="11"/>
      <c r="E189" s="9"/>
      <c r="F189" s="9"/>
    </row>
    <row r="190">
      <c r="B190" s="10"/>
      <c r="D190" s="11"/>
      <c r="E190" s="9"/>
      <c r="F190" s="9"/>
    </row>
    <row r="191">
      <c r="B191" s="10"/>
      <c r="D191" s="11"/>
      <c r="E191" s="9"/>
      <c r="F191" s="9"/>
    </row>
    <row r="192">
      <c r="B192" s="10"/>
      <c r="D192" s="11"/>
      <c r="E192" s="9"/>
      <c r="F192" s="9"/>
    </row>
    <row r="193">
      <c r="B193" s="10"/>
      <c r="D193" s="11"/>
      <c r="E193" s="9"/>
      <c r="F193" s="9"/>
    </row>
    <row r="194">
      <c r="B194" s="10"/>
      <c r="D194" s="11"/>
      <c r="E194" s="9"/>
      <c r="F194" s="9"/>
    </row>
    <row r="195">
      <c r="B195" s="10"/>
      <c r="D195" s="11"/>
      <c r="E195" s="9"/>
      <c r="F195" s="9"/>
    </row>
    <row r="196">
      <c r="B196" s="10"/>
      <c r="D196" s="11"/>
      <c r="E196" s="9"/>
      <c r="F196" s="9"/>
    </row>
    <row r="197">
      <c r="B197" s="10"/>
      <c r="D197" s="11"/>
      <c r="E197" s="9"/>
      <c r="F197" s="9"/>
    </row>
    <row r="198">
      <c r="B198" s="10"/>
      <c r="D198" s="11"/>
      <c r="E198" s="9"/>
      <c r="F198" s="9"/>
    </row>
    <row r="199">
      <c r="B199" s="10"/>
      <c r="D199" s="11"/>
      <c r="E199" s="9"/>
      <c r="F199" s="9"/>
    </row>
    <row r="200">
      <c r="B200" s="10"/>
      <c r="D200" s="11"/>
      <c r="E200" s="9"/>
      <c r="F200" s="9"/>
    </row>
    <row r="201">
      <c r="B201" s="10"/>
      <c r="D201" s="11"/>
      <c r="E201" s="9"/>
      <c r="F201" s="9"/>
    </row>
    <row r="202">
      <c r="B202" s="10"/>
      <c r="D202" s="11"/>
      <c r="E202" s="9"/>
      <c r="F202" s="9"/>
    </row>
    <row r="203">
      <c r="B203" s="10"/>
      <c r="D203" s="11"/>
      <c r="E203" s="9"/>
      <c r="F203" s="9"/>
    </row>
    <row r="204">
      <c r="B204" s="10"/>
      <c r="D204" s="11"/>
      <c r="E204" s="9"/>
      <c r="F204" s="9"/>
    </row>
    <row r="205">
      <c r="B205" s="10"/>
      <c r="D205" s="11"/>
      <c r="E205" s="9"/>
      <c r="F205" s="9"/>
    </row>
    <row r="206">
      <c r="B206" s="10"/>
      <c r="D206" s="11"/>
      <c r="E206" s="9"/>
      <c r="F206" s="9"/>
    </row>
    <row r="207">
      <c r="B207" s="10"/>
      <c r="D207" s="11"/>
      <c r="E207" s="9"/>
      <c r="F207" s="9"/>
    </row>
    <row r="208">
      <c r="B208" s="10"/>
      <c r="D208" s="11"/>
      <c r="E208" s="9"/>
      <c r="F208" s="9"/>
    </row>
    <row r="209">
      <c r="B209" s="10"/>
      <c r="D209" s="11"/>
      <c r="E209" s="9"/>
      <c r="F209" s="9"/>
    </row>
    <row r="210">
      <c r="B210" s="10"/>
      <c r="D210" s="11"/>
      <c r="E210" s="9"/>
      <c r="F210" s="9"/>
    </row>
    <row r="211">
      <c r="B211" s="10"/>
      <c r="D211" s="11"/>
      <c r="E211" s="9"/>
      <c r="F211" s="9"/>
    </row>
    <row r="212">
      <c r="B212" s="10"/>
      <c r="D212" s="11"/>
      <c r="E212" s="9"/>
      <c r="F212" s="9"/>
    </row>
    <row r="213">
      <c r="B213" s="10"/>
      <c r="D213" s="11"/>
      <c r="E213" s="9"/>
      <c r="F213" s="9"/>
    </row>
    <row r="214">
      <c r="B214" s="10"/>
      <c r="D214" s="11"/>
      <c r="E214" s="9"/>
      <c r="F214" s="9"/>
    </row>
    <row r="215">
      <c r="B215" s="10"/>
      <c r="D215" s="11"/>
      <c r="E215" s="9"/>
      <c r="F215" s="9"/>
    </row>
    <row r="216">
      <c r="B216" s="10"/>
      <c r="D216" s="11"/>
      <c r="E216" s="9"/>
      <c r="F216" s="9"/>
    </row>
    <row r="217">
      <c r="B217" s="10"/>
      <c r="D217" s="11"/>
      <c r="E217" s="9"/>
      <c r="F217" s="9"/>
    </row>
    <row r="218">
      <c r="B218" s="10"/>
      <c r="D218" s="11"/>
      <c r="E218" s="9"/>
      <c r="F218" s="9"/>
    </row>
    <row r="219">
      <c r="B219" s="10"/>
      <c r="D219" s="11"/>
      <c r="E219" s="9"/>
      <c r="F219" s="9"/>
    </row>
    <row r="220">
      <c r="B220" s="10"/>
      <c r="D220" s="11"/>
      <c r="E220" s="9"/>
      <c r="F220" s="9"/>
    </row>
    <row r="221">
      <c r="B221" s="10"/>
      <c r="D221" s="11"/>
      <c r="E221" s="9"/>
      <c r="F221" s="9"/>
    </row>
    <row r="222">
      <c r="B222" s="10"/>
      <c r="D222" s="11"/>
      <c r="E222" s="9"/>
      <c r="F222" s="9"/>
    </row>
    <row r="223">
      <c r="B223" s="10"/>
      <c r="D223" s="11"/>
      <c r="E223" s="9"/>
      <c r="F223" s="9"/>
    </row>
    <row r="224">
      <c r="B224" s="10"/>
      <c r="D224" s="11"/>
      <c r="E224" s="9"/>
      <c r="F224" s="9"/>
    </row>
    <row r="225">
      <c r="B225" s="10"/>
      <c r="D225" s="11"/>
      <c r="E225" s="9"/>
      <c r="F225" s="9"/>
    </row>
    <row r="226">
      <c r="B226" s="10"/>
      <c r="D226" s="11"/>
      <c r="E226" s="9"/>
      <c r="F226" s="9"/>
    </row>
    <row r="227">
      <c r="B227" s="10"/>
      <c r="D227" s="11"/>
      <c r="E227" s="9"/>
      <c r="F227" s="9"/>
    </row>
    <row r="228">
      <c r="B228" s="10"/>
      <c r="D228" s="11"/>
      <c r="E228" s="9"/>
      <c r="F228" s="9"/>
    </row>
    <row r="229">
      <c r="B229" s="10"/>
      <c r="D229" s="11"/>
      <c r="E229" s="9"/>
      <c r="F229" s="9"/>
    </row>
    <row r="230">
      <c r="B230" s="10"/>
      <c r="D230" s="11"/>
      <c r="E230" s="9"/>
      <c r="F230" s="9"/>
    </row>
    <row r="231">
      <c r="B231" s="10"/>
      <c r="D231" s="11"/>
      <c r="E231" s="9"/>
      <c r="F231" s="9"/>
    </row>
    <row r="232">
      <c r="B232" s="10"/>
      <c r="D232" s="11"/>
      <c r="E232" s="9"/>
      <c r="F232" s="9"/>
    </row>
    <row r="233">
      <c r="B233" s="10"/>
      <c r="D233" s="11"/>
      <c r="E233" s="9"/>
      <c r="F233" s="9"/>
    </row>
    <row r="234">
      <c r="B234" s="10"/>
      <c r="D234" s="11"/>
      <c r="E234" s="9"/>
      <c r="F234" s="9"/>
    </row>
    <row r="235">
      <c r="B235" s="10"/>
      <c r="D235" s="11"/>
      <c r="E235" s="9"/>
      <c r="F235" s="9"/>
    </row>
    <row r="236">
      <c r="B236" s="10"/>
      <c r="D236" s="11"/>
      <c r="E236" s="9"/>
      <c r="F236" s="9"/>
    </row>
    <row r="237">
      <c r="B237" s="10"/>
      <c r="D237" s="11"/>
      <c r="E237" s="9"/>
      <c r="F237" s="9"/>
    </row>
    <row r="238">
      <c r="B238" s="10"/>
      <c r="D238" s="11"/>
      <c r="E238" s="9"/>
      <c r="F238" s="9"/>
    </row>
    <row r="239">
      <c r="B239" s="10"/>
      <c r="D239" s="11"/>
      <c r="E239" s="9"/>
      <c r="F239" s="9"/>
    </row>
    <row r="240">
      <c r="B240" s="10"/>
      <c r="D240" s="11"/>
      <c r="E240" s="9"/>
      <c r="F240" s="9"/>
    </row>
    <row r="241">
      <c r="B241" s="10"/>
      <c r="D241" s="11"/>
      <c r="E241" s="9"/>
      <c r="F241" s="9"/>
    </row>
    <row r="242">
      <c r="B242" s="10"/>
      <c r="D242" s="11"/>
      <c r="E242" s="9"/>
      <c r="F242" s="9"/>
    </row>
    <row r="243">
      <c r="B243" s="10"/>
      <c r="D243" s="11"/>
      <c r="E243" s="9"/>
      <c r="F243" s="9"/>
    </row>
    <row r="244">
      <c r="B244" s="10"/>
      <c r="D244" s="11"/>
      <c r="E244" s="9"/>
      <c r="F244" s="9"/>
    </row>
    <row r="245">
      <c r="B245" s="10"/>
      <c r="D245" s="11"/>
      <c r="E245" s="9"/>
      <c r="F245" s="9"/>
    </row>
    <row r="246">
      <c r="B246" s="10"/>
      <c r="D246" s="11"/>
      <c r="E246" s="9"/>
      <c r="F246" s="9"/>
    </row>
    <row r="247">
      <c r="B247" s="10"/>
      <c r="D247" s="11"/>
      <c r="E247" s="9"/>
      <c r="F247" s="9"/>
    </row>
    <row r="248">
      <c r="B248" s="10"/>
      <c r="D248" s="11"/>
      <c r="E248" s="9"/>
      <c r="F248" s="9"/>
    </row>
    <row r="249">
      <c r="B249" s="10"/>
      <c r="D249" s="11"/>
      <c r="E249" s="9"/>
      <c r="F249" s="9"/>
    </row>
    <row r="250">
      <c r="B250" s="10"/>
      <c r="D250" s="11"/>
      <c r="E250" s="9"/>
      <c r="F250" s="9"/>
    </row>
    <row r="251">
      <c r="B251" s="10"/>
      <c r="D251" s="11"/>
      <c r="E251" s="9"/>
      <c r="F251" s="9"/>
    </row>
    <row r="252">
      <c r="B252" s="10"/>
      <c r="D252" s="11"/>
      <c r="E252" s="9"/>
      <c r="F252" s="9"/>
    </row>
    <row r="253">
      <c r="B253" s="10"/>
      <c r="D253" s="11"/>
      <c r="E253" s="9"/>
      <c r="F253" s="9"/>
    </row>
    <row r="254">
      <c r="B254" s="10"/>
      <c r="D254" s="11"/>
      <c r="E254" s="9"/>
      <c r="F254" s="9"/>
    </row>
    <row r="255">
      <c r="B255" s="10"/>
      <c r="D255" s="11"/>
      <c r="E255" s="9"/>
      <c r="F255" s="9"/>
    </row>
    <row r="256">
      <c r="B256" s="10"/>
      <c r="D256" s="11"/>
      <c r="E256" s="9"/>
      <c r="F256" s="9"/>
    </row>
    <row r="257">
      <c r="B257" s="10"/>
      <c r="D257" s="11"/>
      <c r="E257" s="9"/>
      <c r="F257" s="9"/>
    </row>
    <row r="258">
      <c r="B258" s="10"/>
      <c r="D258" s="11"/>
      <c r="E258" s="9"/>
      <c r="F258" s="9"/>
    </row>
    <row r="259">
      <c r="B259" s="10"/>
      <c r="D259" s="11"/>
      <c r="E259" s="9"/>
      <c r="F259" s="9"/>
    </row>
    <row r="260">
      <c r="B260" s="10"/>
      <c r="D260" s="11"/>
      <c r="E260" s="9"/>
      <c r="F260" s="9"/>
    </row>
    <row r="261">
      <c r="B261" s="10"/>
      <c r="D261" s="11"/>
      <c r="E261" s="9"/>
      <c r="F261" s="9"/>
    </row>
    <row r="262">
      <c r="B262" s="10"/>
      <c r="D262" s="11"/>
      <c r="E262" s="9"/>
      <c r="F262" s="9"/>
    </row>
    <row r="263">
      <c r="B263" s="10"/>
      <c r="D263" s="11"/>
      <c r="E263" s="9"/>
      <c r="F263" s="9"/>
    </row>
    <row r="264">
      <c r="B264" s="10"/>
      <c r="D264" s="11"/>
      <c r="E264" s="9"/>
      <c r="F264" s="9"/>
    </row>
    <row r="265">
      <c r="B265" s="10"/>
      <c r="D265" s="11"/>
      <c r="E265" s="9"/>
      <c r="F265" s="9"/>
    </row>
    <row r="266">
      <c r="B266" s="10"/>
      <c r="D266" s="11"/>
      <c r="E266" s="9"/>
      <c r="F266" s="9"/>
    </row>
    <row r="267">
      <c r="B267" s="10"/>
      <c r="D267" s="11"/>
      <c r="E267" s="9"/>
      <c r="F267" s="9"/>
    </row>
    <row r="268">
      <c r="B268" s="10"/>
      <c r="D268" s="11"/>
      <c r="E268" s="9"/>
      <c r="F268" s="9"/>
    </row>
    <row r="269">
      <c r="B269" s="10"/>
      <c r="D269" s="11"/>
      <c r="E269" s="9"/>
      <c r="F269" s="9"/>
    </row>
    <row r="270">
      <c r="B270" s="10"/>
      <c r="D270" s="11"/>
      <c r="E270" s="9"/>
      <c r="F270" s="9"/>
    </row>
    <row r="271">
      <c r="B271" s="10"/>
      <c r="D271" s="11"/>
      <c r="E271" s="9"/>
      <c r="F271" s="9"/>
    </row>
    <row r="272">
      <c r="B272" s="10"/>
      <c r="D272" s="11"/>
      <c r="E272" s="9"/>
      <c r="F272" s="9"/>
    </row>
    <row r="273">
      <c r="B273" s="10"/>
      <c r="D273" s="11"/>
      <c r="E273" s="9"/>
      <c r="F273" s="9"/>
    </row>
    <row r="274">
      <c r="B274" s="10"/>
      <c r="D274" s="11"/>
      <c r="E274" s="9"/>
      <c r="F274" s="9"/>
    </row>
    <row r="275">
      <c r="B275" s="10"/>
      <c r="D275" s="11"/>
      <c r="E275" s="9"/>
      <c r="F275" s="9"/>
    </row>
    <row r="276">
      <c r="B276" s="10"/>
      <c r="D276" s="11"/>
      <c r="E276" s="9"/>
      <c r="F276" s="9"/>
    </row>
    <row r="277">
      <c r="B277" s="10"/>
      <c r="D277" s="11"/>
      <c r="E277" s="9"/>
      <c r="F277" s="9"/>
    </row>
    <row r="278">
      <c r="B278" s="10"/>
      <c r="D278" s="11"/>
      <c r="E278" s="9"/>
      <c r="F278" s="9"/>
    </row>
    <row r="279">
      <c r="B279" s="10"/>
      <c r="D279" s="11"/>
      <c r="E279" s="9"/>
      <c r="F279" s="9"/>
    </row>
    <row r="280">
      <c r="B280" s="10"/>
      <c r="D280" s="11"/>
      <c r="E280" s="9"/>
      <c r="F280" s="9"/>
    </row>
    <row r="281">
      <c r="B281" s="10"/>
      <c r="D281" s="11"/>
      <c r="E281" s="9"/>
      <c r="F281" s="9"/>
    </row>
    <row r="282">
      <c r="B282" s="10"/>
      <c r="D282" s="11"/>
      <c r="E282" s="9"/>
      <c r="F282" s="9"/>
    </row>
    <row r="283">
      <c r="B283" s="10"/>
      <c r="D283" s="11"/>
      <c r="E283" s="9"/>
      <c r="F283" s="9"/>
    </row>
    <row r="284">
      <c r="B284" s="10"/>
      <c r="D284" s="11"/>
      <c r="E284" s="9"/>
      <c r="F284" s="9"/>
    </row>
    <row r="285">
      <c r="B285" s="10"/>
      <c r="D285" s="11"/>
      <c r="E285" s="9"/>
      <c r="F285" s="9"/>
    </row>
    <row r="286">
      <c r="B286" s="10"/>
      <c r="D286" s="11"/>
      <c r="E286" s="9"/>
      <c r="F286" s="9"/>
    </row>
    <row r="287">
      <c r="B287" s="10"/>
      <c r="D287" s="11"/>
      <c r="E287" s="9"/>
      <c r="F287" s="9"/>
    </row>
    <row r="288">
      <c r="B288" s="10"/>
      <c r="D288" s="11"/>
      <c r="E288" s="9"/>
      <c r="F288" s="9"/>
    </row>
    <row r="289">
      <c r="B289" s="10"/>
      <c r="D289" s="11"/>
      <c r="E289" s="9"/>
      <c r="F289" s="9"/>
    </row>
    <row r="290">
      <c r="B290" s="10"/>
      <c r="D290" s="11"/>
      <c r="E290" s="9"/>
      <c r="F290" s="9"/>
    </row>
    <row r="291">
      <c r="B291" s="10"/>
      <c r="D291" s="11"/>
      <c r="E291" s="9"/>
      <c r="F291" s="9"/>
    </row>
    <row r="292">
      <c r="B292" s="10"/>
      <c r="D292" s="11"/>
      <c r="E292" s="9"/>
      <c r="F292" s="9"/>
    </row>
    <row r="293">
      <c r="B293" s="10"/>
      <c r="D293" s="11"/>
      <c r="E293" s="9"/>
      <c r="F293" s="9"/>
    </row>
    <row r="294">
      <c r="B294" s="10"/>
      <c r="D294" s="11"/>
      <c r="E294" s="9"/>
      <c r="F294" s="9"/>
    </row>
    <row r="295">
      <c r="B295" s="10"/>
      <c r="D295" s="11"/>
      <c r="E295" s="9"/>
      <c r="F295" s="9"/>
    </row>
    <row r="296">
      <c r="B296" s="10"/>
      <c r="D296" s="11"/>
      <c r="E296" s="9"/>
      <c r="F296" s="9"/>
    </row>
    <row r="297">
      <c r="B297" s="10"/>
      <c r="D297" s="11"/>
      <c r="E297" s="9"/>
      <c r="F297" s="9"/>
    </row>
    <row r="298">
      <c r="B298" s="10"/>
      <c r="D298" s="11"/>
      <c r="E298" s="9"/>
      <c r="F298" s="9"/>
    </row>
    <row r="299">
      <c r="B299" s="10"/>
      <c r="D299" s="11"/>
      <c r="E299" s="9"/>
      <c r="F299" s="9"/>
    </row>
    <row r="300">
      <c r="B300" s="10"/>
      <c r="D300" s="11"/>
      <c r="E300" s="9"/>
      <c r="F300" s="9"/>
    </row>
    <row r="301">
      <c r="B301" s="10"/>
      <c r="D301" s="11"/>
      <c r="E301" s="9"/>
      <c r="F301" s="9"/>
    </row>
    <row r="302">
      <c r="B302" s="10"/>
      <c r="D302" s="11"/>
      <c r="E302" s="9"/>
      <c r="F302" s="9"/>
    </row>
    <row r="303">
      <c r="B303" s="10"/>
      <c r="D303" s="11"/>
      <c r="E303" s="9"/>
      <c r="F303" s="9"/>
    </row>
    <row r="304">
      <c r="B304" s="10"/>
      <c r="D304" s="11"/>
      <c r="E304" s="9"/>
      <c r="F304" s="9"/>
    </row>
    <row r="305">
      <c r="B305" s="10"/>
      <c r="D305" s="11"/>
      <c r="E305" s="9"/>
      <c r="F305" s="9"/>
    </row>
    <row r="306">
      <c r="B306" s="10"/>
      <c r="D306" s="11"/>
      <c r="E306" s="9"/>
      <c r="F306" s="9"/>
    </row>
    <row r="307">
      <c r="B307" s="10"/>
      <c r="D307" s="11"/>
      <c r="E307" s="9"/>
      <c r="F307" s="9"/>
    </row>
    <row r="308">
      <c r="B308" s="10"/>
      <c r="D308" s="11"/>
      <c r="E308" s="9"/>
      <c r="F308" s="9"/>
    </row>
    <row r="309">
      <c r="B309" s="10"/>
      <c r="D309" s="11"/>
      <c r="E309" s="9"/>
      <c r="F309" s="9"/>
    </row>
    <row r="310">
      <c r="B310" s="10"/>
      <c r="D310" s="11"/>
      <c r="E310" s="9"/>
      <c r="F310" s="9"/>
    </row>
    <row r="311">
      <c r="B311" s="10"/>
      <c r="D311" s="11"/>
      <c r="E311" s="9"/>
      <c r="F311" s="9"/>
    </row>
    <row r="312">
      <c r="B312" s="10"/>
      <c r="D312" s="11"/>
      <c r="E312" s="9"/>
      <c r="F312" s="9"/>
    </row>
    <row r="313">
      <c r="B313" s="10"/>
      <c r="D313" s="11"/>
      <c r="E313" s="9"/>
      <c r="F313" s="9"/>
    </row>
    <row r="314">
      <c r="B314" s="10"/>
      <c r="D314" s="11"/>
      <c r="E314" s="9"/>
      <c r="F314" s="9"/>
    </row>
    <row r="315">
      <c r="B315" s="10"/>
      <c r="D315" s="11"/>
      <c r="E315" s="9"/>
      <c r="F315" s="9"/>
    </row>
    <row r="316">
      <c r="B316" s="10"/>
      <c r="D316" s="11"/>
      <c r="E316" s="9"/>
      <c r="F316" s="9"/>
    </row>
    <row r="317">
      <c r="B317" s="10"/>
      <c r="D317" s="11"/>
      <c r="E317" s="9"/>
      <c r="F317" s="9"/>
    </row>
    <row r="318">
      <c r="B318" s="10"/>
      <c r="D318" s="11"/>
      <c r="E318" s="9"/>
      <c r="F318" s="9"/>
    </row>
    <row r="319">
      <c r="B319" s="10"/>
      <c r="D319" s="11"/>
      <c r="E319" s="9"/>
      <c r="F319" s="9"/>
    </row>
    <row r="320">
      <c r="B320" s="10"/>
      <c r="D320" s="11"/>
      <c r="E320" s="9"/>
      <c r="F320" s="9"/>
    </row>
    <row r="321">
      <c r="B321" s="10"/>
      <c r="D321" s="11"/>
      <c r="E321" s="9"/>
      <c r="F321" s="9"/>
    </row>
    <row r="322">
      <c r="B322" s="10"/>
      <c r="D322" s="11"/>
      <c r="E322" s="9"/>
      <c r="F322" s="9"/>
    </row>
    <row r="323">
      <c r="B323" s="10"/>
      <c r="D323" s="11"/>
      <c r="E323" s="9"/>
      <c r="F323" s="9"/>
    </row>
    <row r="324">
      <c r="B324" s="10"/>
      <c r="D324" s="11"/>
      <c r="E324" s="9"/>
      <c r="F324" s="9"/>
    </row>
    <row r="325">
      <c r="B325" s="10"/>
      <c r="D325" s="11"/>
      <c r="E325" s="9"/>
      <c r="F325" s="9"/>
    </row>
    <row r="326">
      <c r="B326" s="10"/>
      <c r="D326" s="11"/>
      <c r="E326" s="9"/>
      <c r="F326" s="9"/>
    </row>
    <row r="327">
      <c r="B327" s="10"/>
      <c r="D327" s="11"/>
      <c r="E327" s="9"/>
      <c r="F327" s="9"/>
    </row>
    <row r="328">
      <c r="B328" s="10"/>
      <c r="D328" s="11"/>
      <c r="E328" s="9"/>
      <c r="F328" s="9"/>
    </row>
    <row r="329">
      <c r="B329" s="10"/>
      <c r="D329" s="11"/>
      <c r="E329" s="9"/>
      <c r="F329" s="9"/>
    </row>
    <row r="330">
      <c r="B330" s="10"/>
      <c r="D330" s="11"/>
      <c r="E330" s="9"/>
      <c r="F330" s="9"/>
    </row>
    <row r="331">
      <c r="B331" s="10"/>
      <c r="D331" s="11"/>
      <c r="E331" s="9"/>
      <c r="F331" s="9"/>
    </row>
    <row r="332">
      <c r="B332" s="10"/>
      <c r="D332" s="11"/>
      <c r="E332" s="9"/>
      <c r="F332" s="9"/>
    </row>
    <row r="333">
      <c r="B333" s="10"/>
      <c r="D333" s="11"/>
      <c r="E333" s="9"/>
      <c r="F333" s="9"/>
    </row>
    <row r="334">
      <c r="B334" s="10"/>
      <c r="D334" s="11"/>
      <c r="E334" s="9"/>
      <c r="F334" s="9"/>
    </row>
    <row r="335">
      <c r="B335" s="10"/>
      <c r="D335" s="11"/>
      <c r="E335" s="9"/>
      <c r="F335" s="9"/>
    </row>
    <row r="336">
      <c r="B336" s="10"/>
      <c r="D336" s="11"/>
      <c r="E336" s="9"/>
      <c r="F336" s="9"/>
    </row>
    <row r="337">
      <c r="B337" s="10"/>
      <c r="D337" s="11"/>
      <c r="E337" s="9"/>
      <c r="F337" s="9"/>
    </row>
    <row r="338">
      <c r="B338" s="10"/>
      <c r="D338" s="11"/>
      <c r="E338" s="9"/>
      <c r="F338" s="9"/>
    </row>
    <row r="339">
      <c r="B339" s="10"/>
      <c r="D339" s="11"/>
      <c r="E339" s="9"/>
      <c r="F339" s="9"/>
    </row>
    <row r="340">
      <c r="B340" s="10"/>
      <c r="D340" s="11"/>
      <c r="E340" s="9"/>
      <c r="F340" s="9"/>
    </row>
    <row r="341">
      <c r="B341" s="10"/>
      <c r="D341" s="11"/>
      <c r="E341" s="9"/>
      <c r="F341" s="9"/>
    </row>
    <row r="342">
      <c r="B342" s="10"/>
      <c r="D342" s="11"/>
      <c r="E342" s="9"/>
      <c r="F342" s="9"/>
    </row>
    <row r="343">
      <c r="B343" s="10"/>
      <c r="D343" s="11"/>
      <c r="E343" s="9"/>
      <c r="F343" s="9"/>
    </row>
    <row r="344">
      <c r="B344" s="10"/>
      <c r="D344" s="11"/>
      <c r="E344" s="9"/>
      <c r="F344" s="9"/>
    </row>
    <row r="345">
      <c r="B345" s="10"/>
      <c r="D345" s="11"/>
      <c r="E345" s="9"/>
      <c r="F345" s="9"/>
    </row>
    <row r="346">
      <c r="B346" s="10"/>
      <c r="D346" s="11"/>
      <c r="E346" s="9"/>
      <c r="F346" s="9"/>
    </row>
    <row r="347">
      <c r="B347" s="10"/>
      <c r="D347" s="11"/>
      <c r="E347" s="9"/>
      <c r="F347" s="9"/>
    </row>
    <row r="348">
      <c r="B348" s="10"/>
      <c r="D348" s="11"/>
      <c r="E348" s="9"/>
      <c r="F348" s="9"/>
    </row>
    <row r="349">
      <c r="B349" s="10"/>
      <c r="D349" s="11"/>
      <c r="E349" s="9"/>
      <c r="F349" s="9"/>
    </row>
    <row r="350">
      <c r="B350" s="10"/>
      <c r="D350" s="11"/>
      <c r="E350" s="9"/>
      <c r="F350" s="9"/>
    </row>
    <row r="351">
      <c r="B351" s="10"/>
      <c r="D351" s="11"/>
      <c r="E351" s="9"/>
      <c r="F351" s="9"/>
    </row>
    <row r="352">
      <c r="B352" s="10"/>
      <c r="D352" s="11"/>
      <c r="E352" s="9"/>
      <c r="F352" s="9"/>
    </row>
    <row r="353">
      <c r="B353" s="10"/>
      <c r="D353" s="11"/>
      <c r="E353" s="9"/>
      <c r="F353" s="9"/>
    </row>
    <row r="354">
      <c r="B354" s="10"/>
      <c r="D354" s="11"/>
      <c r="E354" s="9"/>
      <c r="F354" s="9"/>
    </row>
    <row r="355">
      <c r="B355" s="10"/>
      <c r="D355" s="11"/>
      <c r="E355" s="9"/>
      <c r="F355" s="9"/>
    </row>
    <row r="356">
      <c r="B356" s="10"/>
      <c r="D356" s="11"/>
      <c r="E356" s="9"/>
      <c r="F356" s="9"/>
    </row>
    <row r="357">
      <c r="B357" s="10"/>
      <c r="D357" s="11"/>
      <c r="E357" s="9"/>
      <c r="F357" s="9"/>
    </row>
    <row r="358">
      <c r="B358" s="10"/>
      <c r="D358" s="11"/>
      <c r="E358" s="9"/>
      <c r="F358" s="9"/>
    </row>
    <row r="359">
      <c r="B359" s="10"/>
      <c r="D359" s="11"/>
      <c r="E359" s="9"/>
      <c r="F359" s="9"/>
    </row>
    <row r="360">
      <c r="B360" s="10"/>
      <c r="D360" s="11"/>
      <c r="E360" s="9"/>
      <c r="F360" s="9"/>
    </row>
    <row r="361">
      <c r="B361" s="10"/>
      <c r="D361" s="11"/>
      <c r="E361" s="9"/>
      <c r="F361" s="9"/>
    </row>
    <row r="362">
      <c r="B362" s="10"/>
      <c r="D362" s="11"/>
      <c r="E362" s="9"/>
      <c r="F362" s="9"/>
    </row>
    <row r="363">
      <c r="B363" s="10"/>
      <c r="D363" s="11"/>
      <c r="E363" s="9"/>
      <c r="F363" s="9"/>
    </row>
    <row r="364">
      <c r="B364" s="10"/>
      <c r="D364" s="11"/>
      <c r="E364" s="9"/>
      <c r="F364" s="9"/>
    </row>
    <row r="365">
      <c r="B365" s="10"/>
      <c r="D365" s="11"/>
      <c r="E365" s="9"/>
      <c r="F365" s="9"/>
    </row>
    <row r="366">
      <c r="B366" s="10"/>
      <c r="D366" s="11"/>
      <c r="E366" s="9"/>
      <c r="F366" s="9"/>
    </row>
    <row r="367">
      <c r="B367" s="10"/>
      <c r="D367" s="11"/>
      <c r="E367" s="9"/>
      <c r="F367" s="9"/>
    </row>
    <row r="368">
      <c r="B368" s="10"/>
      <c r="D368" s="11"/>
      <c r="E368" s="9"/>
      <c r="F368" s="9"/>
    </row>
    <row r="369">
      <c r="B369" s="10"/>
      <c r="D369" s="11"/>
      <c r="E369" s="9"/>
      <c r="F369" s="9"/>
    </row>
    <row r="370">
      <c r="B370" s="10"/>
      <c r="D370" s="11"/>
      <c r="E370" s="9"/>
      <c r="F370" s="9"/>
    </row>
    <row r="371">
      <c r="B371" s="10"/>
      <c r="D371" s="11"/>
      <c r="E371" s="9"/>
      <c r="F371" s="9"/>
    </row>
    <row r="372">
      <c r="B372" s="10"/>
      <c r="D372" s="11"/>
      <c r="E372" s="9"/>
      <c r="F372" s="9"/>
    </row>
    <row r="373">
      <c r="B373" s="10"/>
      <c r="D373" s="11"/>
      <c r="E373" s="9"/>
      <c r="F373" s="9"/>
    </row>
    <row r="374">
      <c r="B374" s="10"/>
      <c r="D374" s="11"/>
      <c r="E374" s="9"/>
      <c r="F374" s="9"/>
    </row>
    <row r="375">
      <c r="B375" s="10"/>
      <c r="D375" s="11"/>
      <c r="E375" s="9"/>
      <c r="F375" s="9"/>
    </row>
    <row r="376">
      <c r="B376" s="10"/>
      <c r="D376" s="11"/>
      <c r="E376" s="9"/>
      <c r="F376" s="9"/>
    </row>
    <row r="377">
      <c r="B377" s="10"/>
      <c r="D377" s="11"/>
      <c r="E377" s="9"/>
      <c r="F377" s="9"/>
    </row>
    <row r="378">
      <c r="B378" s="10"/>
      <c r="D378" s="11"/>
      <c r="E378" s="9"/>
      <c r="F378" s="9"/>
    </row>
    <row r="379">
      <c r="B379" s="10"/>
      <c r="D379" s="11"/>
      <c r="E379" s="9"/>
      <c r="F379" s="9"/>
    </row>
    <row r="380">
      <c r="B380" s="10"/>
      <c r="D380" s="11"/>
      <c r="E380" s="9"/>
      <c r="F380" s="9"/>
    </row>
    <row r="381">
      <c r="B381" s="10"/>
      <c r="D381" s="11"/>
      <c r="E381" s="9"/>
      <c r="F381" s="9"/>
    </row>
    <row r="382">
      <c r="B382" s="10"/>
      <c r="D382" s="11"/>
      <c r="E382" s="9"/>
      <c r="F382" s="9"/>
    </row>
    <row r="383">
      <c r="B383" s="10"/>
      <c r="D383" s="11"/>
      <c r="E383" s="9"/>
      <c r="F383" s="9"/>
    </row>
    <row r="384">
      <c r="B384" s="10"/>
      <c r="D384" s="11"/>
      <c r="E384" s="9"/>
      <c r="F384" s="9"/>
    </row>
    <row r="385">
      <c r="B385" s="10"/>
      <c r="D385" s="11"/>
      <c r="E385" s="9"/>
      <c r="F385" s="9"/>
    </row>
    <row r="386">
      <c r="B386" s="10"/>
      <c r="D386" s="11"/>
      <c r="E386" s="9"/>
      <c r="F386" s="9"/>
    </row>
    <row r="387">
      <c r="B387" s="10"/>
      <c r="D387" s="11"/>
      <c r="E387" s="9"/>
      <c r="F387" s="9"/>
    </row>
    <row r="388">
      <c r="B388" s="10"/>
      <c r="D388" s="11"/>
      <c r="E388" s="9"/>
      <c r="F388" s="9"/>
    </row>
    <row r="389">
      <c r="B389" s="10"/>
      <c r="D389" s="11"/>
      <c r="E389" s="9"/>
      <c r="F389" s="9"/>
    </row>
    <row r="390">
      <c r="B390" s="10"/>
      <c r="D390" s="11"/>
      <c r="E390" s="9"/>
      <c r="F390" s="9"/>
    </row>
    <row r="391">
      <c r="B391" s="10"/>
      <c r="D391" s="11"/>
      <c r="E391" s="9"/>
      <c r="F391" s="9"/>
    </row>
    <row r="392">
      <c r="B392" s="10"/>
      <c r="D392" s="11"/>
      <c r="E392" s="9"/>
      <c r="F392" s="9"/>
    </row>
    <row r="393">
      <c r="B393" s="10"/>
      <c r="D393" s="11"/>
      <c r="E393" s="9"/>
      <c r="F393" s="9"/>
    </row>
    <row r="394">
      <c r="B394" s="10"/>
      <c r="D394" s="11"/>
      <c r="E394" s="9"/>
      <c r="F394" s="9"/>
    </row>
    <row r="395">
      <c r="B395" s="10"/>
      <c r="D395" s="11"/>
      <c r="E395" s="9"/>
      <c r="F395" s="9"/>
    </row>
    <row r="396">
      <c r="B396" s="10"/>
      <c r="D396" s="11"/>
      <c r="E396" s="9"/>
      <c r="F396" s="9"/>
    </row>
    <row r="397">
      <c r="B397" s="10"/>
      <c r="D397" s="11"/>
      <c r="E397" s="9"/>
      <c r="F397" s="9"/>
    </row>
    <row r="398">
      <c r="B398" s="10"/>
      <c r="D398" s="11"/>
      <c r="E398" s="9"/>
      <c r="F398" s="9"/>
    </row>
    <row r="399">
      <c r="B399" s="10"/>
      <c r="D399" s="11"/>
      <c r="E399" s="9"/>
      <c r="F399" s="9"/>
    </row>
    <row r="400">
      <c r="B400" s="10"/>
      <c r="D400" s="11"/>
      <c r="E400" s="9"/>
      <c r="F400" s="9"/>
    </row>
    <row r="401">
      <c r="B401" s="10"/>
      <c r="D401" s="11"/>
      <c r="E401" s="9"/>
      <c r="F401" s="9"/>
    </row>
    <row r="402">
      <c r="B402" s="10"/>
      <c r="D402" s="11"/>
      <c r="E402" s="9"/>
      <c r="F402" s="9"/>
    </row>
    <row r="403">
      <c r="B403" s="10"/>
      <c r="D403" s="11"/>
      <c r="E403" s="9"/>
      <c r="F403" s="9"/>
    </row>
    <row r="404">
      <c r="B404" s="10"/>
      <c r="D404" s="11"/>
      <c r="E404" s="9"/>
      <c r="F404" s="9"/>
    </row>
    <row r="405">
      <c r="B405" s="10"/>
      <c r="D405" s="11"/>
      <c r="E405" s="9"/>
      <c r="F405" s="9"/>
    </row>
    <row r="406">
      <c r="B406" s="10"/>
      <c r="D406" s="11"/>
      <c r="E406" s="9"/>
      <c r="F406" s="9"/>
    </row>
    <row r="407">
      <c r="B407" s="10"/>
      <c r="D407" s="11"/>
      <c r="E407" s="9"/>
      <c r="F407" s="9"/>
    </row>
    <row r="408">
      <c r="B408" s="10"/>
      <c r="D408" s="11"/>
      <c r="E408" s="9"/>
      <c r="F408" s="9"/>
    </row>
    <row r="409">
      <c r="B409" s="10"/>
      <c r="D409" s="11"/>
      <c r="E409" s="9"/>
      <c r="F409" s="9"/>
    </row>
    <row r="410">
      <c r="B410" s="10"/>
      <c r="D410" s="11"/>
      <c r="E410" s="9"/>
      <c r="F410" s="9"/>
    </row>
    <row r="411">
      <c r="B411" s="10"/>
      <c r="D411" s="11"/>
      <c r="E411" s="9"/>
      <c r="F411" s="9"/>
    </row>
    <row r="412">
      <c r="B412" s="10"/>
      <c r="D412" s="11"/>
      <c r="E412" s="9"/>
      <c r="F412" s="9"/>
    </row>
    <row r="413">
      <c r="B413" s="10"/>
      <c r="D413" s="11"/>
      <c r="E413" s="9"/>
      <c r="F413" s="9"/>
    </row>
    <row r="414">
      <c r="B414" s="10"/>
      <c r="D414" s="11"/>
      <c r="E414" s="9"/>
      <c r="F414" s="9"/>
    </row>
    <row r="415">
      <c r="B415" s="10"/>
      <c r="D415" s="11"/>
      <c r="E415" s="9"/>
      <c r="F415" s="9"/>
    </row>
    <row r="416">
      <c r="B416" s="10"/>
      <c r="D416" s="11"/>
      <c r="E416" s="9"/>
      <c r="F416" s="9"/>
    </row>
    <row r="417">
      <c r="B417" s="10"/>
      <c r="D417" s="11"/>
      <c r="E417" s="9"/>
      <c r="F417" s="9"/>
    </row>
    <row r="418">
      <c r="B418" s="10"/>
      <c r="D418" s="11"/>
      <c r="E418" s="9"/>
      <c r="F418" s="9"/>
    </row>
    <row r="419">
      <c r="B419" s="10"/>
      <c r="D419" s="11"/>
      <c r="E419" s="9"/>
      <c r="F419" s="9"/>
    </row>
    <row r="420">
      <c r="B420" s="10"/>
      <c r="D420" s="11"/>
      <c r="E420" s="9"/>
      <c r="F420" s="9"/>
    </row>
    <row r="421">
      <c r="B421" s="10"/>
      <c r="D421" s="11"/>
      <c r="E421" s="9"/>
      <c r="F421" s="9"/>
    </row>
    <row r="422">
      <c r="B422" s="10"/>
      <c r="D422" s="11"/>
      <c r="E422" s="9"/>
      <c r="F422" s="9"/>
    </row>
    <row r="423">
      <c r="B423" s="10"/>
      <c r="D423" s="11"/>
      <c r="E423" s="9"/>
      <c r="F423" s="9"/>
    </row>
    <row r="424">
      <c r="B424" s="10"/>
      <c r="D424" s="11"/>
      <c r="E424" s="9"/>
      <c r="F424" s="9"/>
    </row>
    <row r="425">
      <c r="B425" s="10"/>
      <c r="D425" s="11"/>
      <c r="E425" s="9"/>
      <c r="F425" s="9"/>
    </row>
    <row r="426">
      <c r="B426" s="10"/>
      <c r="D426" s="11"/>
      <c r="E426" s="9"/>
      <c r="F426" s="9"/>
    </row>
    <row r="427">
      <c r="B427" s="10"/>
      <c r="D427" s="11"/>
      <c r="E427" s="9"/>
      <c r="F427" s="9"/>
    </row>
    <row r="428">
      <c r="B428" s="10"/>
      <c r="D428" s="11"/>
      <c r="E428" s="9"/>
      <c r="F428" s="9"/>
    </row>
    <row r="429">
      <c r="B429" s="10"/>
      <c r="D429" s="11"/>
      <c r="E429" s="9"/>
      <c r="F429" s="9"/>
    </row>
    <row r="430">
      <c r="B430" s="10"/>
      <c r="D430" s="11"/>
      <c r="E430" s="9"/>
      <c r="F430" s="9"/>
    </row>
    <row r="431">
      <c r="B431" s="10"/>
      <c r="D431" s="11"/>
      <c r="E431" s="9"/>
      <c r="F431" s="9"/>
    </row>
    <row r="432">
      <c r="B432" s="10"/>
      <c r="D432" s="11"/>
      <c r="E432" s="9"/>
      <c r="F432" s="9"/>
    </row>
    <row r="433">
      <c r="B433" s="10"/>
      <c r="D433" s="11"/>
      <c r="E433" s="9"/>
      <c r="F433" s="9"/>
    </row>
    <row r="434">
      <c r="B434" s="10"/>
      <c r="D434" s="11"/>
      <c r="E434" s="9"/>
      <c r="F434" s="9"/>
    </row>
    <row r="435">
      <c r="B435" s="10"/>
      <c r="D435" s="11"/>
      <c r="E435" s="9"/>
      <c r="F435" s="9"/>
    </row>
    <row r="436">
      <c r="B436" s="10"/>
      <c r="D436" s="11"/>
      <c r="E436" s="9"/>
      <c r="F436" s="9"/>
    </row>
    <row r="437">
      <c r="B437" s="10"/>
      <c r="D437" s="11"/>
      <c r="E437" s="9"/>
      <c r="F437" s="9"/>
    </row>
    <row r="438">
      <c r="B438" s="10"/>
      <c r="D438" s="11"/>
      <c r="E438" s="9"/>
      <c r="F438" s="9"/>
    </row>
    <row r="439">
      <c r="B439" s="10"/>
      <c r="D439" s="11"/>
      <c r="E439" s="9"/>
      <c r="F439" s="9"/>
    </row>
    <row r="440">
      <c r="B440" s="10"/>
      <c r="D440" s="11"/>
      <c r="E440" s="9"/>
      <c r="F440" s="9"/>
    </row>
    <row r="441">
      <c r="B441" s="10"/>
      <c r="D441" s="11"/>
      <c r="E441" s="9"/>
      <c r="F441" s="9"/>
    </row>
    <row r="442">
      <c r="B442" s="10"/>
      <c r="D442" s="11"/>
      <c r="E442" s="9"/>
      <c r="F442" s="9"/>
    </row>
    <row r="443">
      <c r="B443" s="10"/>
      <c r="D443" s="11"/>
      <c r="E443" s="9"/>
      <c r="F443" s="9"/>
    </row>
    <row r="444">
      <c r="B444" s="10"/>
      <c r="D444" s="11"/>
      <c r="E444" s="9"/>
      <c r="F444" s="9"/>
    </row>
    <row r="445">
      <c r="B445" s="10"/>
      <c r="D445" s="11"/>
      <c r="E445" s="9"/>
      <c r="F445" s="9"/>
    </row>
    <row r="446">
      <c r="B446" s="10"/>
      <c r="D446" s="11"/>
      <c r="E446" s="9"/>
      <c r="F446" s="9"/>
    </row>
    <row r="447">
      <c r="B447" s="10"/>
      <c r="D447" s="11"/>
      <c r="E447" s="9"/>
      <c r="F447" s="9"/>
    </row>
    <row r="448">
      <c r="B448" s="10"/>
      <c r="D448" s="11"/>
      <c r="E448" s="9"/>
      <c r="F448" s="9"/>
    </row>
    <row r="449">
      <c r="B449" s="10"/>
      <c r="D449" s="11"/>
      <c r="E449" s="9"/>
      <c r="F449" s="9"/>
    </row>
    <row r="450">
      <c r="B450" s="10"/>
      <c r="D450" s="11"/>
      <c r="E450" s="9"/>
      <c r="F450" s="9"/>
    </row>
    <row r="451">
      <c r="B451" s="10"/>
      <c r="D451" s="11"/>
      <c r="E451" s="9"/>
      <c r="F451" s="9"/>
    </row>
    <row r="452">
      <c r="B452" s="10"/>
      <c r="D452" s="11"/>
      <c r="E452" s="9"/>
      <c r="F452" s="9"/>
    </row>
    <row r="453">
      <c r="B453" s="10"/>
      <c r="D453" s="11"/>
      <c r="E453" s="9"/>
      <c r="F453" s="9"/>
    </row>
    <row r="454">
      <c r="B454" s="10"/>
      <c r="D454" s="11"/>
      <c r="E454" s="9"/>
      <c r="F454" s="9"/>
    </row>
    <row r="455">
      <c r="B455" s="10"/>
      <c r="D455" s="11"/>
      <c r="E455" s="9"/>
      <c r="F455" s="9"/>
    </row>
    <row r="456">
      <c r="B456" s="10"/>
      <c r="D456" s="11"/>
      <c r="E456" s="9"/>
      <c r="F456" s="9"/>
    </row>
    <row r="457">
      <c r="B457" s="10"/>
      <c r="D457" s="11"/>
      <c r="E457" s="9"/>
      <c r="F457" s="9"/>
    </row>
    <row r="458">
      <c r="B458" s="10"/>
      <c r="D458" s="11"/>
      <c r="E458" s="9"/>
      <c r="F458" s="9"/>
    </row>
    <row r="459">
      <c r="B459" s="10"/>
      <c r="D459" s="11"/>
      <c r="E459" s="9"/>
      <c r="F459" s="9"/>
    </row>
    <row r="460">
      <c r="B460" s="10"/>
      <c r="D460" s="11"/>
      <c r="E460" s="9"/>
      <c r="F460" s="9"/>
    </row>
    <row r="461">
      <c r="B461" s="10"/>
      <c r="D461" s="11"/>
      <c r="E461" s="9"/>
      <c r="F461" s="9"/>
    </row>
    <row r="462">
      <c r="B462" s="10"/>
      <c r="D462" s="11"/>
      <c r="E462" s="9"/>
      <c r="F462" s="9"/>
    </row>
    <row r="463">
      <c r="B463" s="10"/>
      <c r="D463" s="11"/>
      <c r="E463" s="9"/>
      <c r="F463" s="9"/>
    </row>
    <row r="464">
      <c r="B464" s="10"/>
      <c r="D464" s="11"/>
      <c r="E464" s="9"/>
      <c r="F464" s="9"/>
    </row>
    <row r="465">
      <c r="B465" s="10"/>
      <c r="D465" s="11"/>
      <c r="E465" s="9"/>
      <c r="F465" s="9"/>
    </row>
    <row r="466">
      <c r="B466" s="10"/>
      <c r="D466" s="11"/>
      <c r="E466" s="9"/>
      <c r="F466" s="9"/>
    </row>
    <row r="467">
      <c r="B467" s="10"/>
      <c r="D467" s="11"/>
      <c r="E467" s="9"/>
      <c r="F467" s="9"/>
    </row>
    <row r="468">
      <c r="B468" s="10"/>
      <c r="D468" s="11"/>
      <c r="E468" s="9"/>
      <c r="F468" s="9"/>
    </row>
    <row r="469">
      <c r="B469" s="10"/>
      <c r="D469" s="11"/>
      <c r="E469" s="9"/>
      <c r="F469" s="9"/>
    </row>
    <row r="470">
      <c r="B470" s="10"/>
      <c r="D470" s="11"/>
      <c r="E470" s="9"/>
      <c r="F470" s="9"/>
    </row>
    <row r="471">
      <c r="B471" s="10"/>
      <c r="D471" s="11"/>
      <c r="E471" s="9"/>
      <c r="F471" s="9"/>
    </row>
    <row r="472">
      <c r="B472" s="10"/>
      <c r="D472" s="11"/>
      <c r="E472" s="9"/>
      <c r="F472" s="9"/>
    </row>
    <row r="473">
      <c r="B473" s="10"/>
      <c r="D473" s="11"/>
      <c r="E473" s="9"/>
      <c r="F473" s="9"/>
    </row>
    <row r="474">
      <c r="B474" s="10"/>
      <c r="D474" s="11"/>
      <c r="E474" s="9"/>
      <c r="F474" s="9"/>
    </row>
    <row r="475">
      <c r="B475" s="10"/>
      <c r="D475" s="11"/>
      <c r="E475" s="9"/>
      <c r="F475" s="9"/>
    </row>
    <row r="476">
      <c r="B476" s="10"/>
      <c r="D476" s="11"/>
      <c r="E476" s="9"/>
      <c r="F476" s="9"/>
    </row>
    <row r="477">
      <c r="B477" s="10"/>
      <c r="D477" s="11"/>
      <c r="E477" s="9"/>
      <c r="F477" s="9"/>
    </row>
    <row r="478">
      <c r="B478" s="10"/>
      <c r="D478" s="11"/>
      <c r="E478" s="9"/>
      <c r="F478" s="9"/>
    </row>
    <row r="479">
      <c r="B479" s="10"/>
      <c r="D479" s="11"/>
      <c r="E479" s="9"/>
      <c r="F479" s="9"/>
    </row>
    <row r="480">
      <c r="B480" s="10"/>
      <c r="D480" s="11"/>
      <c r="E480" s="9"/>
      <c r="F480" s="9"/>
    </row>
    <row r="481">
      <c r="B481" s="10"/>
      <c r="D481" s="11"/>
      <c r="E481" s="9"/>
      <c r="F481" s="9"/>
    </row>
    <row r="482">
      <c r="B482" s="10"/>
      <c r="D482" s="11"/>
      <c r="E482" s="9"/>
      <c r="F482" s="9"/>
    </row>
    <row r="483">
      <c r="B483" s="10"/>
      <c r="D483" s="11"/>
      <c r="E483" s="9"/>
      <c r="F483" s="9"/>
    </row>
    <row r="484">
      <c r="B484" s="10"/>
      <c r="D484" s="11"/>
      <c r="E484" s="9"/>
      <c r="F484" s="9"/>
    </row>
    <row r="485">
      <c r="B485" s="10"/>
      <c r="D485" s="11"/>
      <c r="E485" s="9"/>
      <c r="F485" s="9"/>
    </row>
    <row r="486">
      <c r="B486" s="10"/>
      <c r="D486" s="11"/>
      <c r="E486" s="9"/>
      <c r="F486" s="9"/>
    </row>
    <row r="487">
      <c r="B487" s="10"/>
      <c r="D487" s="11"/>
      <c r="E487" s="9"/>
      <c r="F487" s="9"/>
    </row>
    <row r="488">
      <c r="B488" s="10"/>
      <c r="D488" s="11"/>
      <c r="E488" s="9"/>
      <c r="F488" s="9"/>
    </row>
    <row r="489">
      <c r="B489" s="10"/>
      <c r="D489" s="11"/>
      <c r="E489" s="9"/>
      <c r="F489" s="9"/>
    </row>
    <row r="490">
      <c r="B490" s="10"/>
      <c r="D490" s="11"/>
      <c r="E490" s="9"/>
      <c r="F490" s="9"/>
    </row>
    <row r="491">
      <c r="B491" s="10"/>
      <c r="D491" s="11"/>
      <c r="E491" s="9"/>
      <c r="F491" s="9"/>
    </row>
    <row r="492">
      <c r="B492" s="10"/>
      <c r="D492" s="11"/>
      <c r="E492" s="9"/>
      <c r="F492" s="9"/>
    </row>
    <row r="493">
      <c r="B493" s="10"/>
      <c r="D493" s="11"/>
      <c r="E493" s="9"/>
      <c r="F493" s="9"/>
    </row>
    <row r="494">
      <c r="B494" s="10"/>
      <c r="D494" s="11"/>
      <c r="E494" s="9"/>
      <c r="F494" s="9"/>
    </row>
    <row r="495">
      <c r="B495" s="10"/>
      <c r="D495" s="11"/>
      <c r="E495" s="9"/>
      <c r="F495" s="9"/>
    </row>
    <row r="496">
      <c r="B496" s="10"/>
      <c r="D496" s="11"/>
      <c r="E496" s="9"/>
      <c r="F496" s="9"/>
    </row>
    <row r="497">
      <c r="B497" s="10"/>
      <c r="D497" s="11"/>
      <c r="E497" s="9"/>
      <c r="F497" s="9"/>
    </row>
    <row r="498">
      <c r="B498" s="10"/>
      <c r="D498" s="11"/>
      <c r="E498" s="9"/>
      <c r="F498" s="9"/>
    </row>
    <row r="499">
      <c r="B499" s="10"/>
      <c r="D499" s="11"/>
      <c r="E499" s="9"/>
      <c r="F499" s="9"/>
    </row>
    <row r="500">
      <c r="B500" s="10"/>
      <c r="D500" s="11"/>
      <c r="E500" s="9"/>
      <c r="F500" s="9"/>
    </row>
    <row r="501">
      <c r="B501" s="10"/>
      <c r="D501" s="11"/>
      <c r="E501" s="9"/>
      <c r="F501" s="9"/>
    </row>
    <row r="502">
      <c r="B502" s="10"/>
      <c r="D502" s="11"/>
      <c r="E502" s="9"/>
      <c r="F502" s="9"/>
    </row>
    <row r="503">
      <c r="B503" s="10"/>
      <c r="D503" s="11"/>
      <c r="E503" s="9"/>
      <c r="F503" s="9"/>
    </row>
    <row r="504">
      <c r="B504" s="10"/>
      <c r="D504" s="11"/>
      <c r="E504" s="9"/>
      <c r="F504" s="9"/>
    </row>
    <row r="505">
      <c r="B505" s="10"/>
      <c r="D505" s="11"/>
      <c r="E505" s="9"/>
      <c r="F505" s="9"/>
    </row>
    <row r="506">
      <c r="B506" s="10"/>
      <c r="D506" s="11"/>
      <c r="E506" s="9"/>
      <c r="F506" s="9"/>
    </row>
    <row r="507">
      <c r="B507" s="10"/>
      <c r="D507" s="11"/>
      <c r="E507" s="9"/>
      <c r="F507" s="9"/>
    </row>
    <row r="508">
      <c r="B508" s="10"/>
      <c r="D508" s="11"/>
      <c r="E508" s="9"/>
      <c r="F508" s="9"/>
    </row>
    <row r="509">
      <c r="B509" s="10"/>
      <c r="D509" s="11"/>
      <c r="E509" s="9"/>
      <c r="F509" s="9"/>
    </row>
    <row r="510">
      <c r="B510" s="10"/>
      <c r="D510" s="11"/>
      <c r="E510" s="9"/>
      <c r="F510" s="9"/>
    </row>
    <row r="511">
      <c r="B511" s="10"/>
      <c r="D511" s="11"/>
      <c r="E511" s="9"/>
      <c r="F511" s="9"/>
    </row>
    <row r="512">
      <c r="B512" s="10"/>
      <c r="D512" s="11"/>
      <c r="E512" s="9"/>
      <c r="F512" s="9"/>
    </row>
    <row r="513">
      <c r="B513" s="10"/>
      <c r="D513" s="11"/>
      <c r="E513" s="9"/>
      <c r="F513" s="9"/>
    </row>
    <row r="514">
      <c r="B514" s="10"/>
      <c r="D514" s="11"/>
      <c r="E514" s="9"/>
      <c r="F514" s="9"/>
    </row>
    <row r="515">
      <c r="B515" s="10"/>
      <c r="D515" s="11"/>
      <c r="E515" s="9"/>
      <c r="F515" s="9"/>
    </row>
    <row r="516">
      <c r="B516" s="10"/>
      <c r="D516" s="11"/>
      <c r="E516" s="9"/>
      <c r="F516" s="9"/>
    </row>
    <row r="517">
      <c r="B517" s="10"/>
      <c r="D517" s="11"/>
      <c r="E517" s="9"/>
      <c r="F517" s="9"/>
    </row>
    <row r="518">
      <c r="B518" s="10"/>
      <c r="D518" s="11"/>
      <c r="E518" s="9"/>
      <c r="F518" s="9"/>
    </row>
    <row r="519">
      <c r="B519" s="10"/>
      <c r="D519" s="11"/>
      <c r="E519" s="9"/>
      <c r="F519" s="9"/>
    </row>
    <row r="520">
      <c r="B520" s="10"/>
      <c r="D520" s="11"/>
      <c r="E520" s="9"/>
      <c r="F520" s="9"/>
    </row>
    <row r="521">
      <c r="B521" s="10"/>
      <c r="D521" s="11"/>
      <c r="E521" s="9"/>
      <c r="F521" s="9"/>
    </row>
    <row r="522">
      <c r="B522" s="10"/>
      <c r="D522" s="11"/>
      <c r="E522" s="9"/>
      <c r="F522" s="9"/>
    </row>
    <row r="523">
      <c r="B523" s="10"/>
      <c r="D523" s="11"/>
      <c r="E523" s="9"/>
      <c r="F523" s="9"/>
    </row>
    <row r="524">
      <c r="B524" s="10"/>
      <c r="D524" s="11"/>
      <c r="E524" s="9"/>
      <c r="F524" s="9"/>
    </row>
    <row r="525">
      <c r="B525" s="10"/>
      <c r="D525" s="11"/>
      <c r="E525" s="9"/>
      <c r="F525" s="9"/>
    </row>
    <row r="526">
      <c r="B526" s="10"/>
      <c r="D526" s="11"/>
      <c r="E526" s="9"/>
      <c r="F526" s="9"/>
    </row>
    <row r="527">
      <c r="B527" s="10"/>
      <c r="D527" s="11"/>
      <c r="E527" s="9"/>
      <c r="F527" s="9"/>
    </row>
    <row r="528">
      <c r="B528" s="10"/>
      <c r="D528" s="11"/>
      <c r="E528" s="9"/>
      <c r="F528" s="9"/>
    </row>
    <row r="529">
      <c r="B529" s="10"/>
      <c r="D529" s="11"/>
      <c r="E529" s="9"/>
      <c r="F529" s="9"/>
    </row>
    <row r="530">
      <c r="B530" s="10"/>
      <c r="D530" s="11"/>
      <c r="E530" s="9"/>
      <c r="F530" s="9"/>
    </row>
    <row r="531">
      <c r="B531" s="10"/>
      <c r="D531" s="11"/>
      <c r="E531" s="9"/>
      <c r="F531" s="9"/>
    </row>
    <row r="532">
      <c r="B532" s="10"/>
      <c r="D532" s="11"/>
      <c r="E532" s="9"/>
      <c r="F532" s="9"/>
    </row>
    <row r="533">
      <c r="B533" s="10"/>
      <c r="D533" s="11"/>
      <c r="E533" s="9"/>
      <c r="F533" s="9"/>
    </row>
    <row r="534">
      <c r="B534" s="10"/>
      <c r="D534" s="11"/>
      <c r="E534" s="9"/>
      <c r="F534" s="9"/>
    </row>
    <row r="535">
      <c r="B535" s="10"/>
      <c r="D535" s="11"/>
      <c r="E535" s="9"/>
      <c r="F535" s="9"/>
    </row>
    <row r="536">
      <c r="B536" s="10"/>
      <c r="D536" s="11"/>
      <c r="E536" s="9"/>
      <c r="F536" s="9"/>
    </row>
    <row r="537">
      <c r="B537" s="10"/>
      <c r="D537" s="11"/>
      <c r="E537" s="9"/>
      <c r="F537" s="9"/>
    </row>
    <row r="538">
      <c r="B538" s="10"/>
      <c r="D538" s="11"/>
      <c r="E538" s="9"/>
      <c r="F538" s="9"/>
    </row>
    <row r="539">
      <c r="B539" s="10"/>
      <c r="D539" s="11"/>
      <c r="E539" s="9"/>
      <c r="F539" s="9"/>
    </row>
    <row r="540">
      <c r="B540" s="10"/>
      <c r="D540" s="11"/>
      <c r="E540" s="9"/>
      <c r="F540" s="9"/>
    </row>
    <row r="541">
      <c r="B541" s="10"/>
      <c r="D541" s="11"/>
      <c r="E541" s="9"/>
      <c r="F541" s="9"/>
    </row>
    <row r="542">
      <c r="B542" s="10"/>
      <c r="D542" s="11"/>
      <c r="E542" s="9"/>
      <c r="F542" s="9"/>
    </row>
    <row r="543">
      <c r="B543" s="10"/>
      <c r="D543" s="11"/>
      <c r="E543" s="9"/>
      <c r="F543" s="9"/>
    </row>
    <row r="544">
      <c r="B544" s="10"/>
      <c r="D544" s="11"/>
      <c r="E544" s="9"/>
      <c r="F544" s="9"/>
    </row>
    <row r="545">
      <c r="B545" s="10"/>
      <c r="D545" s="11"/>
      <c r="E545" s="9"/>
      <c r="F545" s="9"/>
    </row>
    <row r="546">
      <c r="B546" s="10"/>
      <c r="D546" s="11"/>
      <c r="E546" s="9"/>
      <c r="F546" s="9"/>
    </row>
    <row r="547">
      <c r="B547" s="10"/>
      <c r="D547" s="11"/>
      <c r="E547" s="9"/>
      <c r="F547" s="9"/>
    </row>
    <row r="548">
      <c r="B548" s="10"/>
      <c r="D548" s="11"/>
      <c r="E548" s="9"/>
      <c r="F548" s="9"/>
    </row>
    <row r="549">
      <c r="B549" s="10"/>
      <c r="D549" s="11"/>
      <c r="E549" s="9"/>
      <c r="F549" s="9"/>
    </row>
    <row r="550">
      <c r="B550" s="10"/>
      <c r="D550" s="11"/>
      <c r="E550" s="9"/>
      <c r="F550" s="9"/>
    </row>
    <row r="551">
      <c r="B551" s="10"/>
      <c r="D551" s="11"/>
      <c r="E551" s="9"/>
      <c r="F551" s="9"/>
    </row>
    <row r="552">
      <c r="B552" s="10"/>
      <c r="D552" s="11"/>
      <c r="E552" s="9"/>
      <c r="F552" s="9"/>
    </row>
    <row r="553">
      <c r="B553" s="10"/>
      <c r="D553" s="11"/>
      <c r="E553" s="9"/>
      <c r="F553" s="9"/>
    </row>
    <row r="554">
      <c r="B554" s="10"/>
      <c r="D554" s="11"/>
      <c r="E554" s="9"/>
      <c r="F554" s="9"/>
    </row>
    <row r="555">
      <c r="B555" s="10"/>
      <c r="D555" s="11"/>
      <c r="E555" s="9"/>
      <c r="F555" s="9"/>
    </row>
    <row r="556">
      <c r="B556" s="10"/>
      <c r="D556" s="11"/>
      <c r="E556" s="9"/>
      <c r="F556" s="9"/>
    </row>
    <row r="557">
      <c r="B557" s="10"/>
      <c r="D557" s="11"/>
      <c r="E557" s="9"/>
      <c r="F557" s="9"/>
    </row>
    <row r="558">
      <c r="B558" s="10"/>
      <c r="D558" s="11"/>
      <c r="E558" s="9"/>
      <c r="F558" s="9"/>
    </row>
    <row r="559">
      <c r="B559" s="10"/>
      <c r="D559" s="11"/>
      <c r="E559" s="9"/>
      <c r="F559" s="9"/>
    </row>
    <row r="560">
      <c r="B560" s="10"/>
      <c r="D560" s="11"/>
      <c r="E560" s="9"/>
      <c r="F560" s="9"/>
    </row>
    <row r="561">
      <c r="B561" s="10"/>
      <c r="D561" s="11"/>
      <c r="E561" s="9"/>
      <c r="F561" s="9"/>
    </row>
    <row r="562">
      <c r="B562" s="10"/>
      <c r="D562" s="11"/>
      <c r="E562" s="9"/>
      <c r="F562" s="9"/>
    </row>
    <row r="563">
      <c r="B563" s="10"/>
      <c r="D563" s="11"/>
      <c r="E563" s="9"/>
      <c r="F563" s="9"/>
    </row>
    <row r="564">
      <c r="B564" s="10"/>
      <c r="D564" s="11"/>
      <c r="E564" s="9"/>
      <c r="F564" s="9"/>
    </row>
    <row r="565">
      <c r="B565" s="10"/>
      <c r="D565" s="11"/>
      <c r="E565" s="9"/>
      <c r="F565" s="9"/>
    </row>
    <row r="566">
      <c r="B566" s="10"/>
      <c r="D566" s="11"/>
      <c r="E566" s="9"/>
      <c r="F566" s="9"/>
    </row>
    <row r="567">
      <c r="B567" s="10"/>
      <c r="D567" s="11"/>
      <c r="E567" s="9"/>
      <c r="F567" s="9"/>
    </row>
    <row r="568">
      <c r="B568" s="10"/>
      <c r="D568" s="11"/>
      <c r="E568" s="9"/>
      <c r="F568" s="9"/>
    </row>
    <row r="569">
      <c r="B569" s="10"/>
      <c r="D569" s="11"/>
      <c r="E569" s="9"/>
      <c r="F569" s="9"/>
    </row>
    <row r="570">
      <c r="B570" s="10"/>
      <c r="D570" s="11"/>
      <c r="E570" s="9"/>
      <c r="F570" s="9"/>
    </row>
    <row r="571">
      <c r="B571" s="10"/>
      <c r="D571" s="11"/>
      <c r="E571" s="9"/>
      <c r="F571" s="9"/>
    </row>
    <row r="572">
      <c r="B572" s="10"/>
      <c r="D572" s="11"/>
      <c r="E572" s="9"/>
      <c r="F572" s="9"/>
    </row>
    <row r="573">
      <c r="B573" s="10"/>
      <c r="D573" s="11"/>
      <c r="E573" s="9"/>
      <c r="F573" s="9"/>
    </row>
    <row r="574">
      <c r="B574" s="10"/>
      <c r="D574" s="11"/>
      <c r="E574" s="9"/>
      <c r="F574" s="9"/>
    </row>
    <row r="575">
      <c r="B575" s="10"/>
      <c r="D575" s="11"/>
      <c r="E575" s="9"/>
      <c r="F575" s="9"/>
    </row>
    <row r="576">
      <c r="B576" s="10"/>
      <c r="D576" s="11"/>
      <c r="E576" s="9"/>
      <c r="F576" s="9"/>
    </row>
    <row r="577">
      <c r="B577" s="10"/>
      <c r="D577" s="11"/>
      <c r="E577" s="9"/>
      <c r="F577" s="9"/>
    </row>
    <row r="578">
      <c r="B578" s="10"/>
      <c r="D578" s="11"/>
      <c r="E578" s="9"/>
      <c r="F578" s="9"/>
    </row>
    <row r="579">
      <c r="B579" s="10"/>
      <c r="D579" s="11"/>
      <c r="E579" s="9"/>
      <c r="F579" s="9"/>
    </row>
    <row r="580">
      <c r="B580" s="10"/>
      <c r="D580" s="11"/>
      <c r="E580" s="9"/>
      <c r="F580" s="9"/>
    </row>
    <row r="581">
      <c r="B581" s="10"/>
      <c r="D581" s="11"/>
      <c r="E581" s="9"/>
      <c r="F581" s="9"/>
    </row>
    <row r="582">
      <c r="B582" s="10"/>
      <c r="D582" s="11"/>
      <c r="E582" s="9"/>
      <c r="F582" s="9"/>
    </row>
    <row r="583">
      <c r="B583" s="10"/>
      <c r="D583" s="11"/>
      <c r="E583" s="9"/>
      <c r="F583" s="9"/>
    </row>
    <row r="584">
      <c r="B584" s="10"/>
      <c r="D584" s="11"/>
      <c r="E584" s="9"/>
      <c r="F584" s="9"/>
    </row>
    <row r="585">
      <c r="B585" s="10"/>
      <c r="D585" s="11"/>
      <c r="E585" s="9"/>
      <c r="F585" s="9"/>
    </row>
    <row r="586">
      <c r="B586" s="10"/>
      <c r="D586" s="11"/>
      <c r="E586" s="9"/>
      <c r="F586" s="9"/>
    </row>
    <row r="587">
      <c r="B587" s="10"/>
      <c r="D587" s="11"/>
      <c r="E587" s="9"/>
      <c r="F587" s="9"/>
    </row>
    <row r="588">
      <c r="B588" s="10"/>
      <c r="D588" s="11"/>
      <c r="E588" s="9"/>
      <c r="F588" s="9"/>
    </row>
    <row r="589">
      <c r="B589" s="10"/>
      <c r="D589" s="11"/>
      <c r="E589" s="9"/>
      <c r="F589" s="9"/>
    </row>
    <row r="590">
      <c r="B590" s="10"/>
      <c r="D590" s="11"/>
      <c r="E590" s="9"/>
      <c r="F590" s="9"/>
    </row>
    <row r="591">
      <c r="B591" s="10"/>
      <c r="D591" s="11"/>
      <c r="E591" s="9"/>
      <c r="F591" s="9"/>
    </row>
    <row r="592">
      <c r="B592" s="10"/>
      <c r="D592" s="11"/>
      <c r="E592" s="9"/>
      <c r="F592" s="9"/>
    </row>
    <row r="593">
      <c r="B593" s="10"/>
      <c r="D593" s="11"/>
      <c r="E593" s="9"/>
      <c r="F593" s="9"/>
    </row>
    <row r="594">
      <c r="B594" s="10"/>
      <c r="D594" s="11"/>
      <c r="E594" s="9"/>
      <c r="F594" s="9"/>
    </row>
    <row r="595">
      <c r="B595" s="10"/>
      <c r="D595" s="11"/>
      <c r="E595" s="9"/>
      <c r="F595" s="9"/>
    </row>
    <row r="596">
      <c r="B596" s="10"/>
      <c r="D596" s="11"/>
      <c r="E596" s="9"/>
      <c r="F596" s="9"/>
    </row>
    <row r="597">
      <c r="B597" s="10"/>
      <c r="D597" s="11"/>
      <c r="E597" s="9"/>
      <c r="F597" s="9"/>
    </row>
    <row r="598">
      <c r="B598" s="10"/>
      <c r="D598" s="11"/>
      <c r="E598" s="9"/>
      <c r="F598" s="9"/>
    </row>
    <row r="599">
      <c r="B599" s="10"/>
      <c r="D599" s="11"/>
      <c r="E599" s="9"/>
      <c r="F599" s="9"/>
    </row>
    <row r="600">
      <c r="B600" s="10"/>
      <c r="D600" s="11"/>
      <c r="E600" s="9"/>
      <c r="F600" s="9"/>
    </row>
    <row r="601">
      <c r="B601" s="10"/>
      <c r="D601" s="11"/>
      <c r="E601" s="9"/>
      <c r="F601" s="9"/>
    </row>
    <row r="602">
      <c r="B602" s="10"/>
      <c r="D602" s="11"/>
      <c r="E602" s="9"/>
      <c r="F602" s="9"/>
    </row>
    <row r="603">
      <c r="B603" s="10"/>
      <c r="D603" s="11"/>
      <c r="E603" s="9"/>
      <c r="F603" s="9"/>
    </row>
    <row r="604">
      <c r="B604" s="10"/>
      <c r="D604" s="11"/>
      <c r="E604" s="9"/>
      <c r="F604" s="9"/>
    </row>
    <row r="605">
      <c r="B605" s="10"/>
      <c r="D605" s="11"/>
      <c r="E605" s="9"/>
      <c r="F605" s="9"/>
    </row>
    <row r="606">
      <c r="B606" s="10"/>
      <c r="D606" s="11"/>
      <c r="E606" s="9"/>
      <c r="F606" s="9"/>
    </row>
    <row r="607">
      <c r="B607" s="10"/>
      <c r="D607" s="11"/>
      <c r="E607" s="9"/>
      <c r="F607" s="9"/>
    </row>
    <row r="608">
      <c r="B608" s="10"/>
      <c r="D608" s="11"/>
      <c r="E608" s="9"/>
      <c r="F608" s="9"/>
    </row>
    <row r="609">
      <c r="B609" s="10"/>
      <c r="D609" s="11"/>
      <c r="E609" s="9"/>
      <c r="F609" s="9"/>
    </row>
    <row r="610">
      <c r="B610" s="10"/>
      <c r="D610" s="11"/>
      <c r="E610" s="9"/>
      <c r="F610" s="9"/>
    </row>
    <row r="611">
      <c r="B611" s="10"/>
      <c r="D611" s="11"/>
      <c r="E611" s="9"/>
      <c r="F611" s="9"/>
    </row>
    <row r="612">
      <c r="B612" s="10"/>
      <c r="D612" s="11"/>
      <c r="E612" s="9"/>
      <c r="F612" s="9"/>
    </row>
    <row r="613">
      <c r="B613" s="10"/>
      <c r="D613" s="11"/>
      <c r="E613" s="9"/>
      <c r="F613" s="9"/>
    </row>
    <row r="614">
      <c r="B614" s="10"/>
      <c r="D614" s="11"/>
      <c r="E614" s="9"/>
      <c r="F614" s="9"/>
    </row>
    <row r="615">
      <c r="B615" s="10"/>
      <c r="D615" s="11"/>
      <c r="E615" s="9"/>
      <c r="F615" s="9"/>
    </row>
    <row r="616">
      <c r="B616" s="10"/>
      <c r="D616" s="11"/>
      <c r="E616" s="9"/>
      <c r="F616" s="9"/>
    </row>
    <row r="617">
      <c r="B617" s="10"/>
      <c r="D617" s="11"/>
      <c r="E617" s="9"/>
      <c r="F617" s="9"/>
    </row>
    <row r="618">
      <c r="B618" s="10"/>
      <c r="D618" s="11"/>
      <c r="E618" s="9"/>
      <c r="F618" s="9"/>
    </row>
    <row r="619">
      <c r="B619" s="10"/>
      <c r="D619" s="11"/>
      <c r="E619" s="9"/>
      <c r="F619" s="9"/>
    </row>
    <row r="620">
      <c r="B620" s="10"/>
      <c r="D620" s="11"/>
      <c r="E620" s="9"/>
      <c r="F620" s="9"/>
    </row>
    <row r="621">
      <c r="B621" s="10"/>
      <c r="D621" s="11"/>
      <c r="E621" s="9"/>
      <c r="F621" s="9"/>
    </row>
    <row r="622">
      <c r="B622" s="10"/>
      <c r="D622" s="11"/>
      <c r="E622" s="9"/>
      <c r="F622" s="9"/>
    </row>
    <row r="623">
      <c r="B623" s="10"/>
      <c r="D623" s="11"/>
      <c r="E623" s="9"/>
      <c r="F623" s="9"/>
    </row>
    <row r="624">
      <c r="B624" s="10"/>
      <c r="D624" s="11"/>
      <c r="E624" s="9"/>
      <c r="F624" s="9"/>
    </row>
    <row r="625">
      <c r="B625" s="10"/>
      <c r="D625" s="11"/>
      <c r="E625" s="9"/>
      <c r="F625" s="9"/>
    </row>
    <row r="626">
      <c r="B626" s="10"/>
      <c r="D626" s="11"/>
      <c r="E626" s="9"/>
      <c r="F626" s="9"/>
    </row>
    <row r="627">
      <c r="B627" s="10"/>
      <c r="D627" s="11"/>
      <c r="E627" s="9"/>
      <c r="F627" s="9"/>
    </row>
    <row r="628">
      <c r="B628" s="10"/>
      <c r="D628" s="11"/>
      <c r="E628" s="9"/>
      <c r="F628" s="9"/>
    </row>
    <row r="629">
      <c r="B629" s="10"/>
      <c r="D629" s="11"/>
      <c r="E629" s="9"/>
      <c r="F629" s="9"/>
    </row>
    <row r="630">
      <c r="B630" s="10"/>
      <c r="D630" s="11"/>
      <c r="E630" s="9"/>
      <c r="F630" s="9"/>
    </row>
    <row r="631">
      <c r="B631" s="10"/>
      <c r="D631" s="11"/>
      <c r="E631" s="9"/>
      <c r="F631" s="9"/>
    </row>
    <row r="632">
      <c r="B632" s="10"/>
      <c r="D632" s="11"/>
      <c r="E632" s="9"/>
      <c r="F632" s="9"/>
    </row>
    <row r="633">
      <c r="B633" s="10"/>
      <c r="D633" s="11"/>
      <c r="E633" s="9"/>
      <c r="F633" s="9"/>
    </row>
    <row r="634">
      <c r="B634" s="10"/>
      <c r="D634" s="11"/>
      <c r="E634" s="9"/>
      <c r="F634" s="9"/>
    </row>
    <row r="635">
      <c r="B635" s="10"/>
      <c r="D635" s="11"/>
      <c r="E635" s="9"/>
      <c r="F635" s="9"/>
    </row>
    <row r="636">
      <c r="B636" s="10"/>
      <c r="D636" s="11"/>
      <c r="E636" s="9"/>
      <c r="F636" s="9"/>
    </row>
    <row r="637">
      <c r="B637" s="10"/>
      <c r="D637" s="11"/>
      <c r="E637" s="9"/>
      <c r="F637" s="9"/>
    </row>
    <row r="638">
      <c r="B638" s="10"/>
      <c r="D638" s="11"/>
      <c r="E638" s="9"/>
      <c r="F638" s="9"/>
    </row>
    <row r="639">
      <c r="B639" s="10"/>
      <c r="D639" s="11"/>
      <c r="E639" s="9"/>
      <c r="F639" s="9"/>
    </row>
    <row r="640">
      <c r="B640" s="10"/>
      <c r="D640" s="11"/>
      <c r="E640" s="9"/>
      <c r="F640" s="9"/>
    </row>
    <row r="641">
      <c r="B641" s="10"/>
      <c r="D641" s="11"/>
      <c r="E641" s="9"/>
      <c r="F641" s="9"/>
    </row>
    <row r="642">
      <c r="B642" s="10"/>
      <c r="D642" s="11"/>
      <c r="E642" s="9"/>
      <c r="F642" s="9"/>
    </row>
    <row r="643">
      <c r="B643" s="10"/>
      <c r="D643" s="11"/>
      <c r="E643" s="9"/>
      <c r="F643" s="9"/>
    </row>
    <row r="644">
      <c r="B644" s="10"/>
      <c r="D644" s="11"/>
      <c r="E644" s="9"/>
      <c r="F644" s="9"/>
    </row>
    <row r="645">
      <c r="B645" s="10"/>
      <c r="D645" s="11"/>
      <c r="E645" s="9"/>
      <c r="F645" s="9"/>
    </row>
    <row r="646">
      <c r="B646" s="10"/>
      <c r="D646" s="11"/>
      <c r="E646" s="9"/>
      <c r="F646" s="9"/>
    </row>
    <row r="647">
      <c r="B647" s="10"/>
      <c r="D647" s="11"/>
      <c r="E647" s="9"/>
      <c r="F647" s="9"/>
    </row>
    <row r="648">
      <c r="B648" s="10"/>
      <c r="D648" s="11"/>
      <c r="E648" s="9"/>
      <c r="F648" s="9"/>
    </row>
    <row r="649">
      <c r="B649" s="10"/>
      <c r="D649" s="11"/>
      <c r="E649" s="9"/>
      <c r="F649" s="9"/>
    </row>
    <row r="650">
      <c r="B650" s="10"/>
      <c r="D650" s="11"/>
      <c r="E650" s="9"/>
      <c r="F650" s="9"/>
    </row>
    <row r="651">
      <c r="B651" s="10"/>
      <c r="D651" s="11"/>
      <c r="E651" s="9"/>
      <c r="F651" s="9"/>
    </row>
    <row r="652">
      <c r="B652" s="10"/>
      <c r="D652" s="11"/>
      <c r="E652" s="9"/>
      <c r="F652" s="9"/>
    </row>
    <row r="653">
      <c r="B653" s="10"/>
      <c r="D653" s="11"/>
      <c r="E653" s="9"/>
      <c r="F653" s="9"/>
    </row>
    <row r="654">
      <c r="B654" s="10"/>
      <c r="D654" s="11"/>
      <c r="E654" s="9"/>
      <c r="F654" s="9"/>
    </row>
    <row r="655">
      <c r="B655" s="10"/>
      <c r="D655" s="11"/>
      <c r="E655" s="9"/>
      <c r="F655" s="9"/>
    </row>
    <row r="656">
      <c r="B656" s="10"/>
      <c r="D656" s="11"/>
      <c r="E656" s="9"/>
      <c r="F656" s="9"/>
    </row>
    <row r="657">
      <c r="B657" s="10"/>
      <c r="D657" s="11"/>
      <c r="E657" s="9"/>
      <c r="F657" s="9"/>
    </row>
    <row r="658">
      <c r="B658" s="10"/>
      <c r="D658" s="11"/>
      <c r="E658" s="9"/>
      <c r="F658" s="9"/>
    </row>
    <row r="659">
      <c r="B659" s="10"/>
      <c r="D659" s="11"/>
      <c r="E659" s="9"/>
      <c r="F659" s="9"/>
    </row>
    <row r="660">
      <c r="B660" s="10"/>
      <c r="D660" s="11"/>
      <c r="E660" s="9"/>
      <c r="F660" s="9"/>
    </row>
    <row r="661">
      <c r="B661" s="10"/>
      <c r="D661" s="11"/>
      <c r="E661" s="9"/>
      <c r="F661" s="9"/>
    </row>
    <row r="662">
      <c r="B662" s="10"/>
      <c r="D662" s="11"/>
      <c r="E662" s="9"/>
      <c r="F662" s="9"/>
    </row>
    <row r="663">
      <c r="B663" s="10"/>
      <c r="D663" s="11"/>
      <c r="E663" s="9"/>
      <c r="F663" s="9"/>
    </row>
    <row r="664">
      <c r="B664" s="10"/>
      <c r="D664" s="11"/>
      <c r="E664" s="9"/>
      <c r="F664" s="9"/>
    </row>
    <row r="665">
      <c r="B665" s="10"/>
      <c r="D665" s="11"/>
      <c r="E665" s="9"/>
      <c r="F665" s="9"/>
    </row>
    <row r="666">
      <c r="B666" s="10"/>
      <c r="D666" s="11"/>
      <c r="E666" s="9"/>
      <c r="F666" s="9"/>
    </row>
    <row r="667">
      <c r="B667" s="10"/>
      <c r="D667" s="11"/>
      <c r="E667" s="9"/>
      <c r="F667" s="9"/>
    </row>
    <row r="668">
      <c r="B668" s="10"/>
      <c r="D668" s="11"/>
      <c r="E668" s="9"/>
      <c r="F668" s="9"/>
    </row>
    <row r="669">
      <c r="B669" s="10"/>
      <c r="D669" s="11"/>
      <c r="E669" s="9"/>
      <c r="F669" s="9"/>
    </row>
    <row r="670">
      <c r="B670" s="10"/>
      <c r="D670" s="11"/>
      <c r="E670" s="9"/>
      <c r="F670" s="9"/>
    </row>
    <row r="671">
      <c r="B671" s="10"/>
      <c r="D671" s="11"/>
      <c r="E671" s="9"/>
      <c r="F671" s="9"/>
    </row>
    <row r="672">
      <c r="B672" s="10"/>
      <c r="D672" s="11"/>
      <c r="E672" s="9"/>
      <c r="F672" s="9"/>
    </row>
    <row r="673">
      <c r="B673" s="10"/>
      <c r="D673" s="11"/>
      <c r="E673" s="9"/>
      <c r="F673" s="9"/>
    </row>
    <row r="674">
      <c r="B674" s="10"/>
      <c r="D674" s="11"/>
      <c r="E674" s="9"/>
      <c r="F674" s="9"/>
    </row>
    <row r="675">
      <c r="B675" s="10"/>
      <c r="D675" s="11"/>
      <c r="E675" s="9"/>
      <c r="F675" s="9"/>
    </row>
    <row r="676">
      <c r="B676" s="10"/>
      <c r="D676" s="11"/>
      <c r="E676" s="9"/>
      <c r="F676" s="9"/>
    </row>
    <row r="677">
      <c r="B677" s="10"/>
      <c r="D677" s="11"/>
      <c r="E677" s="9"/>
      <c r="F677" s="9"/>
    </row>
    <row r="678">
      <c r="B678" s="10"/>
      <c r="D678" s="11"/>
      <c r="E678" s="9"/>
      <c r="F678" s="9"/>
    </row>
    <row r="679">
      <c r="B679" s="10"/>
      <c r="D679" s="11"/>
      <c r="E679" s="9"/>
      <c r="F679" s="9"/>
    </row>
    <row r="680">
      <c r="B680" s="10"/>
      <c r="D680" s="11"/>
      <c r="E680" s="9"/>
      <c r="F680" s="9"/>
    </row>
    <row r="681">
      <c r="B681" s="10"/>
      <c r="D681" s="11"/>
      <c r="E681" s="9"/>
      <c r="F681" s="9"/>
    </row>
    <row r="682">
      <c r="B682" s="10"/>
      <c r="D682" s="11"/>
      <c r="E682" s="9"/>
      <c r="F682" s="9"/>
    </row>
    <row r="683">
      <c r="B683" s="10"/>
      <c r="D683" s="11"/>
      <c r="E683" s="9"/>
      <c r="F683" s="9"/>
    </row>
    <row r="684">
      <c r="B684" s="10"/>
      <c r="D684" s="11"/>
      <c r="E684" s="9"/>
      <c r="F684" s="9"/>
    </row>
    <row r="685">
      <c r="B685" s="10"/>
      <c r="D685" s="11"/>
      <c r="E685" s="9"/>
      <c r="F685" s="9"/>
    </row>
    <row r="686">
      <c r="B686" s="10"/>
      <c r="D686" s="11"/>
      <c r="E686" s="9"/>
      <c r="F686" s="9"/>
    </row>
    <row r="687">
      <c r="B687" s="10"/>
      <c r="D687" s="11"/>
      <c r="E687" s="9"/>
      <c r="F687" s="9"/>
    </row>
    <row r="688">
      <c r="B688" s="10"/>
      <c r="D688" s="11"/>
      <c r="E688" s="9"/>
      <c r="F688" s="9"/>
    </row>
    <row r="689">
      <c r="B689" s="10"/>
      <c r="D689" s="11"/>
      <c r="E689" s="9"/>
      <c r="F689" s="9"/>
    </row>
    <row r="690">
      <c r="B690" s="10"/>
      <c r="D690" s="11"/>
      <c r="E690" s="9"/>
      <c r="F690" s="9"/>
    </row>
    <row r="691">
      <c r="B691" s="10"/>
      <c r="D691" s="11"/>
      <c r="E691" s="9"/>
      <c r="F691" s="9"/>
    </row>
    <row r="692">
      <c r="B692" s="10"/>
      <c r="D692" s="11"/>
      <c r="E692" s="9"/>
      <c r="F692" s="9"/>
    </row>
    <row r="693">
      <c r="B693" s="10"/>
      <c r="D693" s="11"/>
      <c r="E693" s="9"/>
      <c r="F693" s="9"/>
    </row>
    <row r="694">
      <c r="B694" s="10"/>
      <c r="D694" s="11"/>
      <c r="E694" s="9"/>
      <c r="F694" s="9"/>
    </row>
    <row r="695">
      <c r="B695" s="10"/>
      <c r="D695" s="11"/>
      <c r="E695" s="9"/>
      <c r="F695" s="9"/>
    </row>
    <row r="696">
      <c r="B696" s="10"/>
      <c r="D696" s="11"/>
      <c r="E696" s="9"/>
      <c r="F696" s="9"/>
    </row>
    <row r="697">
      <c r="B697" s="10"/>
      <c r="D697" s="11"/>
      <c r="E697" s="9"/>
      <c r="F697" s="9"/>
    </row>
    <row r="698">
      <c r="B698" s="10"/>
      <c r="D698" s="11"/>
      <c r="E698" s="9"/>
      <c r="F698" s="9"/>
    </row>
    <row r="699">
      <c r="B699" s="10"/>
      <c r="D699" s="11"/>
      <c r="E699" s="9"/>
      <c r="F699" s="9"/>
    </row>
    <row r="700">
      <c r="B700" s="10"/>
      <c r="D700" s="11"/>
      <c r="E700" s="9"/>
      <c r="F700" s="9"/>
    </row>
    <row r="701">
      <c r="B701" s="10"/>
      <c r="D701" s="11"/>
      <c r="E701" s="9"/>
      <c r="F701" s="9"/>
    </row>
    <row r="702">
      <c r="B702" s="10"/>
      <c r="D702" s="11"/>
      <c r="E702" s="9"/>
      <c r="F702" s="9"/>
    </row>
    <row r="703">
      <c r="B703" s="10"/>
      <c r="D703" s="11"/>
      <c r="E703" s="9"/>
      <c r="F703" s="9"/>
    </row>
    <row r="704">
      <c r="B704" s="10"/>
      <c r="D704" s="11"/>
      <c r="E704" s="9"/>
      <c r="F704" s="9"/>
    </row>
    <row r="705">
      <c r="B705" s="10"/>
      <c r="D705" s="11"/>
      <c r="E705" s="9"/>
      <c r="F705" s="9"/>
    </row>
    <row r="706">
      <c r="B706" s="10"/>
      <c r="D706" s="11"/>
      <c r="E706" s="9"/>
      <c r="F706" s="9"/>
    </row>
    <row r="707">
      <c r="B707" s="10"/>
      <c r="D707" s="11"/>
      <c r="E707" s="9"/>
      <c r="F707" s="9"/>
    </row>
    <row r="708">
      <c r="B708" s="10"/>
      <c r="D708" s="11"/>
      <c r="E708" s="9"/>
      <c r="F708" s="9"/>
    </row>
    <row r="709">
      <c r="B709" s="10"/>
      <c r="D709" s="11"/>
      <c r="E709" s="9"/>
      <c r="F709" s="9"/>
    </row>
    <row r="710">
      <c r="B710" s="10"/>
      <c r="D710" s="11"/>
      <c r="E710" s="9"/>
      <c r="F710" s="9"/>
    </row>
    <row r="711">
      <c r="B711" s="10"/>
      <c r="D711" s="11"/>
      <c r="E711" s="9"/>
      <c r="F711" s="9"/>
    </row>
    <row r="712">
      <c r="B712" s="10"/>
      <c r="D712" s="11"/>
      <c r="E712" s="9"/>
      <c r="F712" s="9"/>
    </row>
    <row r="713">
      <c r="B713" s="10"/>
      <c r="D713" s="11"/>
      <c r="E713" s="9"/>
      <c r="F713" s="9"/>
    </row>
    <row r="714">
      <c r="B714" s="10"/>
      <c r="D714" s="11"/>
      <c r="E714" s="9"/>
      <c r="F714" s="9"/>
    </row>
    <row r="715">
      <c r="B715" s="10"/>
      <c r="D715" s="11"/>
      <c r="E715" s="9"/>
      <c r="F715" s="9"/>
    </row>
    <row r="716">
      <c r="B716" s="10"/>
      <c r="D716" s="11"/>
      <c r="E716" s="9"/>
      <c r="F716" s="9"/>
    </row>
    <row r="717">
      <c r="B717" s="10"/>
      <c r="D717" s="11"/>
      <c r="E717" s="9"/>
      <c r="F717" s="9"/>
    </row>
    <row r="718">
      <c r="B718" s="10"/>
      <c r="D718" s="11"/>
      <c r="E718" s="9"/>
      <c r="F718" s="9"/>
    </row>
    <row r="719">
      <c r="B719" s="10"/>
      <c r="D719" s="11"/>
      <c r="E719" s="9"/>
      <c r="F719" s="9"/>
    </row>
    <row r="720">
      <c r="B720" s="10"/>
      <c r="D720" s="11"/>
      <c r="E720" s="9"/>
      <c r="F720" s="9"/>
    </row>
    <row r="721">
      <c r="B721" s="10"/>
      <c r="D721" s="11"/>
      <c r="E721" s="9"/>
      <c r="F721" s="9"/>
    </row>
    <row r="722">
      <c r="B722" s="10"/>
      <c r="D722" s="11"/>
      <c r="E722" s="9"/>
      <c r="F722" s="9"/>
    </row>
    <row r="723">
      <c r="B723" s="10"/>
      <c r="D723" s="11"/>
      <c r="E723" s="9"/>
      <c r="F723" s="9"/>
    </row>
    <row r="724">
      <c r="B724" s="10"/>
      <c r="D724" s="11"/>
      <c r="E724" s="9"/>
      <c r="F724" s="9"/>
    </row>
    <row r="725">
      <c r="B725" s="10"/>
      <c r="D725" s="11"/>
      <c r="E725" s="9"/>
      <c r="F725" s="9"/>
    </row>
    <row r="726">
      <c r="B726" s="10"/>
      <c r="D726" s="11"/>
      <c r="E726" s="9"/>
      <c r="F726" s="9"/>
    </row>
    <row r="727">
      <c r="B727" s="10"/>
      <c r="D727" s="11"/>
      <c r="E727" s="9"/>
      <c r="F727" s="9"/>
    </row>
    <row r="728">
      <c r="B728" s="10"/>
      <c r="D728" s="11"/>
      <c r="E728" s="9"/>
      <c r="F728" s="9"/>
    </row>
    <row r="729">
      <c r="B729" s="10"/>
      <c r="D729" s="11"/>
      <c r="E729" s="9"/>
      <c r="F729" s="9"/>
    </row>
    <row r="730">
      <c r="B730" s="10"/>
      <c r="D730" s="11"/>
      <c r="E730" s="9"/>
      <c r="F730" s="9"/>
    </row>
    <row r="731">
      <c r="B731" s="10"/>
      <c r="D731" s="11"/>
      <c r="E731" s="9"/>
      <c r="F731" s="9"/>
    </row>
    <row r="732">
      <c r="B732" s="10"/>
      <c r="D732" s="11"/>
      <c r="E732" s="9"/>
      <c r="F732" s="9"/>
    </row>
    <row r="733">
      <c r="B733" s="10"/>
      <c r="D733" s="11"/>
      <c r="E733" s="9"/>
      <c r="F733" s="9"/>
    </row>
    <row r="734">
      <c r="B734" s="10"/>
      <c r="D734" s="11"/>
      <c r="E734" s="9"/>
      <c r="F734" s="9"/>
    </row>
    <row r="735">
      <c r="B735" s="10"/>
      <c r="D735" s="11"/>
      <c r="E735" s="9"/>
      <c r="F735" s="9"/>
    </row>
    <row r="736">
      <c r="B736" s="10"/>
      <c r="D736" s="11"/>
      <c r="E736" s="9"/>
      <c r="F736" s="9"/>
    </row>
    <row r="737">
      <c r="B737" s="10"/>
      <c r="D737" s="11"/>
      <c r="E737" s="9"/>
      <c r="F737" s="9"/>
    </row>
    <row r="738">
      <c r="B738" s="10"/>
      <c r="D738" s="11"/>
      <c r="E738" s="9"/>
      <c r="F738" s="9"/>
    </row>
    <row r="739">
      <c r="B739" s="10"/>
      <c r="D739" s="11"/>
      <c r="E739" s="9"/>
      <c r="F739" s="9"/>
    </row>
    <row r="740">
      <c r="B740" s="10"/>
      <c r="D740" s="11"/>
      <c r="E740" s="9"/>
      <c r="F740" s="9"/>
    </row>
    <row r="741">
      <c r="B741" s="10"/>
      <c r="D741" s="11"/>
      <c r="E741" s="9"/>
      <c r="F741" s="9"/>
    </row>
    <row r="742">
      <c r="B742" s="10"/>
      <c r="D742" s="11"/>
      <c r="E742" s="9"/>
      <c r="F742" s="9"/>
    </row>
    <row r="743">
      <c r="B743" s="10"/>
      <c r="D743" s="11"/>
      <c r="E743" s="9"/>
      <c r="F743" s="9"/>
    </row>
    <row r="744">
      <c r="B744" s="10"/>
      <c r="D744" s="11"/>
      <c r="E744" s="9"/>
      <c r="F744" s="9"/>
    </row>
    <row r="745">
      <c r="B745" s="10"/>
      <c r="D745" s="11"/>
      <c r="E745" s="9"/>
      <c r="F745" s="9"/>
    </row>
    <row r="746">
      <c r="B746" s="10"/>
      <c r="D746" s="11"/>
      <c r="E746" s="9"/>
      <c r="F746" s="9"/>
    </row>
    <row r="747">
      <c r="B747" s="10"/>
      <c r="D747" s="11"/>
      <c r="E747" s="9"/>
      <c r="F747" s="9"/>
    </row>
    <row r="748">
      <c r="B748" s="10"/>
      <c r="D748" s="11"/>
      <c r="E748" s="9"/>
      <c r="F748" s="9"/>
    </row>
    <row r="749">
      <c r="B749" s="10"/>
      <c r="D749" s="11"/>
      <c r="E749" s="9"/>
      <c r="F749" s="9"/>
    </row>
    <row r="750">
      <c r="B750" s="10"/>
      <c r="D750" s="11"/>
      <c r="E750" s="9"/>
      <c r="F750" s="9"/>
    </row>
    <row r="751">
      <c r="B751" s="10"/>
      <c r="D751" s="11"/>
      <c r="E751" s="9"/>
      <c r="F751" s="9"/>
    </row>
    <row r="752">
      <c r="B752" s="10"/>
      <c r="D752" s="11"/>
      <c r="E752" s="9"/>
      <c r="F752" s="9"/>
    </row>
    <row r="753">
      <c r="B753" s="10"/>
      <c r="D753" s="11"/>
      <c r="E753" s="9"/>
      <c r="F753" s="9"/>
    </row>
    <row r="754">
      <c r="B754" s="10"/>
      <c r="D754" s="11"/>
      <c r="E754" s="9"/>
      <c r="F754" s="9"/>
    </row>
    <row r="755">
      <c r="B755" s="10"/>
      <c r="D755" s="11"/>
      <c r="E755" s="9"/>
      <c r="F755" s="9"/>
    </row>
    <row r="756">
      <c r="B756" s="10"/>
      <c r="D756" s="11"/>
      <c r="E756" s="9"/>
      <c r="F756" s="9"/>
    </row>
    <row r="757">
      <c r="B757" s="10"/>
      <c r="D757" s="11"/>
      <c r="E757" s="9"/>
      <c r="F757" s="9"/>
    </row>
    <row r="758">
      <c r="B758" s="10"/>
      <c r="D758" s="11"/>
      <c r="E758" s="9"/>
      <c r="F758" s="9"/>
    </row>
    <row r="759">
      <c r="B759" s="10"/>
      <c r="D759" s="11"/>
      <c r="E759" s="9"/>
      <c r="F759" s="9"/>
    </row>
    <row r="760">
      <c r="B760" s="10"/>
      <c r="D760" s="11"/>
      <c r="E760" s="9"/>
      <c r="F760" s="9"/>
    </row>
    <row r="761">
      <c r="B761" s="10"/>
      <c r="D761" s="11"/>
      <c r="E761" s="9"/>
      <c r="F761" s="9"/>
    </row>
    <row r="762">
      <c r="B762" s="10"/>
      <c r="D762" s="11"/>
      <c r="E762" s="9"/>
      <c r="F762" s="9"/>
    </row>
    <row r="763">
      <c r="B763" s="10"/>
      <c r="D763" s="11"/>
      <c r="E763" s="9"/>
      <c r="F763" s="9"/>
    </row>
    <row r="764">
      <c r="B764" s="10"/>
      <c r="D764" s="11"/>
      <c r="E764" s="9"/>
      <c r="F764" s="9"/>
    </row>
    <row r="765">
      <c r="B765" s="10"/>
      <c r="D765" s="11"/>
      <c r="E765" s="9"/>
      <c r="F765" s="9"/>
    </row>
    <row r="766">
      <c r="B766" s="10"/>
      <c r="D766" s="11"/>
      <c r="E766" s="9"/>
      <c r="F766" s="9"/>
    </row>
    <row r="767">
      <c r="B767" s="10"/>
      <c r="D767" s="11"/>
      <c r="E767" s="9"/>
      <c r="F767" s="9"/>
    </row>
    <row r="768">
      <c r="B768" s="10"/>
      <c r="D768" s="11"/>
      <c r="E768" s="9"/>
      <c r="F768" s="9"/>
    </row>
    <row r="769">
      <c r="B769" s="10"/>
      <c r="D769" s="11"/>
      <c r="E769" s="9"/>
      <c r="F769" s="9"/>
    </row>
    <row r="770">
      <c r="B770" s="10"/>
      <c r="D770" s="11"/>
      <c r="E770" s="9"/>
      <c r="F770" s="9"/>
    </row>
    <row r="771">
      <c r="B771" s="10"/>
      <c r="D771" s="11"/>
      <c r="E771" s="9"/>
      <c r="F771" s="9"/>
    </row>
    <row r="772">
      <c r="B772" s="10"/>
      <c r="D772" s="11"/>
      <c r="E772" s="9"/>
      <c r="F772" s="9"/>
    </row>
    <row r="773">
      <c r="B773" s="10"/>
      <c r="D773" s="11"/>
      <c r="E773" s="9"/>
      <c r="F773" s="9"/>
    </row>
    <row r="774">
      <c r="B774" s="10"/>
      <c r="D774" s="11"/>
      <c r="E774" s="9"/>
      <c r="F774" s="9"/>
    </row>
    <row r="775">
      <c r="B775" s="10"/>
      <c r="D775" s="11"/>
      <c r="E775" s="9"/>
      <c r="F775" s="9"/>
    </row>
    <row r="776">
      <c r="B776" s="10"/>
      <c r="D776" s="11"/>
      <c r="E776" s="9"/>
      <c r="F776" s="9"/>
    </row>
    <row r="777">
      <c r="B777" s="10"/>
      <c r="D777" s="11"/>
      <c r="E777" s="9"/>
      <c r="F777" s="9"/>
    </row>
    <row r="778">
      <c r="B778" s="10"/>
      <c r="D778" s="11"/>
      <c r="E778" s="9"/>
      <c r="F778" s="9"/>
    </row>
    <row r="779">
      <c r="B779" s="10"/>
      <c r="D779" s="11"/>
      <c r="E779" s="9"/>
      <c r="F779" s="9"/>
    </row>
    <row r="780">
      <c r="B780" s="10"/>
      <c r="D780" s="11"/>
      <c r="E780" s="9"/>
      <c r="F780" s="9"/>
    </row>
    <row r="781">
      <c r="B781" s="10"/>
      <c r="D781" s="11"/>
      <c r="E781" s="9"/>
      <c r="F781" s="9"/>
    </row>
    <row r="782">
      <c r="B782" s="10"/>
      <c r="D782" s="11"/>
      <c r="E782" s="9"/>
      <c r="F782" s="9"/>
    </row>
    <row r="783">
      <c r="B783" s="10"/>
      <c r="D783" s="11"/>
      <c r="E783" s="9"/>
      <c r="F783" s="9"/>
    </row>
    <row r="784">
      <c r="B784" s="10"/>
      <c r="D784" s="11"/>
      <c r="E784" s="9"/>
      <c r="F784" s="9"/>
    </row>
    <row r="785">
      <c r="B785" s="10"/>
      <c r="D785" s="11"/>
      <c r="E785" s="9"/>
      <c r="F785" s="9"/>
    </row>
    <row r="786">
      <c r="B786" s="10"/>
      <c r="D786" s="11"/>
      <c r="E786" s="9"/>
      <c r="F786" s="9"/>
    </row>
    <row r="787">
      <c r="B787" s="10"/>
      <c r="D787" s="11"/>
      <c r="E787" s="9"/>
      <c r="F787" s="9"/>
    </row>
    <row r="788">
      <c r="B788" s="10"/>
      <c r="D788" s="11"/>
      <c r="E788" s="9"/>
      <c r="F788" s="9"/>
    </row>
    <row r="789">
      <c r="B789" s="10"/>
      <c r="D789" s="11"/>
      <c r="E789" s="9"/>
      <c r="F789" s="9"/>
    </row>
    <row r="790">
      <c r="B790" s="10"/>
      <c r="D790" s="11"/>
      <c r="E790" s="9"/>
      <c r="F790" s="9"/>
    </row>
    <row r="791">
      <c r="B791" s="10"/>
      <c r="D791" s="11"/>
      <c r="E791" s="9"/>
      <c r="F791" s="9"/>
    </row>
    <row r="792">
      <c r="B792" s="10"/>
      <c r="D792" s="11"/>
      <c r="E792" s="9"/>
      <c r="F792" s="9"/>
    </row>
    <row r="793">
      <c r="B793" s="10"/>
      <c r="D793" s="11"/>
      <c r="E793" s="9"/>
      <c r="F793" s="9"/>
    </row>
    <row r="794">
      <c r="B794" s="10"/>
      <c r="D794" s="11"/>
      <c r="E794" s="9"/>
      <c r="F794" s="9"/>
    </row>
    <row r="795">
      <c r="B795" s="10"/>
      <c r="D795" s="11"/>
      <c r="E795" s="9"/>
      <c r="F795" s="9"/>
    </row>
    <row r="796">
      <c r="B796" s="10"/>
      <c r="D796" s="11"/>
      <c r="E796" s="9"/>
      <c r="F796" s="9"/>
    </row>
    <row r="797">
      <c r="B797" s="10"/>
      <c r="D797" s="11"/>
      <c r="E797" s="9"/>
      <c r="F797" s="9"/>
    </row>
    <row r="798">
      <c r="B798" s="10"/>
      <c r="D798" s="11"/>
      <c r="E798" s="9"/>
      <c r="F798" s="9"/>
    </row>
    <row r="799">
      <c r="B799" s="10"/>
      <c r="D799" s="11"/>
      <c r="E799" s="9"/>
      <c r="F799" s="9"/>
    </row>
    <row r="800">
      <c r="B800" s="10"/>
      <c r="D800" s="11"/>
      <c r="E800" s="9"/>
      <c r="F800" s="9"/>
    </row>
    <row r="801">
      <c r="B801" s="10"/>
      <c r="D801" s="11"/>
      <c r="E801" s="9"/>
      <c r="F801" s="9"/>
    </row>
    <row r="802">
      <c r="B802" s="10"/>
      <c r="D802" s="11"/>
      <c r="E802" s="9"/>
      <c r="F802" s="9"/>
    </row>
    <row r="803">
      <c r="B803" s="10"/>
      <c r="D803" s="11"/>
      <c r="E803" s="9"/>
      <c r="F803" s="9"/>
    </row>
    <row r="804">
      <c r="B804" s="10"/>
      <c r="D804" s="11"/>
      <c r="E804" s="9"/>
      <c r="F804" s="9"/>
    </row>
    <row r="805">
      <c r="B805" s="10"/>
      <c r="D805" s="11"/>
      <c r="E805" s="9"/>
      <c r="F805" s="9"/>
    </row>
    <row r="806">
      <c r="B806" s="10"/>
      <c r="D806" s="11"/>
      <c r="E806" s="9"/>
      <c r="F806" s="9"/>
    </row>
    <row r="807">
      <c r="B807" s="10"/>
      <c r="D807" s="11"/>
      <c r="E807" s="9"/>
      <c r="F807" s="9"/>
    </row>
    <row r="808">
      <c r="B808" s="10"/>
      <c r="D808" s="11"/>
      <c r="E808" s="9"/>
      <c r="F808" s="9"/>
    </row>
    <row r="809">
      <c r="B809" s="10"/>
      <c r="D809" s="11"/>
      <c r="E809" s="9"/>
      <c r="F809" s="9"/>
    </row>
    <row r="810">
      <c r="B810" s="10"/>
      <c r="D810" s="11"/>
      <c r="E810" s="9"/>
      <c r="F810" s="9"/>
    </row>
    <row r="811">
      <c r="B811" s="10"/>
      <c r="D811" s="11"/>
      <c r="E811" s="9"/>
      <c r="F811" s="9"/>
    </row>
    <row r="812">
      <c r="B812" s="10"/>
      <c r="D812" s="11"/>
      <c r="E812" s="9"/>
      <c r="F812" s="9"/>
    </row>
    <row r="813">
      <c r="B813" s="10"/>
      <c r="D813" s="11"/>
      <c r="E813" s="9"/>
      <c r="F813" s="9"/>
    </row>
    <row r="814">
      <c r="B814" s="10"/>
      <c r="D814" s="11"/>
      <c r="E814" s="9"/>
      <c r="F814" s="9"/>
    </row>
    <row r="815">
      <c r="B815" s="10"/>
      <c r="D815" s="11"/>
      <c r="E815" s="9"/>
      <c r="F815" s="9"/>
    </row>
    <row r="816">
      <c r="B816" s="10"/>
      <c r="D816" s="11"/>
      <c r="E816" s="9"/>
      <c r="F816" s="9"/>
    </row>
    <row r="817">
      <c r="B817" s="10"/>
      <c r="D817" s="11"/>
      <c r="E817" s="9"/>
      <c r="F817" s="9"/>
    </row>
    <row r="818">
      <c r="B818" s="10"/>
      <c r="D818" s="11"/>
      <c r="E818" s="9"/>
      <c r="F818" s="9"/>
    </row>
    <row r="819">
      <c r="B819" s="10"/>
      <c r="D819" s="11"/>
      <c r="E819" s="9"/>
      <c r="F819" s="9"/>
    </row>
    <row r="820">
      <c r="B820" s="10"/>
      <c r="D820" s="11"/>
      <c r="E820" s="9"/>
      <c r="F820" s="9"/>
    </row>
    <row r="821">
      <c r="B821" s="10"/>
      <c r="D821" s="11"/>
      <c r="E821" s="9"/>
      <c r="F821" s="9"/>
    </row>
    <row r="822">
      <c r="B822" s="10"/>
      <c r="D822" s="11"/>
      <c r="E822" s="9"/>
      <c r="F822" s="9"/>
    </row>
    <row r="823">
      <c r="B823" s="10"/>
      <c r="D823" s="11"/>
      <c r="E823" s="9"/>
      <c r="F823" s="9"/>
    </row>
    <row r="824">
      <c r="B824" s="10"/>
      <c r="D824" s="11"/>
      <c r="E824" s="9"/>
      <c r="F824" s="9"/>
    </row>
    <row r="825">
      <c r="B825" s="10"/>
      <c r="D825" s="11"/>
      <c r="E825" s="9"/>
      <c r="F825" s="9"/>
    </row>
    <row r="826">
      <c r="B826" s="10"/>
      <c r="D826" s="11"/>
      <c r="E826" s="9"/>
      <c r="F826" s="9"/>
    </row>
    <row r="827">
      <c r="B827" s="10"/>
      <c r="D827" s="11"/>
      <c r="E827" s="9"/>
      <c r="F827" s="9"/>
    </row>
    <row r="828">
      <c r="B828" s="10"/>
      <c r="D828" s="11"/>
      <c r="E828" s="9"/>
      <c r="F828" s="9"/>
    </row>
    <row r="829">
      <c r="B829" s="10"/>
      <c r="D829" s="11"/>
      <c r="E829" s="9"/>
      <c r="F829" s="9"/>
    </row>
    <row r="830">
      <c r="B830" s="10"/>
      <c r="D830" s="11"/>
      <c r="E830" s="9"/>
      <c r="F830" s="9"/>
    </row>
    <row r="831">
      <c r="B831" s="10"/>
      <c r="D831" s="11"/>
      <c r="E831" s="9"/>
      <c r="F831" s="9"/>
    </row>
    <row r="832">
      <c r="B832" s="10"/>
      <c r="D832" s="11"/>
      <c r="E832" s="9"/>
      <c r="F832" s="9"/>
    </row>
    <row r="833">
      <c r="B833" s="10"/>
      <c r="D833" s="11"/>
      <c r="E833" s="9"/>
      <c r="F833" s="9"/>
    </row>
    <row r="834">
      <c r="B834" s="10"/>
      <c r="D834" s="11"/>
      <c r="E834" s="9"/>
      <c r="F834" s="9"/>
    </row>
    <row r="835">
      <c r="B835" s="10"/>
      <c r="D835" s="11"/>
      <c r="E835" s="9"/>
      <c r="F835" s="9"/>
    </row>
    <row r="836">
      <c r="B836" s="10"/>
      <c r="D836" s="11"/>
      <c r="E836" s="9"/>
      <c r="F836" s="9"/>
    </row>
    <row r="837">
      <c r="B837" s="10"/>
      <c r="D837" s="11"/>
      <c r="E837" s="9"/>
      <c r="F837" s="9"/>
    </row>
    <row r="838">
      <c r="B838" s="10"/>
      <c r="D838" s="11"/>
      <c r="E838" s="9"/>
      <c r="F838" s="9"/>
    </row>
    <row r="839">
      <c r="B839" s="10"/>
      <c r="D839" s="11"/>
      <c r="E839" s="9"/>
      <c r="F839" s="9"/>
    </row>
    <row r="840">
      <c r="B840" s="10"/>
      <c r="D840" s="11"/>
      <c r="E840" s="9"/>
      <c r="F840" s="9"/>
    </row>
    <row r="841">
      <c r="B841" s="10"/>
      <c r="D841" s="11"/>
      <c r="E841" s="9"/>
      <c r="F841" s="9"/>
    </row>
    <row r="842">
      <c r="B842" s="10"/>
      <c r="D842" s="11"/>
      <c r="E842" s="9"/>
      <c r="F842" s="9"/>
    </row>
    <row r="843">
      <c r="B843" s="10"/>
      <c r="D843" s="11"/>
      <c r="E843" s="9"/>
      <c r="F843" s="9"/>
    </row>
    <row r="844">
      <c r="B844" s="10"/>
      <c r="D844" s="11"/>
      <c r="E844" s="9"/>
      <c r="F844" s="9"/>
    </row>
    <row r="845">
      <c r="B845" s="10"/>
      <c r="D845" s="11"/>
      <c r="E845" s="9"/>
      <c r="F845" s="9"/>
    </row>
    <row r="846">
      <c r="B846" s="10"/>
      <c r="D846" s="11"/>
      <c r="E846" s="9"/>
      <c r="F846" s="9"/>
    </row>
    <row r="847">
      <c r="B847" s="10"/>
      <c r="D847" s="11"/>
      <c r="E847" s="9"/>
      <c r="F847" s="9"/>
    </row>
    <row r="848">
      <c r="B848" s="10"/>
      <c r="D848" s="11"/>
      <c r="E848" s="9"/>
      <c r="F848" s="9"/>
    </row>
    <row r="849">
      <c r="B849" s="10"/>
      <c r="D849" s="11"/>
      <c r="E849" s="9"/>
      <c r="F849" s="9"/>
    </row>
    <row r="850">
      <c r="B850" s="10"/>
      <c r="D850" s="11"/>
      <c r="E850" s="9"/>
      <c r="F850" s="9"/>
    </row>
    <row r="851">
      <c r="B851" s="10"/>
      <c r="D851" s="11"/>
      <c r="E851" s="9"/>
      <c r="F851" s="9"/>
    </row>
    <row r="852">
      <c r="B852" s="10"/>
      <c r="D852" s="11"/>
      <c r="E852" s="9"/>
      <c r="F852" s="9"/>
    </row>
    <row r="853">
      <c r="B853" s="10"/>
      <c r="D853" s="11"/>
      <c r="E853" s="9"/>
      <c r="F853" s="9"/>
    </row>
    <row r="854">
      <c r="B854" s="10"/>
      <c r="D854" s="11"/>
      <c r="E854" s="9"/>
      <c r="F854" s="9"/>
    </row>
    <row r="855">
      <c r="B855" s="10"/>
      <c r="D855" s="11"/>
      <c r="E855" s="9"/>
      <c r="F855" s="9"/>
    </row>
    <row r="856">
      <c r="B856" s="10"/>
      <c r="D856" s="11"/>
      <c r="E856" s="9"/>
      <c r="F856" s="9"/>
    </row>
    <row r="857">
      <c r="B857" s="10"/>
      <c r="D857" s="11"/>
      <c r="E857" s="9"/>
      <c r="F857" s="9"/>
    </row>
    <row r="858">
      <c r="B858" s="10"/>
      <c r="D858" s="11"/>
      <c r="E858" s="9"/>
      <c r="F858" s="9"/>
    </row>
    <row r="859">
      <c r="B859" s="10"/>
      <c r="D859" s="11"/>
      <c r="E859" s="9"/>
      <c r="F859" s="9"/>
    </row>
    <row r="860">
      <c r="B860" s="10"/>
      <c r="D860" s="11"/>
      <c r="E860" s="9"/>
      <c r="F860" s="9"/>
    </row>
    <row r="861">
      <c r="B861" s="10"/>
      <c r="D861" s="11"/>
      <c r="E861" s="9"/>
      <c r="F861" s="9"/>
    </row>
    <row r="862">
      <c r="B862" s="10"/>
      <c r="D862" s="11"/>
      <c r="E862" s="9"/>
      <c r="F862" s="9"/>
    </row>
    <row r="863">
      <c r="B863" s="10"/>
      <c r="D863" s="11"/>
      <c r="E863" s="9"/>
      <c r="F863" s="9"/>
    </row>
    <row r="864">
      <c r="B864" s="10"/>
      <c r="D864" s="11"/>
      <c r="E864" s="9"/>
      <c r="F864" s="9"/>
    </row>
    <row r="865">
      <c r="B865" s="10"/>
      <c r="D865" s="11"/>
      <c r="E865" s="9"/>
      <c r="F865" s="9"/>
    </row>
    <row r="866">
      <c r="B866" s="10"/>
      <c r="D866" s="11"/>
      <c r="E866" s="9"/>
      <c r="F866" s="9"/>
    </row>
    <row r="867">
      <c r="B867" s="10"/>
      <c r="D867" s="11"/>
      <c r="E867" s="9"/>
      <c r="F867" s="9"/>
    </row>
    <row r="868">
      <c r="B868" s="10"/>
      <c r="D868" s="11"/>
      <c r="E868" s="9"/>
      <c r="F868" s="9"/>
    </row>
    <row r="869">
      <c r="B869" s="10"/>
      <c r="D869" s="11"/>
      <c r="E869" s="9"/>
      <c r="F869" s="9"/>
    </row>
    <row r="870">
      <c r="B870" s="10"/>
      <c r="D870" s="11"/>
      <c r="E870" s="9"/>
      <c r="F870" s="9"/>
    </row>
    <row r="871">
      <c r="B871" s="10"/>
      <c r="D871" s="11"/>
      <c r="E871" s="9"/>
      <c r="F871" s="9"/>
    </row>
    <row r="872">
      <c r="B872" s="10"/>
      <c r="D872" s="11"/>
      <c r="E872" s="9"/>
      <c r="F872" s="9"/>
    </row>
    <row r="873">
      <c r="B873" s="10"/>
      <c r="D873" s="11"/>
      <c r="E873" s="9"/>
      <c r="F873" s="9"/>
    </row>
    <row r="874">
      <c r="B874" s="10"/>
      <c r="D874" s="11"/>
      <c r="E874" s="9"/>
      <c r="F874" s="9"/>
    </row>
    <row r="875">
      <c r="B875" s="10"/>
      <c r="D875" s="11"/>
      <c r="E875" s="9"/>
      <c r="F875" s="9"/>
    </row>
    <row r="876">
      <c r="B876" s="10"/>
      <c r="D876" s="11"/>
      <c r="E876" s="9"/>
      <c r="F876" s="9"/>
    </row>
    <row r="877">
      <c r="B877" s="10"/>
      <c r="D877" s="11"/>
      <c r="E877" s="9"/>
      <c r="F877" s="9"/>
    </row>
    <row r="878">
      <c r="B878" s="10"/>
      <c r="D878" s="11"/>
      <c r="E878" s="9"/>
      <c r="F878" s="9"/>
    </row>
    <row r="879">
      <c r="B879" s="10"/>
      <c r="D879" s="11"/>
      <c r="E879" s="9"/>
      <c r="F879" s="9"/>
    </row>
    <row r="880">
      <c r="B880" s="10"/>
      <c r="D880" s="11"/>
      <c r="E880" s="9"/>
      <c r="F880" s="9"/>
    </row>
    <row r="881">
      <c r="B881" s="10"/>
      <c r="D881" s="11"/>
      <c r="E881" s="9"/>
      <c r="F881" s="9"/>
    </row>
    <row r="882">
      <c r="B882" s="10"/>
      <c r="D882" s="11"/>
      <c r="E882" s="9"/>
      <c r="F882" s="9"/>
    </row>
    <row r="883">
      <c r="B883" s="10"/>
      <c r="D883" s="11"/>
      <c r="E883" s="9"/>
      <c r="F883" s="9"/>
    </row>
    <row r="884">
      <c r="B884" s="10"/>
      <c r="D884" s="11"/>
      <c r="E884" s="9"/>
      <c r="F884" s="9"/>
    </row>
    <row r="885">
      <c r="B885" s="10"/>
      <c r="D885" s="11"/>
      <c r="E885" s="9"/>
      <c r="F885" s="9"/>
    </row>
    <row r="886">
      <c r="B886" s="10"/>
      <c r="D886" s="11"/>
      <c r="E886" s="9"/>
      <c r="F886" s="9"/>
    </row>
    <row r="887">
      <c r="B887" s="10"/>
      <c r="D887" s="11"/>
      <c r="E887" s="9"/>
      <c r="F887" s="9"/>
    </row>
    <row r="888">
      <c r="B888" s="10"/>
      <c r="D888" s="11"/>
      <c r="E888" s="9"/>
      <c r="F888" s="9"/>
    </row>
    <row r="889">
      <c r="B889" s="10"/>
      <c r="D889" s="11"/>
      <c r="E889" s="9"/>
      <c r="F889" s="9"/>
    </row>
    <row r="890">
      <c r="B890" s="10"/>
      <c r="D890" s="11"/>
      <c r="E890" s="9"/>
      <c r="F890" s="9"/>
    </row>
    <row r="891">
      <c r="B891" s="10"/>
      <c r="D891" s="11"/>
      <c r="E891" s="9"/>
      <c r="F891" s="9"/>
    </row>
    <row r="892">
      <c r="B892" s="10"/>
      <c r="D892" s="11"/>
      <c r="E892" s="9"/>
      <c r="F892" s="9"/>
    </row>
    <row r="893">
      <c r="B893" s="10"/>
      <c r="D893" s="11"/>
      <c r="E893" s="9"/>
      <c r="F893" s="9"/>
    </row>
    <row r="894">
      <c r="B894" s="10"/>
      <c r="D894" s="11"/>
      <c r="E894" s="9"/>
      <c r="F894" s="9"/>
    </row>
    <row r="895">
      <c r="B895" s="10"/>
      <c r="D895" s="11"/>
      <c r="E895" s="9"/>
      <c r="F895" s="9"/>
    </row>
    <row r="896">
      <c r="B896" s="10"/>
      <c r="D896" s="11"/>
      <c r="E896" s="9"/>
      <c r="F896" s="9"/>
    </row>
    <row r="897">
      <c r="B897" s="10"/>
      <c r="D897" s="11"/>
      <c r="E897" s="9"/>
      <c r="F897" s="9"/>
    </row>
    <row r="898">
      <c r="B898" s="10"/>
      <c r="D898" s="11"/>
      <c r="E898" s="9"/>
      <c r="F898" s="9"/>
    </row>
    <row r="899">
      <c r="B899" s="10"/>
      <c r="D899" s="11"/>
      <c r="E899" s="9"/>
      <c r="F899" s="9"/>
    </row>
    <row r="900">
      <c r="B900" s="10"/>
      <c r="D900" s="11"/>
      <c r="E900" s="9"/>
      <c r="F900" s="9"/>
    </row>
    <row r="901">
      <c r="B901" s="10"/>
      <c r="D901" s="11"/>
      <c r="E901" s="9"/>
      <c r="F901" s="9"/>
    </row>
    <row r="902">
      <c r="B902" s="10"/>
      <c r="D902" s="11"/>
      <c r="E902" s="9"/>
      <c r="F902" s="9"/>
    </row>
    <row r="903">
      <c r="B903" s="10"/>
      <c r="D903" s="11"/>
      <c r="E903" s="9"/>
      <c r="F903" s="9"/>
    </row>
    <row r="904">
      <c r="B904" s="10"/>
      <c r="D904" s="11"/>
      <c r="E904" s="9"/>
      <c r="F904" s="9"/>
    </row>
    <row r="905">
      <c r="B905" s="10"/>
      <c r="D905" s="11"/>
      <c r="E905" s="9"/>
      <c r="F905" s="9"/>
    </row>
    <row r="906">
      <c r="B906" s="10"/>
      <c r="D906" s="11"/>
      <c r="E906" s="9"/>
      <c r="F906" s="9"/>
    </row>
    <row r="907">
      <c r="B907" s="10"/>
      <c r="D907" s="11"/>
      <c r="E907" s="9"/>
      <c r="F907" s="9"/>
    </row>
    <row r="908">
      <c r="B908" s="10"/>
      <c r="D908" s="11"/>
      <c r="E908" s="9"/>
      <c r="F908" s="9"/>
    </row>
    <row r="909">
      <c r="B909" s="10"/>
      <c r="D909" s="11"/>
      <c r="E909" s="9"/>
      <c r="F909" s="9"/>
    </row>
    <row r="910">
      <c r="B910" s="10"/>
      <c r="D910" s="11"/>
      <c r="E910" s="9"/>
      <c r="F910" s="9"/>
    </row>
    <row r="911">
      <c r="B911" s="10"/>
      <c r="D911" s="11"/>
      <c r="E911" s="9"/>
      <c r="F911" s="9"/>
    </row>
    <row r="912">
      <c r="B912" s="10"/>
      <c r="D912" s="11"/>
      <c r="E912" s="9"/>
      <c r="F912" s="9"/>
    </row>
    <row r="913">
      <c r="B913" s="10"/>
      <c r="D913" s="11"/>
      <c r="E913" s="9"/>
      <c r="F913" s="9"/>
    </row>
    <row r="914">
      <c r="B914" s="10"/>
      <c r="D914" s="11"/>
      <c r="E914" s="9"/>
      <c r="F914" s="9"/>
    </row>
    <row r="915">
      <c r="B915" s="10"/>
      <c r="D915" s="11"/>
      <c r="E915" s="9"/>
      <c r="F915" s="9"/>
    </row>
    <row r="916">
      <c r="B916" s="10"/>
      <c r="D916" s="11"/>
      <c r="E916" s="9"/>
      <c r="F916" s="9"/>
    </row>
    <row r="917">
      <c r="B917" s="10"/>
      <c r="D917" s="11"/>
      <c r="E917" s="9"/>
      <c r="F917" s="9"/>
    </row>
    <row r="918">
      <c r="B918" s="10"/>
      <c r="D918" s="11"/>
      <c r="E918" s="9"/>
      <c r="F918" s="9"/>
    </row>
    <row r="919">
      <c r="B919" s="10"/>
      <c r="D919" s="11"/>
      <c r="E919" s="9"/>
      <c r="F919" s="9"/>
    </row>
    <row r="920">
      <c r="B920" s="10"/>
      <c r="D920" s="11"/>
      <c r="E920" s="9"/>
      <c r="F920" s="9"/>
    </row>
    <row r="921">
      <c r="B921" s="10"/>
      <c r="D921" s="11"/>
      <c r="E921" s="9"/>
      <c r="F921" s="9"/>
    </row>
    <row r="922">
      <c r="B922" s="10"/>
      <c r="D922" s="11"/>
      <c r="E922" s="9"/>
      <c r="F922" s="9"/>
    </row>
    <row r="923">
      <c r="B923" s="10"/>
      <c r="D923" s="11"/>
      <c r="E923" s="9"/>
      <c r="F923" s="9"/>
    </row>
    <row r="924">
      <c r="B924" s="10"/>
      <c r="D924" s="11"/>
      <c r="E924" s="9"/>
      <c r="F924" s="9"/>
    </row>
    <row r="925">
      <c r="B925" s="10"/>
      <c r="D925" s="11"/>
      <c r="E925" s="9"/>
      <c r="F925" s="9"/>
    </row>
    <row r="926">
      <c r="B926" s="10"/>
      <c r="D926" s="11"/>
      <c r="E926" s="9"/>
      <c r="F926" s="9"/>
    </row>
    <row r="927">
      <c r="B927" s="10"/>
      <c r="D927" s="11"/>
      <c r="E927" s="9"/>
      <c r="F927" s="9"/>
    </row>
    <row r="928">
      <c r="B928" s="10"/>
      <c r="D928" s="11"/>
      <c r="E928" s="9"/>
      <c r="F928" s="9"/>
    </row>
    <row r="929">
      <c r="B929" s="10"/>
      <c r="D929" s="11"/>
      <c r="E929" s="9"/>
      <c r="F929" s="9"/>
    </row>
    <row r="930">
      <c r="B930" s="10"/>
      <c r="D930" s="11"/>
      <c r="E930" s="9"/>
      <c r="F930" s="9"/>
    </row>
    <row r="931">
      <c r="B931" s="10"/>
      <c r="D931" s="11"/>
      <c r="E931" s="9"/>
      <c r="F931" s="9"/>
    </row>
    <row r="932">
      <c r="B932" s="10"/>
      <c r="D932" s="11"/>
      <c r="E932" s="9"/>
      <c r="F932" s="9"/>
    </row>
    <row r="933">
      <c r="B933" s="10"/>
      <c r="D933" s="11"/>
      <c r="E933" s="9"/>
      <c r="F933" s="9"/>
    </row>
    <row r="934">
      <c r="B934" s="10"/>
      <c r="D934" s="11"/>
      <c r="E934" s="9"/>
      <c r="F934" s="9"/>
    </row>
    <row r="935">
      <c r="B935" s="10"/>
      <c r="D935" s="11"/>
      <c r="E935" s="9"/>
      <c r="F935" s="9"/>
    </row>
    <row r="936">
      <c r="B936" s="10"/>
      <c r="D936" s="11"/>
      <c r="E936" s="9"/>
      <c r="F936" s="9"/>
    </row>
    <row r="937">
      <c r="B937" s="10"/>
      <c r="D937" s="11"/>
      <c r="E937" s="9"/>
      <c r="F937" s="9"/>
    </row>
    <row r="938">
      <c r="B938" s="10"/>
      <c r="D938" s="11"/>
      <c r="E938" s="9"/>
      <c r="F938" s="9"/>
    </row>
    <row r="939">
      <c r="B939" s="10"/>
      <c r="D939" s="11"/>
      <c r="E939" s="9"/>
      <c r="F939" s="9"/>
    </row>
    <row r="940">
      <c r="B940" s="10"/>
      <c r="D940" s="11"/>
      <c r="E940" s="9"/>
      <c r="F940" s="9"/>
    </row>
    <row r="941">
      <c r="B941" s="10"/>
      <c r="D941" s="11"/>
      <c r="E941" s="9"/>
      <c r="F941" s="9"/>
    </row>
    <row r="942">
      <c r="B942" s="10"/>
      <c r="D942" s="11"/>
      <c r="E942" s="9"/>
      <c r="F942" s="9"/>
    </row>
    <row r="943">
      <c r="B943" s="10"/>
      <c r="D943" s="11"/>
      <c r="E943" s="9"/>
      <c r="F943" s="9"/>
    </row>
    <row r="944">
      <c r="B944" s="10"/>
      <c r="D944" s="11"/>
      <c r="E944" s="9"/>
      <c r="F944" s="9"/>
    </row>
    <row r="945">
      <c r="B945" s="10"/>
      <c r="D945" s="11"/>
      <c r="E945" s="9"/>
      <c r="F945" s="9"/>
    </row>
    <row r="946">
      <c r="B946" s="10"/>
      <c r="D946" s="11"/>
      <c r="E946" s="9"/>
      <c r="F946" s="9"/>
    </row>
    <row r="947">
      <c r="B947" s="10"/>
      <c r="D947" s="11"/>
      <c r="E947" s="9"/>
      <c r="F947" s="9"/>
    </row>
    <row r="948">
      <c r="B948" s="10"/>
      <c r="D948" s="11"/>
      <c r="E948" s="9"/>
      <c r="F948" s="9"/>
    </row>
    <row r="949">
      <c r="B949" s="10"/>
      <c r="D949" s="11"/>
      <c r="E949" s="9"/>
      <c r="F949" s="9"/>
    </row>
    <row r="950">
      <c r="B950" s="10"/>
      <c r="D950" s="11"/>
      <c r="E950" s="9"/>
      <c r="F950" s="9"/>
    </row>
    <row r="951">
      <c r="B951" s="10"/>
      <c r="D951" s="11"/>
      <c r="E951" s="9"/>
      <c r="F951" s="9"/>
    </row>
    <row r="952">
      <c r="B952" s="10"/>
      <c r="D952" s="11"/>
      <c r="E952" s="9"/>
      <c r="F952" s="9"/>
    </row>
    <row r="953">
      <c r="B953" s="10"/>
      <c r="D953" s="11"/>
      <c r="E953" s="9"/>
      <c r="F953" s="9"/>
    </row>
    <row r="954">
      <c r="B954" s="10"/>
      <c r="D954" s="11"/>
      <c r="E954" s="9"/>
      <c r="F954" s="9"/>
    </row>
    <row r="955">
      <c r="B955" s="10"/>
      <c r="D955" s="11"/>
      <c r="E955" s="9"/>
      <c r="F955" s="9"/>
    </row>
    <row r="956">
      <c r="B956" s="10"/>
      <c r="D956" s="11"/>
      <c r="E956" s="9"/>
      <c r="F956" s="9"/>
    </row>
    <row r="957">
      <c r="B957" s="10"/>
      <c r="D957" s="11"/>
      <c r="E957" s="9"/>
      <c r="F957" s="9"/>
    </row>
    <row r="958">
      <c r="B958" s="10"/>
      <c r="D958" s="11"/>
      <c r="E958" s="9"/>
      <c r="F958" s="9"/>
    </row>
    <row r="959">
      <c r="B959" s="10"/>
      <c r="D959" s="11"/>
      <c r="E959" s="9"/>
      <c r="F959" s="9"/>
    </row>
    <row r="960">
      <c r="B960" s="10"/>
      <c r="D960" s="11"/>
      <c r="E960" s="9"/>
      <c r="F960" s="9"/>
    </row>
    <row r="961">
      <c r="B961" s="10"/>
      <c r="D961" s="11"/>
      <c r="E961" s="9"/>
      <c r="F961" s="9"/>
    </row>
    <row r="962">
      <c r="B962" s="10"/>
      <c r="D962" s="11"/>
      <c r="E962" s="9"/>
      <c r="F962" s="9"/>
    </row>
    <row r="963">
      <c r="B963" s="10"/>
      <c r="D963" s="11"/>
      <c r="E963" s="9"/>
      <c r="F963" s="9"/>
    </row>
    <row r="964">
      <c r="B964" s="10"/>
      <c r="D964" s="11"/>
      <c r="E964" s="9"/>
      <c r="F964" s="9"/>
    </row>
    <row r="965">
      <c r="B965" s="10"/>
      <c r="D965" s="11"/>
      <c r="E965" s="9"/>
      <c r="F965" s="9"/>
    </row>
    <row r="966">
      <c r="B966" s="10"/>
      <c r="D966" s="11"/>
      <c r="E966" s="9"/>
      <c r="F966" s="9"/>
    </row>
    <row r="967">
      <c r="B967" s="10"/>
      <c r="D967" s="11"/>
      <c r="E967" s="9"/>
      <c r="F967" s="9"/>
    </row>
    <row r="968">
      <c r="B968" s="10"/>
      <c r="D968" s="11"/>
      <c r="E968" s="9"/>
      <c r="F968" s="9"/>
    </row>
    <row r="969">
      <c r="B969" s="10"/>
      <c r="D969" s="11"/>
      <c r="E969" s="9"/>
      <c r="F969" s="9"/>
    </row>
    <row r="970">
      <c r="B970" s="10"/>
      <c r="D970" s="11"/>
      <c r="E970" s="9"/>
      <c r="F970" s="9"/>
    </row>
    <row r="971">
      <c r="B971" s="10"/>
      <c r="D971" s="11"/>
      <c r="E971" s="9"/>
      <c r="F971" s="9"/>
    </row>
    <row r="972">
      <c r="B972" s="10"/>
      <c r="D972" s="11"/>
      <c r="E972" s="9"/>
      <c r="F972" s="9"/>
    </row>
    <row r="973">
      <c r="B973" s="10"/>
      <c r="D973" s="11"/>
      <c r="E973" s="9"/>
      <c r="F973" s="9"/>
    </row>
    <row r="974">
      <c r="B974" s="10"/>
      <c r="D974" s="11"/>
      <c r="E974" s="9"/>
      <c r="F974" s="9"/>
    </row>
    <row r="975">
      <c r="B975" s="10"/>
      <c r="D975" s="11"/>
      <c r="E975" s="9"/>
      <c r="F975" s="9"/>
    </row>
    <row r="976">
      <c r="B976" s="10"/>
      <c r="D976" s="11"/>
      <c r="E976" s="9"/>
      <c r="F976" s="9"/>
    </row>
    <row r="977">
      <c r="B977" s="10"/>
      <c r="D977" s="11"/>
      <c r="E977" s="9"/>
      <c r="F977" s="9"/>
    </row>
    <row r="978">
      <c r="B978" s="10"/>
      <c r="D978" s="11"/>
      <c r="E978" s="9"/>
      <c r="F978" s="9"/>
    </row>
    <row r="979">
      <c r="B979" s="10"/>
      <c r="D979" s="11"/>
      <c r="E979" s="9"/>
      <c r="F979" s="9"/>
    </row>
    <row r="980">
      <c r="B980" s="10"/>
      <c r="D980" s="11"/>
      <c r="E980" s="9"/>
      <c r="F980" s="9"/>
    </row>
    <row r="981">
      <c r="B981" s="10"/>
      <c r="D981" s="11"/>
      <c r="E981" s="9"/>
      <c r="F981" s="9"/>
    </row>
    <row r="982">
      <c r="B982" s="10"/>
      <c r="D982" s="11"/>
      <c r="E982" s="9"/>
      <c r="F982" s="9"/>
    </row>
    <row r="983">
      <c r="B983" s="10"/>
      <c r="D983" s="11"/>
      <c r="E983" s="9"/>
      <c r="F983" s="9"/>
    </row>
    <row r="984">
      <c r="B984" s="10"/>
      <c r="D984" s="11"/>
      <c r="E984" s="9"/>
      <c r="F984" s="9"/>
    </row>
    <row r="985">
      <c r="B985" s="10"/>
      <c r="D985" s="11"/>
      <c r="E985" s="9"/>
      <c r="F985" s="9"/>
    </row>
    <row r="986">
      <c r="B986" s="10"/>
      <c r="D986" s="11"/>
      <c r="E986" s="9"/>
      <c r="F986" s="9"/>
    </row>
    <row r="987">
      <c r="B987" s="10"/>
      <c r="D987" s="11"/>
      <c r="E987" s="9"/>
      <c r="F987" s="9"/>
    </row>
    <row r="988">
      <c r="B988" s="10"/>
      <c r="D988" s="11"/>
      <c r="E988" s="9"/>
      <c r="F988" s="9"/>
    </row>
    <row r="989">
      <c r="B989" s="10"/>
      <c r="D989" s="11"/>
      <c r="E989" s="9"/>
      <c r="F989" s="9"/>
    </row>
    <row r="990">
      <c r="B990" s="10"/>
      <c r="D990" s="11"/>
      <c r="E990" s="9"/>
      <c r="F990" s="9"/>
    </row>
    <row r="991">
      <c r="B991" s="10"/>
      <c r="D991" s="11"/>
      <c r="E991" s="9"/>
      <c r="F99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88"/>
  </cols>
  <sheetData>
    <row r="1">
      <c r="A1" s="1" t="s">
        <v>13</v>
      </c>
      <c r="B1" s="2" t="s">
        <v>14</v>
      </c>
      <c r="C1" s="1" t="s">
        <v>15</v>
      </c>
      <c r="D1" s="1" t="s">
        <v>16</v>
      </c>
      <c r="E1" s="1" t="s">
        <v>6</v>
      </c>
      <c r="F1" s="12" t="s">
        <v>17</v>
      </c>
      <c r="G1" s="1" t="s">
        <v>18</v>
      </c>
      <c r="H1" s="1" t="s">
        <v>19</v>
      </c>
    </row>
    <row r="2">
      <c r="A2" s="5" t="s">
        <v>20</v>
      </c>
      <c r="B2" s="6">
        <v>5321.81</v>
      </c>
      <c r="C2" s="5" t="s">
        <v>20</v>
      </c>
      <c r="D2" s="13">
        <v>46201.0</v>
      </c>
      <c r="E2" s="5" t="s">
        <v>10</v>
      </c>
      <c r="F2" s="14">
        <f t="shared" ref="F2:F7" si="1">EDATE(D2,1)</f>
        <v>46231</v>
      </c>
      <c r="G2" s="15" t="str">
        <f t="shared" ref="G2:G7" si="2">IFERROR(IF(D2&lt;&gt;"",TEXT(D2, "yyyy-mm"),""),"")</f>
        <v>2026-06</v>
      </c>
      <c r="H2" s="16" t="str">
        <f t="array" ref="H2">IF(A2&lt;&gt;"",INDEX(icons!B:B, MATCH(A2,icons!A:A,0)),"")</f>
        <v>https://play-lh.googleusercontent.com/O5Z9jsv79WTfdd37TFPyIwAQjNotIZTTEC6sOXaD3_2IXrMjtOI2ZnqReOicI3TgmqI</v>
      </c>
    </row>
    <row r="3">
      <c r="A3" s="5" t="s">
        <v>21</v>
      </c>
      <c r="B3" s="6">
        <v>50.0</v>
      </c>
      <c r="C3" s="5" t="s">
        <v>21</v>
      </c>
      <c r="D3" s="13">
        <v>46026.0</v>
      </c>
      <c r="E3" s="5" t="s">
        <v>8</v>
      </c>
      <c r="F3" s="14">
        <f t="shared" si="1"/>
        <v>46057</v>
      </c>
      <c r="G3" s="15" t="str">
        <f t="shared" si="2"/>
        <v>2026-01</v>
      </c>
      <c r="H3" s="16" t="str">
        <f t="array" ref="H3">IF(A3&lt;&gt;"",INDEX(icons!B:B, MATCH(A3,icons!A:A,0)),"")</f>
        <v>https://encrypted-tbn0.gstatic.com/images?q=tbn:ANd9GcSJysUOK4O3SeA8O0Zzn289tU16vROXFtKvEQ&amp;s</v>
      </c>
    </row>
    <row r="4">
      <c r="A4" s="5" t="s">
        <v>22</v>
      </c>
      <c r="B4" s="6">
        <v>200.0</v>
      </c>
      <c r="C4" s="5" t="s">
        <v>22</v>
      </c>
      <c r="D4" s="13">
        <v>46026.0</v>
      </c>
      <c r="E4" s="5" t="s">
        <v>8</v>
      </c>
      <c r="F4" s="14">
        <f t="shared" si="1"/>
        <v>46057</v>
      </c>
      <c r="G4" s="15" t="str">
        <f t="shared" si="2"/>
        <v>2026-01</v>
      </c>
      <c r="H4" s="16" t="str">
        <f t="array" ref="H4">IF(A4&lt;&gt;"",INDEX(icons!B:B, MATCH(A4,icons!A:A,0)),"")</f>
        <v>https://assets.hgbrasil.com/finance/companies/big/santander-br.png</v>
      </c>
    </row>
    <row r="5">
      <c r="A5" s="5" t="s">
        <v>23</v>
      </c>
      <c r="B5" s="6">
        <v>9200.0</v>
      </c>
      <c r="C5" s="5" t="s">
        <v>23</v>
      </c>
      <c r="D5" s="13">
        <v>46026.0</v>
      </c>
      <c r="E5" s="5" t="s">
        <v>8</v>
      </c>
      <c r="F5" s="14">
        <f t="shared" si="1"/>
        <v>46057</v>
      </c>
      <c r="G5" s="15" t="str">
        <f t="shared" si="2"/>
        <v>2026-01</v>
      </c>
      <c r="H5" s="16" t="str">
        <f t="array" ref="H5">IF(A5&lt;&gt;"",INDEX(icons!B:B, MATCH(A5,icons!A:A,0)),"")</f>
        <v>https://raichu-uploads.s3.amazonaws.com/logo_caixa-economica-federal_q9tWzt.png</v>
      </c>
    </row>
    <row r="6">
      <c r="A6" s="5" t="s">
        <v>24</v>
      </c>
      <c r="B6" s="6">
        <v>0.0</v>
      </c>
      <c r="C6" s="5" t="s">
        <v>20</v>
      </c>
      <c r="D6" s="13">
        <v>46201.0</v>
      </c>
      <c r="E6" s="5" t="s">
        <v>8</v>
      </c>
      <c r="F6" s="14">
        <f t="shared" si="1"/>
        <v>46231</v>
      </c>
      <c r="G6" s="15" t="str">
        <f t="shared" si="2"/>
        <v>2026-06</v>
      </c>
      <c r="H6" s="16" t="str">
        <f t="array" ref="H6">IF(A6&lt;&gt;"",INDEX(icons!B:B, MATCH(A6,icons!A:A,0)),"")</f>
        <v>https://www.logo.wine/a/logo/Revolut/Revolut-Logo.wine.svg</v>
      </c>
    </row>
    <row r="7">
      <c r="A7" s="5" t="s">
        <v>24</v>
      </c>
      <c r="B7" s="17">
        <v>0.0</v>
      </c>
      <c r="C7" s="18" t="s">
        <v>20</v>
      </c>
      <c r="D7" s="19">
        <v>46201.0</v>
      </c>
      <c r="E7" s="18" t="s">
        <v>10</v>
      </c>
      <c r="F7" s="19">
        <f t="shared" si="1"/>
        <v>46231</v>
      </c>
      <c r="G7" s="18" t="str">
        <f t="shared" si="2"/>
        <v>2026-06</v>
      </c>
      <c r="H7" s="16" t="str">
        <f t="array" ref="H7">IF(A7&lt;&gt;"",INDEX(icons!B:B, MATCH(A7,icons!A:A,0)),"")</f>
        <v>https://www.logo.wine/a/logo/Revolut/Revolut-Logo.wine.svg</v>
      </c>
    </row>
    <row r="8">
      <c r="B8" s="10"/>
      <c r="F8" s="14"/>
      <c r="G8" s="15" t="str">
        <f t="shared" ref="G8:G14" si="3">IFERROR(IF(F8&lt;&gt;"",TEXT(F8, "yyyy-mm"),""),"")</f>
        <v/>
      </c>
      <c r="H8" s="15" t="str">
        <f t="array" ref="H8">IF(A8&lt;&gt;"",INDEX(icons!B:B, MATCH(A8,icons!A:A,0)),"")</f>
        <v/>
      </c>
    </row>
    <row r="9">
      <c r="B9" s="10"/>
      <c r="F9" s="14"/>
      <c r="G9" s="15" t="str">
        <f t="shared" si="3"/>
        <v/>
      </c>
      <c r="H9" s="15" t="str">
        <f t="array" ref="H9">IF(A9&lt;&gt;"",INDEX(icons!B:B, MATCH(A9,icons!A:A,0)),"")</f>
        <v/>
      </c>
    </row>
    <row r="10">
      <c r="B10" s="10"/>
      <c r="F10" s="14"/>
      <c r="G10" s="15" t="str">
        <f t="shared" si="3"/>
        <v/>
      </c>
      <c r="H10" s="15" t="str">
        <f t="array" ref="H10">IF(A10&lt;&gt;"",INDEX(cartoes!E:E, MATCH(A10,cartoes!A:A,0)),"")</f>
        <v/>
      </c>
    </row>
    <row r="11">
      <c r="B11" s="10"/>
      <c r="F11" s="14"/>
      <c r="G11" s="15" t="str">
        <f t="shared" si="3"/>
        <v/>
      </c>
      <c r="H11" s="15" t="str">
        <f t="array" ref="H11">IF(A11&lt;&gt;"",INDEX(cartoes!E:E, MATCH(A11,cartoes!A:A,0)),"")</f>
        <v/>
      </c>
    </row>
    <row r="12">
      <c r="B12" s="10"/>
      <c r="F12" s="14"/>
      <c r="G12" s="15" t="str">
        <f t="shared" si="3"/>
        <v/>
      </c>
      <c r="H12" s="15" t="str">
        <f t="array" ref="H12">IF(A12&lt;&gt;"",INDEX(cartoes!E:E, MATCH(A12,cartoes!A:A,0)),"")</f>
        <v/>
      </c>
    </row>
    <row r="13">
      <c r="B13" s="10"/>
      <c r="F13" s="14"/>
      <c r="G13" s="15" t="str">
        <f t="shared" si="3"/>
        <v/>
      </c>
      <c r="H13" s="15" t="str">
        <f t="array" ref="H13">IF(A13&lt;&gt;"",INDEX(cartoes!E:E, MATCH(A13,cartoes!A:A,0)),"")</f>
        <v/>
      </c>
    </row>
    <row r="14">
      <c r="B14" s="10"/>
      <c r="F14" s="14"/>
      <c r="G14" s="15" t="str">
        <f t="shared" si="3"/>
        <v/>
      </c>
      <c r="H14" s="15" t="str">
        <f t="array" ref="H14">IF(A14&lt;&gt;"",INDEX(cartoes!E:E, MATCH(A14,cartoes!A:A,0)),"")</f>
        <v/>
      </c>
    </row>
    <row r="15">
      <c r="B15" s="10"/>
      <c r="F15" s="14"/>
    </row>
    <row r="16">
      <c r="B16" s="10"/>
      <c r="F16" s="14"/>
    </row>
    <row r="17">
      <c r="B17" s="10"/>
      <c r="F17" s="14"/>
    </row>
    <row r="18">
      <c r="B18" s="10"/>
      <c r="F18" s="14"/>
    </row>
    <row r="19">
      <c r="B19" s="10"/>
      <c r="F19" s="14"/>
    </row>
    <row r="20">
      <c r="B20" s="10"/>
      <c r="F20" s="14"/>
    </row>
    <row r="21">
      <c r="B21" s="10"/>
      <c r="F21" s="14"/>
    </row>
    <row r="22">
      <c r="B22" s="10"/>
      <c r="F22" s="14"/>
    </row>
    <row r="23">
      <c r="B23" s="10"/>
      <c r="F23" s="14"/>
    </row>
    <row r="24">
      <c r="B24" s="10"/>
      <c r="F24" s="14"/>
    </row>
    <row r="25">
      <c r="B25" s="10"/>
      <c r="F25" s="14"/>
    </row>
    <row r="26">
      <c r="B26" s="10"/>
      <c r="F26" s="14"/>
    </row>
    <row r="27">
      <c r="B27" s="10"/>
      <c r="F27" s="14"/>
    </row>
    <row r="28">
      <c r="B28" s="10"/>
      <c r="F28" s="14"/>
    </row>
    <row r="29">
      <c r="B29" s="10"/>
      <c r="F29" s="14"/>
    </row>
    <row r="30">
      <c r="B30" s="10"/>
      <c r="F30" s="14"/>
    </row>
    <row r="31">
      <c r="B31" s="10"/>
      <c r="F31" s="14"/>
    </row>
    <row r="32">
      <c r="B32" s="10"/>
      <c r="F32" s="14"/>
    </row>
    <row r="33">
      <c r="B33" s="10"/>
      <c r="F33" s="14"/>
    </row>
    <row r="34">
      <c r="B34" s="10"/>
      <c r="F34" s="14"/>
    </row>
    <row r="35">
      <c r="B35" s="10"/>
      <c r="F35" s="14"/>
    </row>
    <row r="36">
      <c r="B36" s="10"/>
      <c r="F36" s="14"/>
    </row>
    <row r="37">
      <c r="B37" s="10"/>
      <c r="F37" s="14"/>
    </row>
    <row r="38">
      <c r="B38" s="10"/>
      <c r="F38" s="14"/>
    </row>
    <row r="39">
      <c r="B39" s="10"/>
      <c r="F39" s="14"/>
    </row>
    <row r="40">
      <c r="B40" s="10"/>
      <c r="F40" s="14"/>
    </row>
    <row r="41">
      <c r="B41" s="10"/>
      <c r="F41" s="14"/>
    </row>
    <row r="42">
      <c r="B42" s="10"/>
      <c r="F42" s="14"/>
    </row>
    <row r="43">
      <c r="B43" s="10"/>
      <c r="F43" s="14"/>
    </row>
    <row r="44">
      <c r="B44" s="10"/>
      <c r="F44" s="14"/>
    </row>
    <row r="45">
      <c r="B45" s="10"/>
      <c r="F45" s="14"/>
    </row>
    <row r="46">
      <c r="B46" s="10"/>
      <c r="F46" s="14"/>
    </row>
    <row r="47">
      <c r="B47" s="10"/>
      <c r="F47" s="14"/>
    </row>
    <row r="48">
      <c r="B48" s="10"/>
      <c r="F48" s="14"/>
    </row>
    <row r="49">
      <c r="B49" s="10"/>
      <c r="F49" s="14"/>
    </row>
    <row r="50">
      <c r="B50" s="10"/>
      <c r="F50" s="14"/>
    </row>
    <row r="51">
      <c r="B51" s="10"/>
      <c r="F51" s="14"/>
    </row>
    <row r="52">
      <c r="B52" s="10"/>
      <c r="F52" s="14"/>
    </row>
    <row r="53">
      <c r="B53" s="10"/>
      <c r="F53" s="14"/>
    </row>
    <row r="54">
      <c r="B54" s="10"/>
      <c r="F54" s="14"/>
    </row>
    <row r="55">
      <c r="B55" s="10"/>
      <c r="F55" s="14"/>
    </row>
    <row r="56">
      <c r="B56" s="10"/>
      <c r="F56" s="14"/>
    </row>
    <row r="57">
      <c r="B57" s="10"/>
      <c r="F57" s="14"/>
    </row>
    <row r="58">
      <c r="B58" s="10"/>
      <c r="F58" s="14"/>
    </row>
    <row r="59">
      <c r="B59" s="10"/>
      <c r="F59" s="14"/>
    </row>
    <row r="60">
      <c r="B60" s="10"/>
      <c r="F60" s="14"/>
    </row>
    <row r="61">
      <c r="B61" s="10"/>
      <c r="F61" s="14"/>
    </row>
    <row r="62">
      <c r="B62" s="10"/>
      <c r="F62" s="14"/>
    </row>
    <row r="63">
      <c r="B63" s="10"/>
      <c r="F63" s="14"/>
    </row>
    <row r="64">
      <c r="B64" s="10"/>
      <c r="F64" s="14"/>
    </row>
    <row r="65">
      <c r="B65" s="10"/>
      <c r="F65" s="14"/>
    </row>
    <row r="66">
      <c r="B66" s="10"/>
      <c r="F66" s="14"/>
    </row>
    <row r="67">
      <c r="B67" s="10"/>
      <c r="F67" s="14"/>
    </row>
    <row r="68">
      <c r="B68" s="10"/>
      <c r="F68" s="14"/>
    </row>
    <row r="69">
      <c r="B69" s="10"/>
      <c r="F69" s="14"/>
    </row>
    <row r="70">
      <c r="B70" s="10"/>
      <c r="F70" s="14"/>
    </row>
    <row r="71">
      <c r="B71" s="10"/>
      <c r="F71" s="14"/>
    </row>
    <row r="72">
      <c r="B72" s="10"/>
      <c r="F72" s="14"/>
    </row>
    <row r="73">
      <c r="B73" s="10"/>
      <c r="F73" s="14"/>
    </row>
    <row r="74">
      <c r="B74" s="10"/>
      <c r="F74" s="14"/>
    </row>
    <row r="75">
      <c r="B75" s="10"/>
      <c r="F75" s="14"/>
    </row>
    <row r="76">
      <c r="B76" s="10"/>
      <c r="F76" s="14"/>
    </row>
    <row r="77">
      <c r="B77" s="10"/>
      <c r="F77" s="14"/>
    </row>
    <row r="78">
      <c r="B78" s="10"/>
      <c r="F78" s="14"/>
    </row>
    <row r="79">
      <c r="B79" s="10"/>
      <c r="F79" s="14"/>
    </row>
    <row r="80">
      <c r="B80" s="10"/>
      <c r="F80" s="14"/>
    </row>
    <row r="81">
      <c r="B81" s="10"/>
      <c r="F81" s="14"/>
    </row>
    <row r="82">
      <c r="B82" s="10"/>
      <c r="F82" s="14"/>
    </row>
    <row r="83">
      <c r="B83" s="10"/>
      <c r="F83" s="14"/>
    </row>
    <row r="84">
      <c r="B84" s="10"/>
      <c r="F84" s="14"/>
    </row>
    <row r="85">
      <c r="B85" s="10"/>
      <c r="F85" s="14"/>
    </row>
    <row r="86">
      <c r="B86" s="10"/>
      <c r="F86" s="14"/>
    </row>
    <row r="87">
      <c r="B87" s="10"/>
      <c r="F87" s="14"/>
    </row>
    <row r="88">
      <c r="B88" s="10"/>
      <c r="F88" s="14"/>
    </row>
    <row r="89">
      <c r="B89" s="10"/>
      <c r="F89" s="14"/>
    </row>
    <row r="90">
      <c r="B90" s="10"/>
      <c r="F90" s="14"/>
    </row>
    <row r="91">
      <c r="B91" s="10"/>
      <c r="F91" s="14"/>
    </row>
    <row r="92">
      <c r="B92" s="10"/>
      <c r="F92" s="14"/>
    </row>
    <row r="93">
      <c r="B93" s="10"/>
      <c r="F93" s="14"/>
    </row>
    <row r="94">
      <c r="B94" s="10"/>
      <c r="F94" s="14"/>
    </row>
    <row r="95">
      <c r="B95" s="10"/>
      <c r="F95" s="14"/>
    </row>
    <row r="96">
      <c r="B96" s="10"/>
      <c r="F96" s="14"/>
    </row>
    <row r="97">
      <c r="B97" s="10"/>
      <c r="F97" s="14"/>
    </row>
    <row r="98">
      <c r="B98" s="10"/>
      <c r="F98" s="14"/>
    </row>
    <row r="99">
      <c r="B99" s="10"/>
      <c r="F99" s="14"/>
    </row>
    <row r="100">
      <c r="B100" s="10"/>
      <c r="F100" s="14"/>
    </row>
    <row r="101">
      <c r="B101" s="10"/>
      <c r="F101" s="14"/>
    </row>
    <row r="102">
      <c r="B102" s="10"/>
      <c r="F102" s="14"/>
    </row>
    <row r="103">
      <c r="B103" s="10"/>
      <c r="F103" s="14"/>
    </row>
    <row r="104">
      <c r="B104" s="10"/>
      <c r="F104" s="14"/>
    </row>
    <row r="105">
      <c r="B105" s="10"/>
      <c r="F105" s="14"/>
    </row>
    <row r="106">
      <c r="B106" s="10"/>
      <c r="F106" s="14"/>
    </row>
    <row r="107">
      <c r="B107" s="10"/>
      <c r="F107" s="14"/>
    </row>
    <row r="108">
      <c r="B108" s="10"/>
      <c r="F108" s="14"/>
    </row>
    <row r="109">
      <c r="B109" s="10"/>
      <c r="F109" s="14"/>
    </row>
    <row r="110">
      <c r="B110" s="10"/>
      <c r="F110" s="14"/>
    </row>
    <row r="111">
      <c r="B111" s="10"/>
      <c r="F111" s="14"/>
    </row>
    <row r="112">
      <c r="B112" s="10"/>
      <c r="F112" s="14"/>
    </row>
    <row r="113">
      <c r="B113" s="10"/>
      <c r="F113" s="14"/>
    </row>
    <row r="114">
      <c r="B114" s="10"/>
      <c r="F114" s="14"/>
    </row>
    <row r="115">
      <c r="B115" s="10"/>
      <c r="F115" s="14"/>
    </row>
    <row r="116">
      <c r="B116" s="10"/>
      <c r="F116" s="14"/>
    </row>
    <row r="117">
      <c r="B117" s="10"/>
      <c r="F117" s="14"/>
    </row>
    <row r="118">
      <c r="B118" s="10"/>
      <c r="F118" s="14"/>
    </row>
    <row r="119">
      <c r="B119" s="10"/>
      <c r="F119" s="14"/>
    </row>
    <row r="120">
      <c r="B120" s="10"/>
      <c r="F120" s="14"/>
    </row>
    <row r="121">
      <c r="B121" s="10"/>
      <c r="F121" s="14"/>
    </row>
    <row r="122">
      <c r="B122" s="10"/>
      <c r="F122" s="14"/>
    </row>
    <row r="123">
      <c r="B123" s="10"/>
      <c r="F123" s="14"/>
    </row>
    <row r="124">
      <c r="B124" s="10"/>
      <c r="F124" s="14"/>
    </row>
    <row r="125">
      <c r="B125" s="10"/>
      <c r="F125" s="14"/>
    </row>
    <row r="126">
      <c r="B126" s="10"/>
      <c r="F126" s="14"/>
    </row>
    <row r="127">
      <c r="B127" s="10"/>
      <c r="F127" s="14"/>
    </row>
    <row r="128">
      <c r="B128" s="10"/>
      <c r="F128" s="14"/>
    </row>
    <row r="129">
      <c r="B129" s="10"/>
      <c r="F129" s="14"/>
    </row>
    <row r="130">
      <c r="B130" s="10"/>
      <c r="F130" s="14"/>
    </row>
    <row r="131">
      <c r="B131" s="10"/>
      <c r="F131" s="14"/>
    </row>
    <row r="132">
      <c r="B132" s="10"/>
      <c r="F132" s="14"/>
    </row>
    <row r="133">
      <c r="B133" s="10"/>
      <c r="F133" s="14"/>
    </row>
    <row r="134">
      <c r="B134" s="10"/>
      <c r="F134" s="14"/>
    </row>
    <row r="135">
      <c r="B135" s="10"/>
      <c r="F135" s="14"/>
    </row>
    <row r="136">
      <c r="B136" s="10"/>
      <c r="F136" s="14"/>
    </row>
    <row r="137">
      <c r="B137" s="10"/>
      <c r="F137" s="14"/>
    </row>
    <row r="138">
      <c r="B138" s="10"/>
      <c r="F138" s="14"/>
    </row>
    <row r="139">
      <c r="B139" s="10"/>
      <c r="F139" s="14"/>
    </row>
    <row r="140">
      <c r="B140" s="10"/>
      <c r="F140" s="14"/>
    </row>
    <row r="141">
      <c r="B141" s="10"/>
      <c r="F141" s="14"/>
    </row>
    <row r="142">
      <c r="B142" s="10"/>
      <c r="F142" s="14"/>
    </row>
    <row r="143">
      <c r="B143" s="10"/>
      <c r="F143" s="14"/>
    </row>
    <row r="144">
      <c r="B144" s="10"/>
      <c r="F144" s="14"/>
    </row>
    <row r="145">
      <c r="B145" s="10"/>
      <c r="F145" s="14"/>
    </row>
    <row r="146">
      <c r="B146" s="10"/>
      <c r="F146" s="14"/>
    </row>
    <row r="147">
      <c r="B147" s="10"/>
      <c r="F147" s="14"/>
    </row>
    <row r="148">
      <c r="B148" s="10"/>
      <c r="F148" s="14"/>
    </row>
    <row r="149">
      <c r="B149" s="10"/>
      <c r="F149" s="14"/>
    </row>
    <row r="150">
      <c r="B150" s="10"/>
      <c r="F150" s="14"/>
    </row>
    <row r="151">
      <c r="B151" s="10"/>
      <c r="F151" s="14"/>
    </row>
    <row r="152">
      <c r="B152" s="10"/>
      <c r="F152" s="14"/>
    </row>
    <row r="153">
      <c r="B153" s="10"/>
      <c r="F153" s="14"/>
    </row>
    <row r="154">
      <c r="B154" s="10"/>
      <c r="F154" s="14"/>
    </row>
    <row r="155">
      <c r="B155" s="10"/>
      <c r="F155" s="14"/>
    </row>
    <row r="156">
      <c r="B156" s="10"/>
      <c r="F156" s="14"/>
    </row>
    <row r="157">
      <c r="B157" s="10"/>
      <c r="F157" s="14"/>
    </row>
    <row r="158">
      <c r="B158" s="10"/>
      <c r="F158" s="14"/>
    </row>
    <row r="159">
      <c r="B159" s="10"/>
      <c r="F159" s="14"/>
    </row>
    <row r="160">
      <c r="B160" s="10"/>
      <c r="F160" s="14"/>
    </row>
    <row r="161">
      <c r="B161" s="10"/>
      <c r="F161" s="14"/>
    </row>
    <row r="162">
      <c r="B162" s="10"/>
      <c r="F162" s="14"/>
    </row>
    <row r="163">
      <c r="B163" s="10"/>
      <c r="F163" s="14"/>
    </row>
    <row r="164">
      <c r="B164" s="10"/>
      <c r="F164" s="14"/>
    </row>
    <row r="165">
      <c r="B165" s="10"/>
      <c r="F165" s="14"/>
    </row>
    <row r="166">
      <c r="B166" s="10"/>
      <c r="F166" s="14"/>
    </row>
    <row r="167">
      <c r="B167" s="10"/>
      <c r="F167" s="14"/>
    </row>
    <row r="168">
      <c r="B168" s="10"/>
      <c r="F168" s="14"/>
    </row>
    <row r="169">
      <c r="B169" s="10"/>
      <c r="F169" s="14"/>
    </row>
    <row r="170">
      <c r="B170" s="10"/>
      <c r="F170" s="14"/>
    </row>
    <row r="171">
      <c r="B171" s="10"/>
      <c r="F171" s="14"/>
    </row>
    <row r="172">
      <c r="B172" s="10"/>
      <c r="F172" s="14"/>
    </row>
    <row r="173">
      <c r="B173" s="10"/>
      <c r="F173" s="14"/>
    </row>
    <row r="174">
      <c r="B174" s="10"/>
      <c r="F174" s="14"/>
    </row>
    <row r="175">
      <c r="B175" s="10"/>
      <c r="F175" s="14"/>
    </row>
    <row r="176">
      <c r="B176" s="10"/>
      <c r="F176" s="14"/>
    </row>
    <row r="177">
      <c r="B177" s="10"/>
      <c r="F177" s="14"/>
    </row>
    <row r="178">
      <c r="B178" s="10"/>
      <c r="F178" s="14"/>
    </row>
    <row r="179">
      <c r="B179" s="10"/>
      <c r="F179" s="14"/>
    </row>
    <row r="180">
      <c r="B180" s="10"/>
      <c r="F180" s="14"/>
    </row>
    <row r="181">
      <c r="B181" s="10"/>
      <c r="F181" s="14"/>
    </row>
    <row r="182">
      <c r="B182" s="10"/>
      <c r="F182" s="14"/>
    </row>
    <row r="183">
      <c r="B183" s="10"/>
      <c r="F183" s="14"/>
    </row>
    <row r="184">
      <c r="B184" s="10"/>
      <c r="F184" s="14"/>
    </row>
    <row r="185">
      <c r="B185" s="10"/>
      <c r="F185" s="14"/>
    </row>
    <row r="186">
      <c r="B186" s="10"/>
      <c r="F186" s="14"/>
    </row>
    <row r="187">
      <c r="B187" s="10"/>
      <c r="F187" s="14"/>
    </row>
    <row r="188">
      <c r="B188" s="10"/>
      <c r="F188" s="14"/>
    </row>
    <row r="189">
      <c r="B189" s="10"/>
      <c r="F189" s="14"/>
    </row>
    <row r="190">
      <c r="B190" s="10"/>
      <c r="F190" s="14"/>
    </row>
    <row r="191">
      <c r="B191" s="10"/>
      <c r="F191" s="14"/>
    </row>
    <row r="192">
      <c r="B192" s="10"/>
      <c r="F192" s="14"/>
    </row>
    <row r="193">
      <c r="B193" s="10"/>
      <c r="F193" s="14"/>
    </row>
    <row r="194">
      <c r="B194" s="10"/>
      <c r="F194" s="14"/>
    </row>
    <row r="195">
      <c r="B195" s="10"/>
      <c r="F195" s="14"/>
    </row>
    <row r="196">
      <c r="B196" s="10"/>
      <c r="F196" s="14"/>
    </row>
    <row r="197">
      <c r="B197" s="10"/>
      <c r="F197" s="14"/>
    </row>
    <row r="198">
      <c r="B198" s="10"/>
      <c r="F198" s="14"/>
    </row>
    <row r="199">
      <c r="B199" s="10"/>
      <c r="F199" s="14"/>
    </row>
    <row r="200">
      <c r="B200" s="10"/>
      <c r="F200" s="14"/>
    </row>
    <row r="201">
      <c r="B201" s="10"/>
      <c r="F201" s="14"/>
    </row>
    <row r="202">
      <c r="B202" s="10"/>
      <c r="F202" s="14"/>
    </row>
    <row r="203">
      <c r="B203" s="10"/>
      <c r="F203" s="14"/>
    </row>
    <row r="204">
      <c r="B204" s="10"/>
      <c r="F204" s="14"/>
    </row>
    <row r="205">
      <c r="B205" s="10"/>
      <c r="F205" s="14"/>
    </row>
    <row r="206">
      <c r="B206" s="10"/>
      <c r="F206" s="14"/>
    </row>
    <row r="207">
      <c r="B207" s="10"/>
      <c r="F207" s="14"/>
    </row>
    <row r="208">
      <c r="B208" s="10"/>
      <c r="F208" s="14"/>
    </row>
    <row r="209">
      <c r="B209" s="10"/>
      <c r="F209" s="14"/>
    </row>
    <row r="210">
      <c r="B210" s="10"/>
      <c r="F210" s="14"/>
    </row>
    <row r="211">
      <c r="B211" s="10"/>
      <c r="F211" s="14"/>
    </row>
    <row r="212">
      <c r="B212" s="10"/>
      <c r="F212" s="14"/>
    </row>
    <row r="213">
      <c r="B213" s="10"/>
      <c r="F213" s="14"/>
    </row>
    <row r="214">
      <c r="B214" s="10"/>
      <c r="F214" s="14"/>
    </row>
    <row r="215">
      <c r="B215" s="10"/>
      <c r="F215" s="14"/>
    </row>
    <row r="216">
      <c r="B216" s="10"/>
      <c r="F216" s="14"/>
    </row>
    <row r="217">
      <c r="B217" s="10"/>
      <c r="F217" s="14"/>
    </row>
    <row r="218">
      <c r="B218" s="10"/>
      <c r="F218" s="14"/>
    </row>
    <row r="219">
      <c r="B219" s="10"/>
      <c r="F219" s="14"/>
    </row>
    <row r="220">
      <c r="B220" s="10"/>
      <c r="F220" s="14"/>
    </row>
    <row r="221">
      <c r="B221" s="10"/>
      <c r="F221" s="14"/>
    </row>
    <row r="222">
      <c r="B222" s="10"/>
      <c r="F222" s="14"/>
    </row>
    <row r="223">
      <c r="B223" s="10"/>
      <c r="F223" s="14"/>
    </row>
    <row r="224">
      <c r="B224" s="10"/>
      <c r="F224" s="14"/>
    </row>
    <row r="225">
      <c r="B225" s="10"/>
      <c r="F225" s="14"/>
    </row>
    <row r="226">
      <c r="B226" s="10"/>
      <c r="F226" s="14"/>
    </row>
    <row r="227">
      <c r="B227" s="10"/>
      <c r="F227" s="14"/>
    </row>
    <row r="228">
      <c r="B228" s="10"/>
      <c r="F228" s="14"/>
    </row>
    <row r="229">
      <c r="B229" s="10"/>
      <c r="F229" s="14"/>
    </row>
    <row r="230">
      <c r="B230" s="10"/>
      <c r="F230" s="14"/>
    </row>
    <row r="231">
      <c r="B231" s="10"/>
      <c r="F231" s="14"/>
    </row>
    <row r="232">
      <c r="B232" s="10"/>
      <c r="F232" s="14"/>
    </row>
    <row r="233">
      <c r="B233" s="10"/>
      <c r="F233" s="14"/>
    </row>
    <row r="234">
      <c r="B234" s="10"/>
      <c r="F234" s="14"/>
    </row>
    <row r="235">
      <c r="B235" s="10"/>
      <c r="F235" s="14"/>
    </row>
    <row r="236">
      <c r="B236" s="10"/>
      <c r="F236" s="14"/>
    </row>
    <row r="237">
      <c r="B237" s="10"/>
      <c r="F237" s="14"/>
    </row>
    <row r="238">
      <c r="B238" s="10"/>
      <c r="F238" s="14"/>
    </row>
    <row r="239">
      <c r="B239" s="10"/>
      <c r="F239" s="14"/>
    </row>
    <row r="240">
      <c r="B240" s="10"/>
      <c r="F240" s="14"/>
    </row>
    <row r="241">
      <c r="B241" s="10"/>
      <c r="F241" s="14"/>
    </row>
    <row r="242">
      <c r="B242" s="10"/>
      <c r="F242" s="14"/>
    </row>
    <row r="243">
      <c r="B243" s="10"/>
      <c r="F243" s="14"/>
    </row>
    <row r="244">
      <c r="B244" s="10"/>
      <c r="F244" s="14"/>
    </row>
    <row r="245">
      <c r="B245" s="10"/>
      <c r="F245" s="14"/>
    </row>
    <row r="246">
      <c r="B246" s="10"/>
      <c r="F246" s="14"/>
    </row>
    <row r="247">
      <c r="B247" s="10"/>
      <c r="F247" s="14"/>
    </row>
    <row r="248">
      <c r="B248" s="10"/>
      <c r="F248" s="14"/>
    </row>
    <row r="249">
      <c r="B249" s="10"/>
      <c r="F249" s="14"/>
    </row>
    <row r="250">
      <c r="B250" s="10"/>
      <c r="F250" s="14"/>
    </row>
    <row r="251">
      <c r="B251" s="10"/>
      <c r="F251" s="14"/>
    </row>
    <row r="252">
      <c r="B252" s="10"/>
      <c r="F252" s="14"/>
    </row>
    <row r="253">
      <c r="B253" s="10"/>
      <c r="F253" s="14"/>
    </row>
    <row r="254">
      <c r="B254" s="10"/>
      <c r="F254" s="14"/>
    </row>
    <row r="255">
      <c r="B255" s="10"/>
      <c r="F255" s="14"/>
    </row>
    <row r="256">
      <c r="B256" s="10"/>
      <c r="F256" s="14"/>
    </row>
    <row r="257">
      <c r="B257" s="10"/>
      <c r="F257" s="14"/>
    </row>
    <row r="258">
      <c r="B258" s="10"/>
      <c r="F258" s="14"/>
    </row>
    <row r="259">
      <c r="B259" s="10"/>
      <c r="F259" s="14"/>
    </row>
    <row r="260">
      <c r="B260" s="10"/>
      <c r="F260" s="14"/>
    </row>
    <row r="261">
      <c r="B261" s="10"/>
      <c r="F261" s="14"/>
    </row>
    <row r="262">
      <c r="B262" s="10"/>
      <c r="F262" s="14"/>
    </row>
    <row r="263">
      <c r="B263" s="10"/>
      <c r="F263" s="14"/>
    </row>
    <row r="264">
      <c r="B264" s="10"/>
      <c r="F264" s="14"/>
    </row>
    <row r="265">
      <c r="B265" s="10"/>
      <c r="F265" s="14"/>
    </row>
    <row r="266">
      <c r="B266" s="10"/>
      <c r="F266" s="14"/>
    </row>
    <row r="267">
      <c r="B267" s="10"/>
      <c r="F267" s="14"/>
    </row>
    <row r="268">
      <c r="B268" s="10"/>
      <c r="F268" s="14"/>
    </row>
    <row r="269">
      <c r="B269" s="10"/>
      <c r="F269" s="14"/>
    </row>
    <row r="270">
      <c r="B270" s="10"/>
      <c r="F270" s="14"/>
    </row>
    <row r="271">
      <c r="B271" s="10"/>
      <c r="F271" s="14"/>
    </row>
    <row r="272">
      <c r="B272" s="10"/>
      <c r="F272" s="14"/>
    </row>
    <row r="273">
      <c r="B273" s="10"/>
      <c r="F273" s="14"/>
    </row>
    <row r="274">
      <c r="B274" s="10"/>
      <c r="F274" s="14"/>
    </row>
    <row r="275">
      <c r="B275" s="10"/>
      <c r="F275" s="14"/>
    </row>
    <row r="276">
      <c r="B276" s="10"/>
      <c r="F276" s="14"/>
    </row>
    <row r="277">
      <c r="B277" s="10"/>
      <c r="F277" s="14"/>
    </row>
    <row r="278">
      <c r="B278" s="10"/>
      <c r="F278" s="14"/>
    </row>
    <row r="279">
      <c r="B279" s="10"/>
      <c r="F279" s="14"/>
    </row>
    <row r="280">
      <c r="B280" s="10"/>
      <c r="F280" s="14"/>
    </row>
    <row r="281">
      <c r="B281" s="10"/>
      <c r="F281" s="14"/>
    </row>
    <row r="282">
      <c r="B282" s="10"/>
      <c r="F282" s="14"/>
    </row>
    <row r="283">
      <c r="B283" s="10"/>
      <c r="F283" s="14"/>
    </row>
    <row r="284">
      <c r="B284" s="10"/>
      <c r="F284" s="14"/>
    </row>
    <row r="285">
      <c r="B285" s="10"/>
      <c r="F285" s="14"/>
    </row>
    <row r="286">
      <c r="B286" s="10"/>
      <c r="F286" s="14"/>
    </row>
    <row r="287">
      <c r="B287" s="10"/>
      <c r="F287" s="14"/>
    </row>
    <row r="288">
      <c r="B288" s="10"/>
      <c r="F288" s="14"/>
    </row>
    <row r="289">
      <c r="B289" s="10"/>
      <c r="F289" s="14"/>
    </row>
    <row r="290">
      <c r="B290" s="10"/>
      <c r="F290" s="14"/>
    </row>
    <row r="291">
      <c r="B291" s="10"/>
      <c r="F291" s="14"/>
    </row>
    <row r="292">
      <c r="B292" s="10"/>
      <c r="F292" s="14"/>
    </row>
    <row r="293">
      <c r="B293" s="10"/>
      <c r="F293" s="14"/>
    </row>
    <row r="294">
      <c r="B294" s="10"/>
      <c r="F294" s="14"/>
    </row>
    <row r="295">
      <c r="B295" s="10"/>
      <c r="F295" s="14"/>
    </row>
    <row r="296">
      <c r="B296" s="10"/>
      <c r="F296" s="14"/>
    </row>
    <row r="297">
      <c r="B297" s="10"/>
      <c r="F297" s="14"/>
    </row>
    <row r="298">
      <c r="B298" s="10"/>
      <c r="F298" s="14"/>
    </row>
    <row r="299">
      <c r="B299" s="10"/>
      <c r="F299" s="14"/>
    </row>
    <row r="300">
      <c r="B300" s="10"/>
      <c r="F300" s="14"/>
    </row>
    <row r="301">
      <c r="B301" s="10"/>
      <c r="F301" s="14"/>
    </row>
    <row r="302">
      <c r="B302" s="10"/>
      <c r="F302" s="14"/>
    </row>
    <row r="303">
      <c r="B303" s="10"/>
      <c r="F303" s="14"/>
    </row>
    <row r="304">
      <c r="B304" s="10"/>
      <c r="F304" s="14"/>
    </row>
    <row r="305">
      <c r="B305" s="10"/>
      <c r="F305" s="14"/>
    </row>
    <row r="306">
      <c r="B306" s="10"/>
      <c r="F306" s="14"/>
    </row>
    <row r="307">
      <c r="B307" s="10"/>
      <c r="F307" s="14"/>
    </row>
    <row r="308">
      <c r="B308" s="10"/>
      <c r="F308" s="14"/>
    </row>
    <row r="309">
      <c r="B309" s="10"/>
      <c r="F309" s="14"/>
    </row>
    <row r="310">
      <c r="B310" s="10"/>
      <c r="F310" s="14"/>
    </row>
    <row r="311">
      <c r="B311" s="10"/>
      <c r="F311" s="14"/>
    </row>
    <row r="312">
      <c r="B312" s="10"/>
      <c r="F312" s="14"/>
    </row>
    <row r="313">
      <c r="B313" s="10"/>
      <c r="F313" s="14"/>
    </row>
    <row r="314">
      <c r="B314" s="10"/>
      <c r="F314" s="14"/>
    </row>
    <row r="315">
      <c r="B315" s="10"/>
      <c r="F315" s="14"/>
    </row>
    <row r="316">
      <c r="B316" s="10"/>
      <c r="F316" s="14"/>
    </row>
    <row r="317">
      <c r="B317" s="10"/>
      <c r="F317" s="14"/>
    </row>
    <row r="318">
      <c r="B318" s="10"/>
      <c r="F318" s="14"/>
    </row>
    <row r="319">
      <c r="B319" s="10"/>
      <c r="F319" s="14"/>
    </row>
    <row r="320">
      <c r="B320" s="10"/>
      <c r="F320" s="14"/>
    </row>
    <row r="321">
      <c r="B321" s="10"/>
      <c r="F321" s="14"/>
    </row>
    <row r="322">
      <c r="B322" s="10"/>
      <c r="F322" s="14"/>
    </row>
    <row r="323">
      <c r="B323" s="10"/>
      <c r="F323" s="14"/>
    </row>
    <row r="324">
      <c r="B324" s="10"/>
      <c r="F324" s="14"/>
    </row>
    <row r="325">
      <c r="B325" s="10"/>
      <c r="F325" s="14"/>
    </row>
    <row r="326">
      <c r="B326" s="10"/>
      <c r="F326" s="14"/>
    </row>
    <row r="327">
      <c r="B327" s="10"/>
      <c r="F327" s="14"/>
    </row>
    <row r="328">
      <c r="B328" s="10"/>
      <c r="F328" s="14"/>
    </row>
    <row r="329">
      <c r="B329" s="10"/>
      <c r="F329" s="14"/>
    </row>
    <row r="330">
      <c r="B330" s="10"/>
      <c r="F330" s="14"/>
    </row>
    <row r="331">
      <c r="B331" s="10"/>
      <c r="F331" s="14"/>
    </row>
    <row r="332">
      <c r="B332" s="10"/>
      <c r="F332" s="14"/>
    </row>
    <row r="333">
      <c r="B333" s="10"/>
      <c r="F333" s="14"/>
    </row>
    <row r="334">
      <c r="B334" s="10"/>
      <c r="F334" s="14"/>
    </row>
    <row r="335">
      <c r="B335" s="10"/>
      <c r="F335" s="14"/>
    </row>
    <row r="336">
      <c r="B336" s="10"/>
      <c r="F336" s="14"/>
    </row>
    <row r="337">
      <c r="B337" s="10"/>
      <c r="F337" s="14"/>
    </row>
    <row r="338">
      <c r="B338" s="10"/>
      <c r="F338" s="14"/>
    </row>
    <row r="339">
      <c r="B339" s="10"/>
      <c r="F339" s="14"/>
    </row>
    <row r="340">
      <c r="B340" s="10"/>
      <c r="F340" s="14"/>
    </row>
    <row r="341">
      <c r="B341" s="10"/>
      <c r="F341" s="14"/>
    </row>
    <row r="342">
      <c r="B342" s="10"/>
      <c r="F342" s="14"/>
    </row>
    <row r="343">
      <c r="B343" s="10"/>
      <c r="F343" s="14"/>
    </row>
    <row r="344">
      <c r="B344" s="10"/>
      <c r="F344" s="14"/>
    </row>
    <row r="345">
      <c r="B345" s="10"/>
      <c r="F345" s="14"/>
    </row>
    <row r="346">
      <c r="B346" s="10"/>
      <c r="F346" s="14"/>
    </row>
    <row r="347">
      <c r="B347" s="10"/>
      <c r="F347" s="14"/>
    </row>
    <row r="348">
      <c r="B348" s="10"/>
      <c r="F348" s="14"/>
    </row>
    <row r="349">
      <c r="B349" s="10"/>
      <c r="F349" s="14"/>
    </row>
    <row r="350">
      <c r="B350" s="10"/>
      <c r="F350" s="14"/>
    </row>
    <row r="351">
      <c r="B351" s="10"/>
      <c r="F351" s="14"/>
    </row>
    <row r="352">
      <c r="B352" s="10"/>
      <c r="F352" s="14"/>
    </row>
    <row r="353">
      <c r="B353" s="10"/>
      <c r="F353" s="14"/>
    </row>
    <row r="354">
      <c r="B354" s="10"/>
      <c r="F354" s="14"/>
    </row>
    <row r="355">
      <c r="B355" s="10"/>
      <c r="F355" s="14"/>
    </row>
    <row r="356">
      <c r="B356" s="10"/>
      <c r="F356" s="14"/>
    </row>
    <row r="357">
      <c r="B357" s="10"/>
      <c r="F357" s="14"/>
    </row>
    <row r="358">
      <c r="B358" s="10"/>
      <c r="F358" s="14"/>
    </row>
    <row r="359">
      <c r="B359" s="10"/>
      <c r="F359" s="14"/>
    </row>
    <row r="360">
      <c r="B360" s="10"/>
      <c r="F360" s="14"/>
    </row>
    <row r="361">
      <c r="B361" s="10"/>
      <c r="F361" s="14"/>
    </row>
    <row r="362">
      <c r="B362" s="10"/>
      <c r="F362" s="14"/>
    </row>
    <row r="363">
      <c r="B363" s="10"/>
      <c r="F363" s="14"/>
    </row>
    <row r="364">
      <c r="B364" s="10"/>
      <c r="F364" s="14"/>
    </row>
    <row r="365">
      <c r="B365" s="10"/>
      <c r="F365" s="14"/>
    </row>
    <row r="366">
      <c r="B366" s="10"/>
      <c r="F366" s="14"/>
    </row>
    <row r="367">
      <c r="B367" s="10"/>
      <c r="F367" s="14"/>
    </row>
    <row r="368">
      <c r="B368" s="10"/>
      <c r="F368" s="14"/>
    </row>
    <row r="369">
      <c r="B369" s="10"/>
      <c r="F369" s="14"/>
    </row>
    <row r="370">
      <c r="B370" s="10"/>
      <c r="F370" s="14"/>
    </row>
    <row r="371">
      <c r="B371" s="10"/>
      <c r="F371" s="14"/>
    </row>
    <row r="372">
      <c r="B372" s="10"/>
      <c r="F372" s="14"/>
    </row>
    <row r="373">
      <c r="B373" s="10"/>
      <c r="F373" s="14"/>
    </row>
    <row r="374">
      <c r="B374" s="10"/>
      <c r="F374" s="14"/>
    </row>
    <row r="375">
      <c r="B375" s="10"/>
      <c r="F375" s="14"/>
    </row>
    <row r="376">
      <c r="B376" s="10"/>
      <c r="F376" s="14"/>
    </row>
    <row r="377">
      <c r="B377" s="10"/>
      <c r="F377" s="14"/>
    </row>
    <row r="378">
      <c r="B378" s="10"/>
      <c r="F378" s="14"/>
    </row>
    <row r="379">
      <c r="B379" s="10"/>
      <c r="F379" s="14"/>
    </row>
    <row r="380">
      <c r="B380" s="10"/>
      <c r="F380" s="14"/>
    </row>
    <row r="381">
      <c r="B381" s="10"/>
      <c r="F381" s="14"/>
    </row>
    <row r="382">
      <c r="B382" s="10"/>
      <c r="F382" s="14"/>
    </row>
    <row r="383">
      <c r="B383" s="10"/>
      <c r="F383" s="14"/>
    </row>
    <row r="384">
      <c r="B384" s="10"/>
      <c r="F384" s="14"/>
    </row>
    <row r="385">
      <c r="B385" s="10"/>
      <c r="F385" s="14"/>
    </row>
    <row r="386">
      <c r="B386" s="10"/>
      <c r="F386" s="14"/>
    </row>
    <row r="387">
      <c r="B387" s="10"/>
      <c r="F387" s="14"/>
    </row>
    <row r="388">
      <c r="B388" s="10"/>
      <c r="F388" s="14"/>
    </row>
    <row r="389">
      <c r="B389" s="10"/>
      <c r="F389" s="14"/>
    </row>
    <row r="390">
      <c r="B390" s="10"/>
      <c r="F390" s="14"/>
    </row>
    <row r="391">
      <c r="B391" s="10"/>
      <c r="F391" s="14"/>
    </row>
    <row r="392">
      <c r="B392" s="10"/>
      <c r="F392" s="14"/>
    </row>
    <row r="393">
      <c r="B393" s="10"/>
      <c r="F393" s="14"/>
    </row>
    <row r="394">
      <c r="B394" s="10"/>
      <c r="F394" s="14"/>
    </row>
    <row r="395">
      <c r="B395" s="10"/>
      <c r="F395" s="14"/>
    </row>
    <row r="396">
      <c r="B396" s="10"/>
      <c r="F396" s="14"/>
    </row>
    <row r="397">
      <c r="B397" s="10"/>
      <c r="F397" s="14"/>
    </row>
    <row r="398">
      <c r="B398" s="10"/>
      <c r="F398" s="14"/>
    </row>
    <row r="399">
      <c r="B399" s="10"/>
      <c r="F399" s="14"/>
    </row>
    <row r="400">
      <c r="B400" s="10"/>
      <c r="F400" s="14"/>
    </row>
    <row r="401">
      <c r="B401" s="10"/>
      <c r="F401" s="14"/>
    </row>
    <row r="402">
      <c r="B402" s="10"/>
      <c r="F402" s="14"/>
    </row>
    <row r="403">
      <c r="B403" s="10"/>
      <c r="F403" s="14"/>
    </row>
    <row r="404">
      <c r="B404" s="10"/>
      <c r="F404" s="14"/>
    </row>
    <row r="405">
      <c r="B405" s="10"/>
      <c r="F405" s="14"/>
    </row>
    <row r="406">
      <c r="B406" s="10"/>
      <c r="F406" s="14"/>
    </row>
    <row r="407">
      <c r="B407" s="10"/>
      <c r="F407" s="14"/>
    </row>
    <row r="408">
      <c r="B408" s="10"/>
      <c r="F408" s="14"/>
    </row>
    <row r="409">
      <c r="B409" s="10"/>
      <c r="F409" s="14"/>
    </row>
    <row r="410">
      <c r="B410" s="10"/>
      <c r="F410" s="14"/>
    </row>
    <row r="411">
      <c r="B411" s="10"/>
      <c r="F411" s="14"/>
    </row>
    <row r="412">
      <c r="B412" s="10"/>
      <c r="F412" s="14"/>
    </row>
    <row r="413">
      <c r="B413" s="10"/>
      <c r="F413" s="14"/>
    </row>
    <row r="414">
      <c r="B414" s="10"/>
      <c r="F414" s="14"/>
    </row>
    <row r="415">
      <c r="B415" s="10"/>
      <c r="F415" s="14"/>
    </row>
    <row r="416">
      <c r="B416" s="10"/>
      <c r="F416" s="14"/>
    </row>
    <row r="417">
      <c r="B417" s="10"/>
      <c r="F417" s="14"/>
    </row>
    <row r="418">
      <c r="B418" s="10"/>
      <c r="F418" s="14"/>
    </row>
    <row r="419">
      <c r="B419" s="10"/>
      <c r="F419" s="14"/>
    </row>
    <row r="420">
      <c r="B420" s="10"/>
      <c r="F420" s="14"/>
    </row>
    <row r="421">
      <c r="B421" s="10"/>
      <c r="F421" s="14"/>
    </row>
    <row r="422">
      <c r="B422" s="10"/>
      <c r="F422" s="14"/>
    </row>
    <row r="423">
      <c r="B423" s="10"/>
      <c r="F423" s="14"/>
    </row>
    <row r="424">
      <c r="B424" s="10"/>
      <c r="F424" s="14"/>
    </row>
    <row r="425">
      <c r="B425" s="10"/>
      <c r="F425" s="14"/>
    </row>
    <row r="426">
      <c r="B426" s="10"/>
      <c r="F426" s="14"/>
    </row>
    <row r="427">
      <c r="B427" s="10"/>
      <c r="F427" s="14"/>
    </row>
    <row r="428">
      <c r="B428" s="10"/>
      <c r="F428" s="14"/>
    </row>
    <row r="429">
      <c r="B429" s="10"/>
      <c r="F429" s="14"/>
    </row>
    <row r="430">
      <c r="B430" s="10"/>
      <c r="F430" s="14"/>
    </row>
    <row r="431">
      <c r="B431" s="10"/>
      <c r="F431" s="14"/>
    </row>
    <row r="432">
      <c r="B432" s="10"/>
      <c r="F432" s="14"/>
    </row>
    <row r="433">
      <c r="B433" s="10"/>
      <c r="F433" s="14"/>
    </row>
    <row r="434">
      <c r="B434" s="10"/>
      <c r="F434" s="14"/>
    </row>
    <row r="435">
      <c r="B435" s="10"/>
      <c r="F435" s="14"/>
    </row>
    <row r="436">
      <c r="B436" s="10"/>
      <c r="F436" s="14"/>
    </row>
    <row r="437">
      <c r="B437" s="10"/>
      <c r="F437" s="14"/>
    </row>
    <row r="438">
      <c r="B438" s="10"/>
      <c r="F438" s="14"/>
    </row>
    <row r="439">
      <c r="B439" s="10"/>
      <c r="F439" s="14"/>
    </row>
    <row r="440">
      <c r="B440" s="10"/>
      <c r="F440" s="14"/>
    </row>
    <row r="441">
      <c r="B441" s="10"/>
      <c r="F441" s="14"/>
    </row>
    <row r="442">
      <c r="B442" s="10"/>
      <c r="F442" s="14"/>
    </row>
    <row r="443">
      <c r="B443" s="10"/>
      <c r="F443" s="14"/>
    </row>
    <row r="444">
      <c r="B444" s="10"/>
      <c r="F444" s="14"/>
    </row>
    <row r="445">
      <c r="B445" s="10"/>
      <c r="F445" s="14"/>
    </row>
    <row r="446">
      <c r="B446" s="10"/>
      <c r="F446" s="14"/>
    </row>
    <row r="447">
      <c r="B447" s="10"/>
      <c r="F447" s="14"/>
    </row>
    <row r="448">
      <c r="B448" s="10"/>
      <c r="F448" s="14"/>
    </row>
    <row r="449">
      <c r="B449" s="10"/>
      <c r="F449" s="14"/>
    </row>
    <row r="450">
      <c r="B450" s="10"/>
      <c r="F450" s="14"/>
    </row>
    <row r="451">
      <c r="B451" s="10"/>
      <c r="F451" s="14"/>
    </row>
    <row r="452">
      <c r="B452" s="10"/>
      <c r="F452" s="14"/>
    </row>
    <row r="453">
      <c r="B453" s="10"/>
      <c r="F453" s="14"/>
    </row>
    <row r="454">
      <c r="B454" s="10"/>
      <c r="F454" s="14"/>
    </row>
    <row r="455">
      <c r="B455" s="10"/>
      <c r="F455" s="14"/>
    </row>
    <row r="456">
      <c r="B456" s="10"/>
      <c r="F456" s="14"/>
    </row>
    <row r="457">
      <c r="B457" s="10"/>
      <c r="F457" s="14"/>
    </row>
    <row r="458">
      <c r="B458" s="10"/>
      <c r="F458" s="14"/>
    </row>
    <row r="459">
      <c r="B459" s="10"/>
      <c r="F459" s="14"/>
    </row>
    <row r="460">
      <c r="B460" s="10"/>
      <c r="F460" s="14"/>
    </row>
    <row r="461">
      <c r="B461" s="10"/>
      <c r="F461" s="14"/>
    </row>
    <row r="462">
      <c r="B462" s="10"/>
      <c r="F462" s="14"/>
    </row>
    <row r="463">
      <c r="B463" s="10"/>
      <c r="F463" s="14"/>
    </row>
    <row r="464">
      <c r="B464" s="10"/>
      <c r="F464" s="14"/>
    </row>
    <row r="465">
      <c r="B465" s="10"/>
      <c r="F465" s="14"/>
    </row>
    <row r="466">
      <c r="B466" s="10"/>
      <c r="F466" s="14"/>
    </row>
    <row r="467">
      <c r="B467" s="10"/>
      <c r="F467" s="14"/>
    </row>
    <row r="468">
      <c r="B468" s="10"/>
      <c r="F468" s="14"/>
    </row>
    <row r="469">
      <c r="B469" s="10"/>
      <c r="F469" s="14"/>
    </row>
    <row r="470">
      <c r="B470" s="10"/>
      <c r="F470" s="14"/>
    </row>
    <row r="471">
      <c r="B471" s="10"/>
      <c r="F471" s="14"/>
    </row>
    <row r="472">
      <c r="B472" s="10"/>
      <c r="F472" s="14"/>
    </row>
    <row r="473">
      <c r="B473" s="10"/>
      <c r="F473" s="14"/>
    </row>
    <row r="474">
      <c r="B474" s="10"/>
      <c r="F474" s="14"/>
    </row>
    <row r="475">
      <c r="B475" s="10"/>
      <c r="F475" s="14"/>
    </row>
    <row r="476">
      <c r="B476" s="10"/>
      <c r="F476" s="14"/>
    </row>
    <row r="477">
      <c r="B477" s="10"/>
      <c r="F477" s="14"/>
    </row>
    <row r="478">
      <c r="B478" s="10"/>
      <c r="F478" s="14"/>
    </row>
    <row r="479">
      <c r="B479" s="10"/>
      <c r="F479" s="14"/>
    </row>
    <row r="480">
      <c r="B480" s="10"/>
      <c r="F480" s="14"/>
    </row>
    <row r="481">
      <c r="B481" s="10"/>
      <c r="F481" s="14"/>
    </row>
    <row r="482">
      <c r="B482" s="10"/>
      <c r="F482" s="14"/>
    </row>
    <row r="483">
      <c r="B483" s="10"/>
      <c r="F483" s="14"/>
    </row>
    <row r="484">
      <c r="B484" s="10"/>
      <c r="F484" s="14"/>
    </row>
    <row r="485">
      <c r="B485" s="10"/>
      <c r="F485" s="14"/>
    </row>
    <row r="486">
      <c r="B486" s="10"/>
      <c r="F486" s="14"/>
    </row>
    <row r="487">
      <c r="B487" s="10"/>
      <c r="F487" s="14"/>
    </row>
    <row r="488">
      <c r="B488" s="10"/>
      <c r="F488" s="14"/>
    </row>
    <row r="489">
      <c r="B489" s="10"/>
      <c r="F489" s="14"/>
    </row>
    <row r="490">
      <c r="B490" s="10"/>
      <c r="F490" s="14"/>
    </row>
    <row r="491">
      <c r="B491" s="10"/>
      <c r="F491" s="14"/>
    </row>
    <row r="492">
      <c r="B492" s="10"/>
      <c r="F492" s="14"/>
    </row>
    <row r="493">
      <c r="B493" s="10"/>
      <c r="F493" s="14"/>
    </row>
    <row r="494">
      <c r="B494" s="10"/>
      <c r="F494" s="14"/>
    </row>
    <row r="495">
      <c r="B495" s="10"/>
      <c r="F495" s="14"/>
    </row>
    <row r="496">
      <c r="B496" s="10"/>
      <c r="F496" s="14"/>
    </row>
    <row r="497">
      <c r="B497" s="10"/>
      <c r="F497" s="14"/>
    </row>
    <row r="498">
      <c r="B498" s="10"/>
      <c r="F498" s="14"/>
    </row>
    <row r="499">
      <c r="B499" s="10"/>
      <c r="F499" s="14"/>
    </row>
    <row r="500">
      <c r="B500" s="10"/>
      <c r="F500" s="14"/>
    </row>
    <row r="501">
      <c r="B501" s="10"/>
      <c r="F501" s="14"/>
    </row>
    <row r="502">
      <c r="B502" s="10"/>
      <c r="F502" s="14"/>
    </row>
    <row r="503">
      <c r="B503" s="10"/>
      <c r="F503" s="14"/>
    </row>
    <row r="504">
      <c r="B504" s="10"/>
      <c r="F504" s="14"/>
    </row>
    <row r="505">
      <c r="B505" s="10"/>
      <c r="F505" s="14"/>
    </row>
    <row r="506">
      <c r="B506" s="10"/>
      <c r="F506" s="14"/>
    </row>
    <row r="507">
      <c r="B507" s="10"/>
      <c r="F507" s="14"/>
    </row>
    <row r="508">
      <c r="B508" s="10"/>
      <c r="F508" s="14"/>
    </row>
    <row r="509">
      <c r="B509" s="10"/>
      <c r="F509" s="14"/>
    </row>
    <row r="510">
      <c r="B510" s="10"/>
      <c r="F510" s="14"/>
    </row>
    <row r="511">
      <c r="B511" s="10"/>
      <c r="F511" s="14"/>
    </row>
    <row r="512">
      <c r="B512" s="10"/>
      <c r="F512" s="14"/>
    </row>
    <row r="513">
      <c r="B513" s="10"/>
      <c r="F513" s="14"/>
    </row>
    <row r="514">
      <c r="B514" s="10"/>
      <c r="F514" s="14"/>
    </row>
    <row r="515">
      <c r="B515" s="10"/>
      <c r="F515" s="14"/>
    </row>
    <row r="516">
      <c r="B516" s="10"/>
      <c r="F516" s="14"/>
    </row>
    <row r="517">
      <c r="B517" s="10"/>
      <c r="F517" s="14"/>
    </row>
    <row r="518">
      <c r="B518" s="10"/>
      <c r="F518" s="14"/>
    </row>
    <row r="519">
      <c r="B519" s="10"/>
      <c r="F519" s="14"/>
    </row>
    <row r="520">
      <c r="B520" s="10"/>
      <c r="F520" s="14"/>
    </row>
    <row r="521">
      <c r="B521" s="10"/>
      <c r="F521" s="14"/>
    </row>
    <row r="522">
      <c r="B522" s="10"/>
      <c r="F522" s="14"/>
    </row>
    <row r="523">
      <c r="B523" s="10"/>
      <c r="F523" s="14"/>
    </row>
    <row r="524">
      <c r="B524" s="10"/>
      <c r="F524" s="14"/>
    </row>
    <row r="525">
      <c r="B525" s="10"/>
      <c r="F525" s="14"/>
    </row>
    <row r="526">
      <c r="B526" s="10"/>
      <c r="F526" s="14"/>
    </row>
    <row r="527">
      <c r="B527" s="10"/>
      <c r="F527" s="14"/>
    </row>
    <row r="528">
      <c r="B528" s="10"/>
      <c r="F528" s="14"/>
    </row>
    <row r="529">
      <c r="B529" s="10"/>
      <c r="F529" s="14"/>
    </row>
    <row r="530">
      <c r="B530" s="10"/>
      <c r="F530" s="14"/>
    </row>
    <row r="531">
      <c r="B531" s="10"/>
      <c r="F531" s="14"/>
    </row>
    <row r="532">
      <c r="B532" s="10"/>
      <c r="F532" s="14"/>
    </row>
    <row r="533">
      <c r="B533" s="10"/>
      <c r="F533" s="14"/>
    </row>
    <row r="534">
      <c r="B534" s="10"/>
      <c r="F534" s="14"/>
    </row>
    <row r="535">
      <c r="B535" s="10"/>
      <c r="F535" s="14"/>
    </row>
    <row r="536">
      <c r="B536" s="10"/>
      <c r="F536" s="14"/>
    </row>
    <row r="537">
      <c r="B537" s="10"/>
      <c r="F537" s="14"/>
    </row>
    <row r="538">
      <c r="B538" s="10"/>
      <c r="F538" s="14"/>
    </row>
    <row r="539">
      <c r="B539" s="10"/>
      <c r="F539" s="14"/>
    </row>
    <row r="540">
      <c r="B540" s="10"/>
      <c r="F540" s="14"/>
    </row>
    <row r="541">
      <c r="B541" s="10"/>
      <c r="F541" s="14"/>
    </row>
    <row r="542">
      <c r="B542" s="10"/>
      <c r="F542" s="14"/>
    </row>
    <row r="543">
      <c r="B543" s="10"/>
      <c r="F543" s="14"/>
    </row>
    <row r="544">
      <c r="B544" s="10"/>
      <c r="F544" s="14"/>
    </row>
    <row r="545">
      <c r="B545" s="10"/>
      <c r="F545" s="14"/>
    </row>
    <row r="546">
      <c r="B546" s="10"/>
      <c r="F546" s="14"/>
    </row>
    <row r="547">
      <c r="B547" s="10"/>
      <c r="F547" s="14"/>
    </row>
    <row r="548">
      <c r="B548" s="10"/>
      <c r="F548" s="14"/>
    </row>
    <row r="549">
      <c r="B549" s="10"/>
      <c r="F549" s="14"/>
    </row>
    <row r="550">
      <c r="B550" s="10"/>
      <c r="F550" s="14"/>
    </row>
    <row r="551">
      <c r="B551" s="10"/>
      <c r="F551" s="14"/>
    </row>
    <row r="552">
      <c r="B552" s="10"/>
      <c r="F552" s="14"/>
    </row>
    <row r="553">
      <c r="B553" s="10"/>
      <c r="F553" s="14"/>
    </row>
    <row r="554">
      <c r="B554" s="10"/>
      <c r="F554" s="14"/>
    </row>
    <row r="555">
      <c r="B555" s="10"/>
      <c r="F555" s="14"/>
    </row>
    <row r="556">
      <c r="B556" s="10"/>
      <c r="F556" s="14"/>
    </row>
    <row r="557">
      <c r="B557" s="10"/>
      <c r="F557" s="14"/>
    </row>
    <row r="558">
      <c r="B558" s="10"/>
      <c r="F558" s="14"/>
    </row>
    <row r="559">
      <c r="B559" s="10"/>
      <c r="F559" s="14"/>
    </row>
    <row r="560">
      <c r="B560" s="10"/>
      <c r="F560" s="14"/>
    </row>
    <row r="561">
      <c r="B561" s="10"/>
      <c r="F561" s="14"/>
    </row>
    <row r="562">
      <c r="B562" s="10"/>
      <c r="F562" s="14"/>
    </row>
    <row r="563">
      <c r="B563" s="10"/>
      <c r="F563" s="14"/>
    </row>
    <row r="564">
      <c r="B564" s="10"/>
      <c r="F564" s="14"/>
    </row>
    <row r="565">
      <c r="B565" s="10"/>
      <c r="F565" s="14"/>
    </row>
    <row r="566">
      <c r="B566" s="10"/>
      <c r="F566" s="14"/>
    </row>
    <row r="567">
      <c r="B567" s="10"/>
      <c r="F567" s="14"/>
    </row>
    <row r="568">
      <c r="B568" s="10"/>
      <c r="F568" s="14"/>
    </row>
    <row r="569">
      <c r="B569" s="10"/>
      <c r="F569" s="14"/>
    </row>
    <row r="570">
      <c r="B570" s="10"/>
      <c r="F570" s="14"/>
    </row>
    <row r="571">
      <c r="B571" s="10"/>
      <c r="F571" s="14"/>
    </row>
    <row r="572">
      <c r="B572" s="10"/>
      <c r="F572" s="14"/>
    </row>
    <row r="573">
      <c r="B573" s="10"/>
      <c r="F573" s="14"/>
    </row>
    <row r="574">
      <c r="B574" s="10"/>
      <c r="F574" s="14"/>
    </row>
    <row r="575">
      <c r="B575" s="10"/>
      <c r="F575" s="14"/>
    </row>
    <row r="576">
      <c r="B576" s="10"/>
      <c r="F576" s="14"/>
    </row>
    <row r="577">
      <c r="B577" s="10"/>
      <c r="F577" s="14"/>
    </row>
    <row r="578">
      <c r="B578" s="10"/>
      <c r="F578" s="14"/>
    </row>
    <row r="579">
      <c r="B579" s="10"/>
      <c r="F579" s="14"/>
    </row>
    <row r="580">
      <c r="B580" s="10"/>
      <c r="F580" s="14"/>
    </row>
    <row r="581">
      <c r="B581" s="10"/>
      <c r="F581" s="14"/>
    </row>
    <row r="582">
      <c r="B582" s="10"/>
      <c r="F582" s="14"/>
    </row>
    <row r="583">
      <c r="B583" s="10"/>
      <c r="F583" s="14"/>
    </row>
    <row r="584">
      <c r="B584" s="10"/>
      <c r="F584" s="14"/>
    </row>
    <row r="585">
      <c r="B585" s="10"/>
      <c r="F585" s="14"/>
    </row>
    <row r="586">
      <c r="B586" s="10"/>
      <c r="F586" s="14"/>
    </row>
    <row r="587">
      <c r="B587" s="10"/>
      <c r="F587" s="14"/>
    </row>
    <row r="588">
      <c r="B588" s="10"/>
      <c r="F588" s="14"/>
    </row>
    <row r="589">
      <c r="B589" s="10"/>
      <c r="F589" s="14"/>
    </row>
    <row r="590">
      <c r="B590" s="10"/>
      <c r="F590" s="14"/>
    </row>
    <row r="591">
      <c r="B591" s="10"/>
      <c r="F591" s="14"/>
    </row>
    <row r="592">
      <c r="B592" s="10"/>
      <c r="F592" s="14"/>
    </row>
    <row r="593">
      <c r="B593" s="10"/>
      <c r="F593" s="14"/>
    </row>
    <row r="594">
      <c r="B594" s="10"/>
      <c r="F594" s="14"/>
    </row>
    <row r="595">
      <c r="B595" s="10"/>
      <c r="F595" s="14"/>
    </row>
    <row r="596">
      <c r="B596" s="10"/>
      <c r="F596" s="14"/>
    </row>
    <row r="597">
      <c r="B597" s="10"/>
      <c r="F597" s="14"/>
    </row>
    <row r="598">
      <c r="B598" s="10"/>
      <c r="F598" s="14"/>
    </row>
    <row r="599">
      <c r="B599" s="10"/>
      <c r="F599" s="14"/>
    </row>
    <row r="600">
      <c r="B600" s="10"/>
      <c r="F600" s="14"/>
    </row>
    <row r="601">
      <c r="B601" s="10"/>
      <c r="F601" s="14"/>
    </row>
    <row r="602">
      <c r="B602" s="10"/>
      <c r="F602" s="14"/>
    </row>
    <row r="603">
      <c r="B603" s="10"/>
      <c r="F603" s="14"/>
    </row>
    <row r="604">
      <c r="B604" s="10"/>
      <c r="F604" s="14"/>
    </row>
    <row r="605">
      <c r="B605" s="10"/>
      <c r="F605" s="14"/>
    </row>
    <row r="606">
      <c r="B606" s="10"/>
      <c r="F606" s="14"/>
    </row>
    <row r="607">
      <c r="B607" s="10"/>
      <c r="F607" s="14"/>
    </row>
    <row r="608">
      <c r="B608" s="10"/>
      <c r="F608" s="14"/>
    </row>
    <row r="609">
      <c r="B609" s="10"/>
      <c r="F609" s="14"/>
    </row>
    <row r="610">
      <c r="B610" s="10"/>
      <c r="F610" s="14"/>
    </row>
    <row r="611">
      <c r="B611" s="10"/>
      <c r="F611" s="14"/>
    </row>
    <row r="612">
      <c r="B612" s="10"/>
      <c r="F612" s="14"/>
    </row>
    <row r="613">
      <c r="B613" s="10"/>
      <c r="F613" s="14"/>
    </row>
    <row r="614">
      <c r="B614" s="10"/>
      <c r="F614" s="14"/>
    </row>
    <row r="615">
      <c r="B615" s="10"/>
      <c r="F615" s="14"/>
    </row>
    <row r="616">
      <c r="B616" s="10"/>
      <c r="F616" s="14"/>
    </row>
    <row r="617">
      <c r="B617" s="10"/>
      <c r="F617" s="14"/>
    </row>
    <row r="618">
      <c r="B618" s="10"/>
      <c r="F618" s="14"/>
    </row>
    <row r="619">
      <c r="B619" s="10"/>
      <c r="F619" s="14"/>
    </row>
    <row r="620">
      <c r="B620" s="10"/>
      <c r="F620" s="14"/>
    </row>
    <row r="621">
      <c r="B621" s="10"/>
      <c r="F621" s="14"/>
    </row>
    <row r="622">
      <c r="B622" s="10"/>
      <c r="F622" s="14"/>
    </row>
    <row r="623">
      <c r="B623" s="10"/>
      <c r="F623" s="14"/>
    </row>
    <row r="624">
      <c r="B624" s="10"/>
      <c r="F624" s="14"/>
    </row>
    <row r="625">
      <c r="B625" s="10"/>
      <c r="F625" s="14"/>
    </row>
    <row r="626">
      <c r="B626" s="10"/>
      <c r="F626" s="14"/>
    </row>
    <row r="627">
      <c r="B627" s="10"/>
      <c r="F627" s="14"/>
    </row>
    <row r="628">
      <c r="B628" s="10"/>
      <c r="F628" s="14"/>
    </row>
    <row r="629">
      <c r="B629" s="10"/>
      <c r="F629" s="14"/>
    </row>
    <row r="630">
      <c r="B630" s="10"/>
      <c r="F630" s="14"/>
    </row>
    <row r="631">
      <c r="B631" s="10"/>
      <c r="F631" s="14"/>
    </row>
    <row r="632">
      <c r="B632" s="10"/>
      <c r="F632" s="14"/>
    </row>
    <row r="633">
      <c r="B633" s="10"/>
      <c r="F633" s="14"/>
    </row>
    <row r="634">
      <c r="B634" s="10"/>
      <c r="F634" s="14"/>
    </row>
    <row r="635">
      <c r="B635" s="10"/>
      <c r="F635" s="14"/>
    </row>
    <row r="636">
      <c r="B636" s="10"/>
      <c r="F636" s="14"/>
    </row>
    <row r="637">
      <c r="B637" s="10"/>
      <c r="F637" s="14"/>
    </row>
    <row r="638">
      <c r="B638" s="10"/>
      <c r="F638" s="14"/>
    </row>
    <row r="639">
      <c r="B639" s="10"/>
      <c r="F639" s="14"/>
    </row>
    <row r="640">
      <c r="B640" s="10"/>
      <c r="F640" s="14"/>
    </row>
    <row r="641">
      <c r="B641" s="10"/>
      <c r="F641" s="14"/>
    </row>
    <row r="642">
      <c r="B642" s="10"/>
      <c r="F642" s="14"/>
    </row>
    <row r="643">
      <c r="B643" s="10"/>
      <c r="F643" s="14"/>
    </row>
    <row r="644">
      <c r="B644" s="10"/>
      <c r="F644" s="14"/>
    </row>
    <row r="645">
      <c r="B645" s="10"/>
      <c r="F645" s="14"/>
    </row>
    <row r="646">
      <c r="B646" s="10"/>
      <c r="F646" s="14"/>
    </row>
    <row r="647">
      <c r="B647" s="10"/>
      <c r="F647" s="14"/>
    </row>
    <row r="648">
      <c r="B648" s="10"/>
      <c r="F648" s="14"/>
    </row>
    <row r="649">
      <c r="B649" s="10"/>
      <c r="F649" s="14"/>
    </row>
    <row r="650">
      <c r="B650" s="10"/>
      <c r="F650" s="14"/>
    </row>
    <row r="651">
      <c r="B651" s="10"/>
      <c r="F651" s="14"/>
    </row>
    <row r="652">
      <c r="B652" s="10"/>
      <c r="F652" s="14"/>
    </row>
    <row r="653">
      <c r="B653" s="10"/>
      <c r="F653" s="14"/>
    </row>
    <row r="654">
      <c r="B654" s="10"/>
      <c r="F654" s="14"/>
    </row>
    <row r="655">
      <c r="B655" s="10"/>
      <c r="F655" s="14"/>
    </row>
    <row r="656">
      <c r="B656" s="10"/>
      <c r="F656" s="14"/>
    </row>
    <row r="657">
      <c r="B657" s="10"/>
      <c r="F657" s="14"/>
    </row>
    <row r="658">
      <c r="B658" s="10"/>
      <c r="F658" s="14"/>
    </row>
    <row r="659">
      <c r="B659" s="10"/>
      <c r="F659" s="14"/>
    </row>
    <row r="660">
      <c r="B660" s="10"/>
      <c r="F660" s="14"/>
    </row>
    <row r="661">
      <c r="B661" s="10"/>
      <c r="F661" s="14"/>
    </row>
    <row r="662">
      <c r="B662" s="10"/>
      <c r="F662" s="14"/>
    </row>
    <row r="663">
      <c r="B663" s="10"/>
      <c r="F663" s="14"/>
    </row>
    <row r="664">
      <c r="B664" s="10"/>
      <c r="F664" s="14"/>
    </row>
    <row r="665">
      <c r="B665" s="10"/>
      <c r="F665" s="14"/>
    </row>
    <row r="666">
      <c r="B666" s="10"/>
      <c r="F666" s="14"/>
    </row>
    <row r="667">
      <c r="B667" s="10"/>
      <c r="F667" s="14"/>
    </row>
    <row r="668">
      <c r="B668" s="10"/>
      <c r="F668" s="14"/>
    </row>
    <row r="669">
      <c r="B669" s="10"/>
      <c r="F669" s="14"/>
    </row>
    <row r="670">
      <c r="B670" s="10"/>
      <c r="F670" s="14"/>
    </row>
    <row r="671">
      <c r="B671" s="10"/>
      <c r="F671" s="14"/>
    </row>
    <row r="672">
      <c r="B672" s="10"/>
      <c r="F672" s="14"/>
    </row>
    <row r="673">
      <c r="B673" s="10"/>
      <c r="F673" s="14"/>
    </row>
    <row r="674">
      <c r="B674" s="10"/>
      <c r="F674" s="14"/>
    </row>
    <row r="675">
      <c r="B675" s="10"/>
      <c r="F675" s="14"/>
    </row>
    <row r="676">
      <c r="B676" s="10"/>
      <c r="F676" s="14"/>
    </row>
    <row r="677">
      <c r="B677" s="10"/>
      <c r="F677" s="14"/>
    </row>
    <row r="678">
      <c r="B678" s="10"/>
      <c r="F678" s="14"/>
    </row>
    <row r="679">
      <c r="B679" s="10"/>
      <c r="F679" s="14"/>
    </row>
    <row r="680">
      <c r="B680" s="10"/>
      <c r="F680" s="14"/>
    </row>
    <row r="681">
      <c r="B681" s="10"/>
      <c r="F681" s="14"/>
    </row>
    <row r="682">
      <c r="B682" s="10"/>
      <c r="F682" s="14"/>
    </row>
    <row r="683">
      <c r="B683" s="10"/>
      <c r="F683" s="14"/>
    </row>
    <row r="684">
      <c r="B684" s="10"/>
      <c r="F684" s="14"/>
    </row>
    <row r="685">
      <c r="B685" s="10"/>
      <c r="F685" s="14"/>
    </row>
    <row r="686">
      <c r="B686" s="10"/>
      <c r="F686" s="14"/>
    </row>
    <row r="687">
      <c r="B687" s="10"/>
      <c r="F687" s="14"/>
    </row>
    <row r="688">
      <c r="B688" s="10"/>
      <c r="F688" s="14"/>
    </row>
    <row r="689">
      <c r="B689" s="10"/>
      <c r="F689" s="14"/>
    </row>
    <row r="690">
      <c r="B690" s="10"/>
      <c r="F690" s="14"/>
    </row>
    <row r="691">
      <c r="B691" s="10"/>
      <c r="F691" s="14"/>
    </row>
    <row r="692">
      <c r="B692" s="10"/>
      <c r="F692" s="14"/>
    </row>
    <row r="693">
      <c r="B693" s="10"/>
      <c r="F693" s="14"/>
    </row>
    <row r="694">
      <c r="B694" s="10"/>
      <c r="F694" s="14"/>
    </row>
    <row r="695">
      <c r="B695" s="10"/>
      <c r="F695" s="14"/>
    </row>
    <row r="696">
      <c r="B696" s="10"/>
      <c r="F696" s="14"/>
    </row>
    <row r="697">
      <c r="B697" s="10"/>
      <c r="F697" s="14"/>
    </row>
    <row r="698">
      <c r="B698" s="10"/>
      <c r="F698" s="14"/>
    </row>
    <row r="699">
      <c r="B699" s="10"/>
      <c r="F699" s="14"/>
    </row>
    <row r="700">
      <c r="B700" s="10"/>
      <c r="F700" s="14"/>
    </row>
    <row r="701">
      <c r="B701" s="10"/>
      <c r="F701" s="14"/>
    </row>
    <row r="702">
      <c r="B702" s="10"/>
      <c r="F702" s="14"/>
    </row>
    <row r="703">
      <c r="B703" s="10"/>
      <c r="F703" s="14"/>
    </row>
    <row r="704">
      <c r="B704" s="10"/>
      <c r="F704" s="14"/>
    </row>
    <row r="705">
      <c r="B705" s="10"/>
      <c r="F705" s="14"/>
    </row>
    <row r="706">
      <c r="B706" s="10"/>
      <c r="F706" s="14"/>
    </row>
    <row r="707">
      <c r="B707" s="10"/>
      <c r="F707" s="14"/>
    </row>
    <row r="708">
      <c r="B708" s="10"/>
      <c r="F708" s="14"/>
    </row>
    <row r="709">
      <c r="B709" s="10"/>
      <c r="F709" s="14"/>
    </row>
    <row r="710">
      <c r="B710" s="10"/>
      <c r="F710" s="14"/>
    </row>
    <row r="711">
      <c r="B711" s="10"/>
      <c r="F711" s="14"/>
    </row>
    <row r="712">
      <c r="B712" s="10"/>
      <c r="F712" s="14"/>
    </row>
    <row r="713">
      <c r="B713" s="10"/>
      <c r="F713" s="14"/>
    </row>
    <row r="714">
      <c r="B714" s="10"/>
      <c r="F714" s="14"/>
    </row>
    <row r="715">
      <c r="B715" s="10"/>
      <c r="F715" s="14"/>
    </row>
    <row r="716">
      <c r="B716" s="10"/>
      <c r="F716" s="14"/>
    </row>
    <row r="717">
      <c r="B717" s="10"/>
      <c r="F717" s="14"/>
    </row>
    <row r="718">
      <c r="B718" s="10"/>
      <c r="F718" s="14"/>
    </row>
    <row r="719">
      <c r="B719" s="10"/>
      <c r="F719" s="14"/>
    </row>
    <row r="720">
      <c r="B720" s="10"/>
      <c r="F720" s="14"/>
    </row>
    <row r="721">
      <c r="B721" s="10"/>
      <c r="F721" s="14"/>
    </row>
    <row r="722">
      <c r="B722" s="10"/>
      <c r="F722" s="14"/>
    </row>
    <row r="723">
      <c r="B723" s="10"/>
      <c r="F723" s="14"/>
    </row>
    <row r="724">
      <c r="B724" s="10"/>
      <c r="F724" s="14"/>
    </row>
    <row r="725">
      <c r="B725" s="10"/>
      <c r="F725" s="14"/>
    </row>
    <row r="726">
      <c r="B726" s="10"/>
      <c r="F726" s="14"/>
    </row>
    <row r="727">
      <c r="B727" s="10"/>
      <c r="F727" s="14"/>
    </row>
    <row r="728">
      <c r="B728" s="10"/>
      <c r="F728" s="14"/>
    </row>
    <row r="729">
      <c r="B729" s="10"/>
      <c r="F729" s="14"/>
    </row>
    <row r="730">
      <c r="B730" s="10"/>
      <c r="F730" s="14"/>
    </row>
    <row r="731">
      <c r="B731" s="10"/>
      <c r="F731" s="14"/>
    </row>
    <row r="732">
      <c r="B732" s="10"/>
      <c r="F732" s="14"/>
    </row>
    <row r="733">
      <c r="B733" s="10"/>
      <c r="F733" s="14"/>
    </row>
    <row r="734">
      <c r="B734" s="10"/>
      <c r="F734" s="14"/>
    </row>
    <row r="735">
      <c r="B735" s="10"/>
      <c r="F735" s="14"/>
    </row>
    <row r="736">
      <c r="B736" s="10"/>
      <c r="F736" s="14"/>
    </row>
    <row r="737">
      <c r="B737" s="10"/>
      <c r="F737" s="14"/>
    </row>
    <row r="738">
      <c r="B738" s="10"/>
      <c r="F738" s="14"/>
    </row>
    <row r="739">
      <c r="B739" s="10"/>
      <c r="F739" s="14"/>
    </row>
    <row r="740">
      <c r="B740" s="10"/>
      <c r="F740" s="14"/>
    </row>
    <row r="741">
      <c r="B741" s="10"/>
      <c r="F741" s="14"/>
    </row>
    <row r="742">
      <c r="B742" s="10"/>
      <c r="F742" s="14"/>
    </row>
    <row r="743">
      <c r="B743" s="10"/>
      <c r="F743" s="14"/>
    </row>
    <row r="744">
      <c r="B744" s="10"/>
      <c r="F744" s="14"/>
    </row>
    <row r="745">
      <c r="B745" s="10"/>
      <c r="F745" s="14"/>
    </row>
    <row r="746">
      <c r="B746" s="10"/>
      <c r="F746" s="14"/>
    </row>
    <row r="747">
      <c r="B747" s="10"/>
      <c r="F747" s="14"/>
    </row>
    <row r="748">
      <c r="B748" s="10"/>
      <c r="F748" s="14"/>
    </row>
    <row r="749">
      <c r="B749" s="10"/>
      <c r="F749" s="14"/>
    </row>
    <row r="750">
      <c r="B750" s="10"/>
      <c r="F750" s="14"/>
    </row>
    <row r="751">
      <c r="B751" s="10"/>
      <c r="F751" s="14"/>
    </row>
    <row r="752">
      <c r="B752" s="10"/>
      <c r="F752" s="14"/>
    </row>
    <row r="753">
      <c r="B753" s="10"/>
      <c r="F753" s="14"/>
    </row>
    <row r="754">
      <c r="B754" s="10"/>
      <c r="F754" s="14"/>
    </row>
    <row r="755">
      <c r="B755" s="10"/>
      <c r="F755" s="14"/>
    </row>
    <row r="756">
      <c r="B756" s="10"/>
      <c r="F756" s="14"/>
    </row>
    <row r="757">
      <c r="B757" s="10"/>
      <c r="F757" s="14"/>
    </row>
    <row r="758">
      <c r="B758" s="10"/>
      <c r="F758" s="14"/>
    </row>
    <row r="759">
      <c r="B759" s="10"/>
      <c r="F759" s="14"/>
    </row>
    <row r="760">
      <c r="B760" s="10"/>
      <c r="F760" s="14"/>
    </row>
    <row r="761">
      <c r="B761" s="10"/>
      <c r="F761" s="14"/>
    </row>
    <row r="762">
      <c r="B762" s="10"/>
      <c r="F762" s="14"/>
    </row>
    <row r="763">
      <c r="B763" s="10"/>
      <c r="F763" s="14"/>
    </row>
    <row r="764">
      <c r="B764" s="10"/>
      <c r="F764" s="14"/>
    </row>
    <row r="765">
      <c r="B765" s="10"/>
      <c r="F765" s="14"/>
    </row>
    <row r="766">
      <c r="B766" s="10"/>
      <c r="F766" s="14"/>
    </row>
    <row r="767">
      <c r="B767" s="10"/>
      <c r="F767" s="14"/>
    </row>
    <row r="768">
      <c r="B768" s="10"/>
      <c r="F768" s="14"/>
    </row>
    <row r="769">
      <c r="B769" s="10"/>
      <c r="F769" s="14"/>
    </row>
    <row r="770">
      <c r="B770" s="10"/>
      <c r="F770" s="14"/>
    </row>
    <row r="771">
      <c r="B771" s="10"/>
      <c r="F771" s="14"/>
    </row>
    <row r="772">
      <c r="B772" s="10"/>
      <c r="F772" s="14"/>
    </row>
    <row r="773">
      <c r="B773" s="10"/>
      <c r="F773" s="14"/>
    </row>
    <row r="774">
      <c r="B774" s="10"/>
      <c r="F774" s="14"/>
    </row>
    <row r="775">
      <c r="B775" s="10"/>
      <c r="F775" s="14"/>
    </row>
    <row r="776">
      <c r="B776" s="10"/>
      <c r="F776" s="14"/>
    </row>
    <row r="777">
      <c r="B777" s="10"/>
      <c r="F777" s="14"/>
    </row>
    <row r="778">
      <c r="B778" s="10"/>
      <c r="F778" s="14"/>
    </row>
    <row r="779">
      <c r="B779" s="10"/>
      <c r="F779" s="14"/>
    </row>
    <row r="780">
      <c r="B780" s="10"/>
      <c r="F780" s="14"/>
    </row>
    <row r="781">
      <c r="B781" s="10"/>
      <c r="F781" s="14"/>
    </row>
    <row r="782">
      <c r="B782" s="10"/>
      <c r="F782" s="14"/>
    </row>
    <row r="783">
      <c r="B783" s="10"/>
      <c r="F783" s="14"/>
    </row>
    <row r="784">
      <c r="B784" s="10"/>
      <c r="F784" s="14"/>
    </row>
    <row r="785">
      <c r="B785" s="10"/>
      <c r="F785" s="14"/>
    </row>
    <row r="786">
      <c r="B786" s="10"/>
      <c r="F786" s="14"/>
    </row>
    <row r="787">
      <c r="B787" s="10"/>
      <c r="F787" s="14"/>
    </row>
    <row r="788">
      <c r="B788" s="10"/>
      <c r="F788" s="14"/>
    </row>
    <row r="789">
      <c r="B789" s="10"/>
      <c r="F789" s="14"/>
    </row>
    <row r="790">
      <c r="B790" s="10"/>
      <c r="F790" s="14"/>
    </row>
    <row r="791">
      <c r="B791" s="10"/>
      <c r="F791" s="14"/>
    </row>
    <row r="792">
      <c r="B792" s="10"/>
      <c r="F792" s="14"/>
    </row>
    <row r="793">
      <c r="B793" s="10"/>
      <c r="F793" s="14"/>
    </row>
    <row r="794">
      <c r="B794" s="10"/>
      <c r="F794" s="14"/>
    </row>
    <row r="795">
      <c r="B795" s="10"/>
      <c r="F795" s="14"/>
    </row>
    <row r="796">
      <c r="B796" s="10"/>
      <c r="F796" s="14"/>
    </row>
    <row r="797">
      <c r="B797" s="10"/>
      <c r="F797" s="14"/>
    </row>
    <row r="798">
      <c r="B798" s="10"/>
      <c r="F798" s="14"/>
    </row>
    <row r="799">
      <c r="B799" s="10"/>
      <c r="F799" s="14"/>
    </row>
    <row r="800">
      <c r="B800" s="10"/>
      <c r="F800" s="14"/>
    </row>
    <row r="801">
      <c r="B801" s="10"/>
      <c r="F801" s="14"/>
    </row>
    <row r="802">
      <c r="B802" s="10"/>
      <c r="F802" s="14"/>
    </row>
    <row r="803">
      <c r="B803" s="10"/>
      <c r="F803" s="14"/>
    </row>
    <row r="804">
      <c r="B804" s="10"/>
      <c r="F804" s="14"/>
    </row>
    <row r="805">
      <c r="B805" s="10"/>
      <c r="F805" s="14"/>
    </row>
    <row r="806">
      <c r="B806" s="10"/>
      <c r="F806" s="14"/>
    </row>
    <row r="807">
      <c r="B807" s="10"/>
      <c r="F807" s="14"/>
    </row>
    <row r="808">
      <c r="B808" s="10"/>
      <c r="F808" s="14"/>
    </row>
    <row r="809">
      <c r="B809" s="10"/>
      <c r="F809" s="14"/>
    </row>
    <row r="810">
      <c r="B810" s="10"/>
      <c r="F810" s="14"/>
    </row>
    <row r="811">
      <c r="B811" s="10"/>
      <c r="F811" s="14"/>
    </row>
    <row r="812">
      <c r="B812" s="10"/>
      <c r="F812" s="14"/>
    </row>
    <row r="813">
      <c r="B813" s="10"/>
      <c r="F813" s="14"/>
    </row>
    <row r="814">
      <c r="B814" s="10"/>
      <c r="F814" s="14"/>
    </row>
    <row r="815">
      <c r="B815" s="10"/>
      <c r="F815" s="14"/>
    </row>
    <row r="816">
      <c r="B816" s="10"/>
      <c r="F816" s="14"/>
    </row>
    <row r="817">
      <c r="B817" s="10"/>
      <c r="F817" s="14"/>
    </row>
    <row r="818">
      <c r="B818" s="10"/>
      <c r="F818" s="14"/>
    </row>
    <row r="819">
      <c r="B819" s="10"/>
      <c r="F819" s="14"/>
    </row>
    <row r="820">
      <c r="B820" s="10"/>
      <c r="F820" s="14"/>
    </row>
    <row r="821">
      <c r="B821" s="10"/>
      <c r="F821" s="14"/>
    </row>
    <row r="822">
      <c r="B822" s="10"/>
      <c r="F822" s="14"/>
    </row>
    <row r="823">
      <c r="B823" s="10"/>
      <c r="F823" s="14"/>
    </row>
    <row r="824">
      <c r="B824" s="10"/>
      <c r="F824" s="14"/>
    </row>
    <row r="825">
      <c r="B825" s="10"/>
      <c r="F825" s="14"/>
    </row>
    <row r="826">
      <c r="B826" s="10"/>
      <c r="F826" s="14"/>
    </row>
    <row r="827">
      <c r="B827" s="10"/>
      <c r="F827" s="14"/>
    </row>
    <row r="828">
      <c r="B828" s="10"/>
      <c r="F828" s="14"/>
    </row>
    <row r="829">
      <c r="B829" s="10"/>
      <c r="F829" s="14"/>
    </row>
    <row r="830">
      <c r="B830" s="10"/>
      <c r="F830" s="14"/>
    </row>
    <row r="831">
      <c r="B831" s="10"/>
      <c r="F831" s="14"/>
    </row>
    <row r="832">
      <c r="B832" s="10"/>
      <c r="F832" s="14"/>
    </row>
    <row r="833">
      <c r="B833" s="10"/>
      <c r="F833" s="14"/>
    </row>
    <row r="834">
      <c r="B834" s="10"/>
      <c r="F834" s="14"/>
    </row>
    <row r="835">
      <c r="B835" s="10"/>
      <c r="F835" s="14"/>
    </row>
    <row r="836">
      <c r="B836" s="10"/>
      <c r="F836" s="14"/>
    </row>
    <row r="837">
      <c r="B837" s="10"/>
      <c r="F837" s="14"/>
    </row>
    <row r="838">
      <c r="B838" s="10"/>
      <c r="F838" s="14"/>
    </row>
    <row r="839">
      <c r="B839" s="10"/>
      <c r="F839" s="14"/>
    </row>
    <row r="840">
      <c r="B840" s="10"/>
      <c r="F840" s="14"/>
    </row>
    <row r="841">
      <c r="B841" s="10"/>
      <c r="F841" s="14"/>
    </row>
    <row r="842">
      <c r="B842" s="10"/>
      <c r="F842" s="14"/>
    </row>
    <row r="843">
      <c r="B843" s="10"/>
      <c r="F843" s="14"/>
    </row>
    <row r="844">
      <c r="B844" s="10"/>
      <c r="F844" s="14"/>
    </row>
    <row r="845">
      <c r="B845" s="10"/>
      <c r="F845" s="14"/>
    </row>
    <row r="846">
      <c r="B846" s="10"/>
      <c r="F846" s="14"/>
    </row>
    <row r="847">
      <c r="B847" s="10"/>
      <c r="F847" s="14"/>
    </row>
    <row r="848">
      <c r="B848" s="10"/>
      <c r="F848" s="14"/>
    </row>
    <row r="849">
      <c r="B849" s="10"/>
      <c r="F849" s="14"/>
    </row>
    <row r="850">
      <c r="B850" s="10"/>
      <c r="F850" s="14"/>
    </row>
    <row r="851">
      <c r="B851" s="10"/>
      <c r="F851" s="14"/>
    </row>
    <row r="852">
      <c r="B852" s="10"/>
      <c r="F852" s="14"/>
    </row>
    <row r="853">
      <c r="B853" s="10"/>
      <c r="F853" s="14"/>
    </row>
    <row r="854">
      <c r="B854" s="10"/>
      <c r="F854" s="14"/>
    </row>
    <row r="855">
      <c r="B855" s="10"/>
      <c r="F855" s="14"/>
    </row>
    <row r="856">
      <c r="B856" s="10"/>
      <c r="F856" s="14"/>
    </row>
    <row r="857">
      <c r="B857" s="10"/>
      <c r="F857" s="14"/>
    </row>
    <row r="858">
      <c r="B858" s="10"/>
      <c r="F858" s="14"/>
    </row>
    <row r="859">
      <c r="B859" s="10"/>
      <c r="F859" s="14"/>
    </row>
    <row r="860">
      <c r="B860" s="10"/>
      <c r="F860" s="14"/>
    </row>
    <row r="861">
      <c r="B861" s="10"/>
      <c r="F861" s="14"/>
    </row>
    <row r="862">
      <c r="B862" s="10"/>
      <c r="F862" s="14"/>
    </row>
    <row r="863">
      <c r="B863" s="10"/>
      <c r="F863" s="14"/>
    </row>
    <row r="864">
      <c r="B864" s="10"/>
      <c r="F864" s="14"/>
    </row>
    <row r="865">
      <c r="B865" s="10"/>
      <c r="F865" s="14"/>
    </row>
    <row r="866">
      <c r="B866" s="10"/>
      <c r="F866" s="14"/>
    </row>
    <row r="867">
      <c r="B867" s="10"/>
      <c r="F867" s="14"/>
    </row>
    <row r="868">
      <c r="B868" s="10"/>
      <c r="F868" s="14"/>
    </row>
    <row r="869">
      <c r="B869" s="10"/>
      <c r="F869" s="14"/>
    </row>
    <row r="870">
      <c r="B870" s="10"/>
      <c r="F870" s="14"/>
    </row>
    <row r="871">
      <c r="B871" s="10"/>
      <c r="F871" s="14"/>
    </row>
    <row r="872">
      <c r="B872" s="10"/>
      <c r="F872" s="14"/>
    </row>
    <row r="873">
      <c r="B873" s="10"/>
      <c r="F873" s="14"/>
    </row>
    <row r="874">
      <c r="B874" s="10"/>
      <c r="F874" s="14"/>
    </row>
    <row r="875">
      <c r="B875" s="10"/>
      <c r="F875" s="14"/>
    </row>
    <row r="876">
      <c r="B876" s="10"/>
      <c r="F876" s="14"/>
    </row>
    <row r="877">
      <c r="B877" s="10"/>
      <c r="F877" s="14"/>
    </row>
    <row r="878">
      <c r="B878" s="10"/>
      <c r="F878" s="14"/>
    </row>
    <row r="879">
      <c r="B879" s="10"/>
      <c r="F879" s="14"/>
    </row>
    <row r="880">
      <c r="B880" s="10"/>
      <c r="F880" s="14"/>
    </row>
    <row r="881">
      <c r="B881" s="10"/>
      <c r="F881" s="14"/>
    </row>
    <row r="882">
      <c r="B882" s="10"/>
      <c r="F882" s="14"/>
    </row>
    <row r="883">
      <c r="B883" s="10"/>
      <c r="F883" s="14"/>
    </row>
    <row r="884">
      <c r="B884" s="10"/>
      <c r="F884" s="14"/>
    </row>
    <row r="885">
      <c r="B885" s="10"/>
      <c r="F885" s="14"/>
    </row>
    <row r="886">
      <c r="B886" s="10"/>
      <c r="F886" s="14"/>
    </row>
    <row r="887">
      <c r="B887" s="10"/>
      <c r="F887" s="14"/>
    </row>
    <row r="888">
      <c r="B888" s="10"/>
      <c r="F888" s="14"/>
    </row>
    <row r="889">
      <c r="B889" s="10"/>
      <c r="F889" s="14"/>
    </row>
    <row r="890">
      <c r="B890" s="10"/>
      <c r="F890" s="14"/>
    </row>
    <row r="891">
      <c r="B891" s="10"/>
      <c r="F891" s="14"/>
    </row>
    <row r="892">
      <c r="B892" s="10"/>
      <c r="F892" s="14"/>
    </row>
    <row r="893">
      <c r="B893" s="10"/>
      <c r="F893" s="14"/>
    </row>
    <row r="894">
      <c r="B894" s="10"/>
      <c r="F894" s="14"/>
    </row>
    <row r="895">
      <c r="B895" s="10"/>
      <c r="F895" s="14"/>
    </row>
    <row r="896">
      <c r="B896" s="10"/>
      <c r="F896" s="14"/>
    </row>
    <row r="897">
      <c r="B897" s="10"/>
      <c r="F897" s="14"/>
    </row>
    <row r="898">
      <c r="B898" s="10"/>
      <c r="F898" s="14"/>
    </row>
    <row r="899">
      <c r="B899" s="10"/>
      <c r="F899" s="14"/>
    </row>
    <row r="900">
      <c r="B900" s="10"/>
      <c r="F900" s="14"/>
    </row>
    <row r="901">
      <c r="B901" s="10"/>
      <c r="F901" s="14"/>
    </row>
    <row r="902">
      <c r="B902" s="10"/>
      <c r="F902" s="14"/>
    </row>
    <row r="903">
      <c r="B903" s="10"/>
      <c r="F903" s="14"/>
    </row>
    <row r="904">
      <c r="B904" s="10"/>
      <c r="F904" s="14"/>
    </row>
    <row r="905">
      <c r="B905" s="10"/>
      <c r="F905" s="14"/>
    </row>
    <row r="906">
      <c r="B906" s="10"/>
      <c r="F906" s="14"/>
    </row>
    <row r="907">
      <c r="B907" s="10"/>
      <c r="F907" s="14"/>
    </row>
    <row r="908">
      <c r="B908" s="10"/>
      <c r="F908" s="14"/>
    </row>
    <row r="909">
      <c r="B909" s="10"/>
      <c r="F909" s="14"/>
    </row>
    <row r="910">
      <c r="B910" s="10"/>
      <c r="F910" s="14"/>
    </row>
    <row r="911">
      <c r="B911" s="10"/>
      <c r="F911" s="14"/>
    </row>
    <row r="912">
      <c r="B912" s="10"/>
      <c r="F912" s="14"/>
    </row>
    <row r="913">
      <c r="B913" s="10"/>
      <c r="F913" s="14"/>
    </row>
    <row r="914">
      <c r="B914" s="10"/>
      <c r="F914" s="14"/>
    </row>
    <row r="915">
      <c r="B915" s="10"/>
      <c r="F915" s="14"/>
    </row>
    <row r="916">
      <c r="B916" s="10"/>
      <c r="F916" s="14"/>
    </row>
    <row r="917">
      <c r="B917" s="10"/>
      <c r="F917" s="14"/>
    </row>
    <row r="918">
      <c r="B918" s="10"/>
      <c r="F918" s="14"/>
    </row>
    <row r="919">
      <c r="B919" s="10"/>
      <c r="F919" s="14"/>
    </row>
    <row r="920">
      <c r="B920" s="10"/>
      <c r="F920" s="14"/>
    </row>
    <row r="921">
      <c r="B921" s="10"/>
      <c r="F921" s="14"/>
    </row>
    <row r="922">
      <c r="B922" s="10"/>
      <c r="F922" s="14"/>
    </row>
    <row r="923">
      <c r="B923" s="10"/>
      <c r="F923" s="14"/>
    </row>
    <row r="924">
      <c r="B924" s="10"/>
      <c r="F924" s="14"/>
    </row>
    <row r="925">
      <c r="B925" s="10"/>
      <c r="F925" s="14"/>
    </row>
    <row r="926">
      <c r="B926" s="10"/>
      <c r="F926" s="14"/>
    </row>
    <row r="927">
      <c r="B927" s="10"/>
      <c r="F927" s="14"/>
    </row>
    <row r="928">
      <c r="B928" s="10"/>
      <c r="F928" s="14"/>
    </row>
    <row r="929">
      <c r="B929" s="10"/>
      <c r="F929" s="14"/>
    </row>
    <row r="930">
      <c r="B930" s="10"/>
      <c r="F930" s="14"/>
    </row>
    <row r="931">
      <c r="B931" s="10"/>
      <c r="F931" s="14"/>
    </row>
    <row r="932">
      <c r="B932" s="10"/>
      <c r="F932" s="14"/>
    </row>
    <row r="933">
      <c r="B933" s="10"/>
      <c r="F933" s="14"/>
    </row>
    <row r="934">
      <c r="B934" s="10"/>
      <c r="F934" s="14"/>
    </row>
    <row r="935">
      <c r="B935" s="10"/>
      <c r="F935" s="14"/>
    </row>
    <row r="936">
      <c r="B936" s="10"/>
      <c r="F936" s="14"/>
    </row>
    <row r="937">
      <c r="B937" s="10"/>
      <c r="F937" s="14"/>
    </row>
    <row r="938">
      <c r="B938" s="10"/>
      <c r="F938" s="14"/>
    </row>
    <row r="939">
      <c r="B939" s="10"/>
      <c r="F939" s="14"/>
    </row>
    <row r="940">
      <c r="B940" s="10"/>
      <c r="F940" s="14"/>
    </row>
    <row r="941">
      <c r="B941" s="10"/>
      <c r="F941" s="14"/>
    </row>
    <row r="942">
      <c r="B942" s="10"/>
      <c r="F942" s="14"/>
    </row>
    <row r="943">
      <c r="B943" s="10"/>
      <c r="F943" s="14"/>
    </row>
    <row r="944">
      <c r="B944" s="10"/>
      <c r="F944" s="14"/>
    </row>
    <row r="945">
      <c r="B945" s="10"/>
      <c r="F945" s="14"/>
    </row>
    <row r="946">
      <c r="B946" s="10"/>
      <c r="F946" s="14"/>
    </row>
    <row r="947">
      <c r="B947" s="10"/>
      <c r="F947" s="14"/>
    </row>
    <row r="948">
      <c r="B948" s="10"/>
      <c r="F948" s="14"/>
    </row>
    <row r="949">
      <c r="B949" s="10"/>
      <c r="F949" s="14"/>
    </row>
    <row r="950">
      <c r="B950" s="10"/>
      <c r="F950" s="14"/>
    </row>
    <row r="951">
      <c r="B951" s="10"/>
      <c r="F951" s="14"/>
    </row>
    <row r="952">
      <c r="B952" s="10"/>
      <c r="F952" s="14"/>
    </row>
    <row r="953">
      <c r="B953" s="10"/>
      <c r="F953" s="14"/>
    </row>
    <row r="954">
      <c r="B954" s="10"/>
      <c r="F954" s="14"/>
    </row>
    <row r="955">
      <c r="B955" s="10"/>
      <c r="F955" s="14"/>
    </row>
    <row r="956">
      <c r="B956" s="10"/>
      <c r="F956" s="14"/>
    </row>
    <row r="957">
      <c r="B957" s="10"/>
      <c r="F957" s="14"/>
    </row>
    <row r="958">
      <c r="B958" s="10"/>
      <c r="F958" s="14"/>
    </row>
    <row r="959">
      <c r="B959" s="10"/>
      <c r="F959" s="14"/>
    </row>
    <row r="960">
      <c r="B960" s="10"/>
      <c r="F960" s="14"/>
    </row>
    <row r="961">
      <c r="B961" s="10"/>
      <c r="F961" s="14"/>
    </row>
    <row r="962">
      <c r="B962" s="10"/>
      <c r="F962" s="14"/>
    </row>
    <row r="963">
      <c r="B963" s="10"/>
      <c r="F963" s="14"/>
    </row>
    <row r="964">
      <c r="B964" s="10"/>
      <c r="F964" s="14"/>
    </row>
    <row r="965">
      <c r="B965" s="10"/>
      <c r="F965" s="14"/>
    </row>
    <row r="966">
      <c r="B966" s="10"/>
      <c r="F966" s="14"/>
    </row>
    <row r="967">
      <c r="B967" s="10"/>
      <c r="F967" s="14"/>
    </row>
    <row r="968">
      <c r="B968" s="10"/>
      <c r="F968" s="14"/>
    </row>
    <row r="969">
      <c r="B969" s="10"/>
      <c r="F969" s="14"/>
    </row>
    <row r="970">
      <c r="B970" s="10"/>
      <c r="F970" s="14"/>
    </row>
    <row r="971">
      <c r="B971" s="10"/>
      <c r="F971" s="14"/>
    </row>
    <row r="972">
      <c r="B972" s="10"/>
      <c r="F972" s="14"/>
    </row>
    <row r="973">
      <c r="B973" s="10"/>
      <c r="F973" s="14"/>
    </row>
    <row r="974">
      <c r="B974" s="10"/>
      <c r="F974" s="14"/>
    </row>
    <row r="975">
      <c r="B975" s="10"/>
      <c r="F975" s="14"/>
    </row>
    <row r="976">
      <c r="B976" s="10"/>
      <c r="F976" s="14"/>
    </row>
    <row r="977">
      <c r="B977" s="10"/>
      <c r="F977" s="14"/>
    </row>
    <row r="978">
      <c r="B978" s="10"/>
      <c r="F978" s="14"/>
    </row>
    <row r="979">
      <c r="B979" s="10"/>
      <c r="F979" s="14"/>
    </row>
    <row r="980">
      <c r="B980" s="10"/>
      <c r="F980" s="14"/>
    </row>
    <row r="981">
      <c r="B981" s="10"/>
      <c r="F981" s="14"/>
    </row>
    <row r="982">
      <c r="B982" s="10"/>
      <c r="F982" s="14"/>
    </row>
    <row r="983">
      <c r="B983" s="10"/>
      <c r="F983" s="14"/>
    </row>
    <row r="984">
      <c r="B984" s="10"/>
      <c r="F984" s="14"/>
    </row>
    <row r="985">
      <c r="B985" s="10"/>
      <c r="F985" s="14"/>
    </row>
    <row r="986">
      <c r="B986" s="10"/>
      <c r="F986" s="14"/>
    </row>
    <row r="987">
      <c r="B987" s="10"/>
      <c r="F987" s="14"/>
    </row>
    <row r="988">
      <c r="B988" s="10"/>
      <c r="F988" s="14"/>
    </row>
    <row r="989">
      <c r="B989" s="10"/>
      <c r="F989" s="14"/>
    </row>
    <row r="990">
      <c r="B990" s="10"/>
      <c r="F990" s="14"/>
    </row>
    <row r="991">
      <c r="B991" s="10"/>
      <c r="F991" s="14"/>
    </row>
    <row r="992">
      <c r="B992" s="10"/>
      <c r="F992" s="14"/>
    </row>
    <row r="993">
      <c r="B993" s="10"/>
      <c r="F993" s="14"/>
    </row>
    <row r="994">
      <c r="B994" s="10"/>
      <c r="F994" s="14"/>
    </row>
    <row r="995">
      <c r="B995" s="10"/>
      <c r="F995" s="14"/>
    </row>
    <row r="996">
      <c r="B996" s="10"/>
      <c r="F996" s="14"/>
    </row>
    <row r="997">
      <c r="B997" s="10"/>
      <c r="F997" s="14"/>
    </row>
    <row r="998">
      <c r="B998" s="10"/>
      <c r="F998" s="14"/>
    </row>
    <row r="999">
      <c r="B999" s="10"/>
      <c r="F999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3.75"/>
    <col customWidth="1" min="3" max="3" width="16.5"/>
  </cols>
  <sheetData>
    <row r="1">
      <c r="A1" s="20" t="s">
        <v>25</v>
      </c>
      <c r="B1" s="1" t="s">
        <v>26</v>
      </c>
      <c r="C1" s="3" t="s">
        <v>27</v>
      </c>
      <c r="D1" s="1" t="s">
        <v>6</v>
      </c>
      <c r="E1" s="1" t="s">
        <v>19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21" t="s">
        <v>20</v>
      </c>
      <c r="B2" s="5">
        <v>13.0</v>
      </c>
      <c r="C2" s="7">
        <v>500.0</v>
      </c>
      <c r="D2" s="5" t="s">
        <v>28</v>
      </c>
      <c r="E2" s="16" t="str">
        <f t="array" ref="E2">IFERROR(IF(A2&lt;&gt;"", INDEX(icons!B:B, MATCH(A2,icons!A:A,0)),""),"")</f>
        <v>https://play-lh.googleusercontent.com/O5Z9jsv79WTfdd37TFPyIwAQjNotIZTTEC6sOXaD3_2IXrMjtOI2ZnqReOicI3TgmqI</v>
      </c>
    </row>
    <row r="3">
      <c r="A3" s="21" t="s">
        <v>29</v>
      </c>
      <c r="B3" s="5">
        <v>10.0</v>
      </c>
      <c r="C3" s="7">
        <v>0.0</v>
      </c>
      <c r="D3" s="5" t="s">
        <v>30</v>
      </c>
      <c r="E3" s="16" t="str">
        <f t="array" ref="E3">IFERROR(IF(A3&lt;&gt;"", INDEX(icons!B:B, MATCH(A3,icons!A:A,0)),""),"")</f>
        <v>https://www.publicitarioscriativos.com/wp-content/uploads/2024/05/442415684_844179061088736_7389654490654112245_n.jpg</v>
      </c>
    </row>
    <row r="4">
      <c r="A4" s="21" t="s">
        <v>31</v>
      </c>
      <c r="B4" s="5">
        <v>10.0</v>
      </c>
      <c r="C4" s="7">
        <v>12000.0</v>
      </c>
      <c r="D4" s="5" t="s">
        <v>30</v>
      </c>
      <c r="E4" s="16" t="str">
        <f t="array" ref="E4">IFERROR(IF(A4&lt;&gt;"", INDEX(icons!B:B, MATCH(A4,icons!A:A,0)),""),"")</f>
        <v>https://assets.hgbrasil.com/finance/companies/big/santander-br.png</v>
      </c>
    </row>
    <row r="5">
      <c r="A5" s="21" t="s">
        <v>32</v>
      </c>
      <c r="B5" s="5">
        <v>21.0</v>
      </c>
      <c r="C5" s="7">
        <v>0.0</v>
      </c>
      <c r="D5" s="5" t="s">
        <v>30</v>
      </c>
      <c r="E5" s="16" t="str">
        <f t="array" ref="E5">IFERROR(IF(A5&lt;&gt;"", INDEX(icons!B:B, MATCH(A5,icons!A:A,0)),""),"")</f>
        <v>https://assets.hgbrasil.com/finance/companies/big/santander-br.png</v>
      </c>
    </row>
    <row r="6">
      <c r="A6" s="21" t="s">
        <v>33</v>
      </c>
      <c r="B6" s="5">
        <v>23.0</v>
      </c>
      <c r="C6" s="7">
        <v>5000.0</v>
      </c>
      <c r="D6" s="5" t="s">
        <v>30</v>
      </c>
      <c r="E6" s="16" t="str">
        <f t="array" ref="E6">IFERROR(IF(A6&lt;&gt;"", INDEX(icons!B:B, MATCH(A6,icons!A:A,0)),""),"")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7">
      <c r="A7" s="21" t="s">
        <v>24</v>
      </c>
      <c r="B7" s="5">
        <v>21.0</v>
      </c>
      <c r="C7" s="11"/>
      <c r="D7" s="5" t="s">
        <v>30</v>
      </c>
      <c r="E7" s="16" t="str">
        <f t="array" ref="E7">IFERROR(IF(A7&lt;&gt;"", INDEX(icons!B:B, MATCH(A7,icons!A:A,0)),""),"")</f>
        <v>https://www.logo.wine/a/logo/Revolut/Revolut-Logo.wine.svg</v>
      </c>
    </row>
    <row r="8">
      <c r="A8" s="21"/>
      <c r="C8" s="11"/>
      <c r="E8" s="15" t="str">
        <f t="array" ref="E8">IFERROR(IF(A8&lt;&gt;"", INDEX(icons!B:B, MATCH(A8,icons!A:A,0)),""),"")</f>
        <v/>
      </c>
    </row>
    <row r="9">
      <c r="A9" s="22"/>
      <c r="C9" s="11"/>
      <c r="E9" s="15" t="str">
        <f t="array" ref="E9">IFERROR(IF(A9&lt;&gt;"", INDEX(icons!B:B, MATCH(A9,icons!A:A,0)),""),"")</f>
        <v/>
      </c>
    </row>
    <row r="10">
      <c r="A10" s="22"/>
      <c r="C10" s="11"/>
      <c r="E10" s="15" t="str">
        <f t="array" ref="E10">IFERROR(IF(A10&lt;&gt;"", INDEX(icons!B:B, MATCH(A10,icons!A:A,0)),""),"")</f>
        <v/>
      </c>
    </row>
    <row r="11">
      <c r="A11" s="22"/>
      <c r="C11" s="11"/>
      <c r="E11" s="15" t="str">
        <f t="array" ref="E11">IFERROR(IF(A11&lt;&gt;"", INDEX(icons!B:B, MATCH(A11,icons!A:A,0)),""),"")</f>
        <v/>
      </c>
    </row>
    <row r="12">
      <c r="A12" s="22"/>
      <c r="C12" s="11"/>
      <c r="E12" s="15" t="str">
        <f t="array" ref="E12">IFERROR(IF(A12&lt;&gt;"", INDEX(icons!B:B, MATCH(A12,icons!A:A,0)),""),"")</f>
        <v/>
      </c>
    </row>
    <row r="13">
      <c r="A13" s="22"/>
      <c r="C13" s="11"/>
      <c r="E13" s="15" t="str">
        <f t="array" ref="E13">IFERROR(IF(A13&lt;&gt;"", INDEX(icons!B:B, MATCH(A13,icons!A:A,0)),""),"")</f>
        <v/>
      </c>
    </row>
    <row r="14">
      <c r="A14" s="22"/>
      <c r="C14" s="11"/>
      <c r="E14" s="15" t="str">
        <f t="array" ref="E14">IFERROR(IF(A14&lt;&gt;"", INDEX(icons!B:B, MATCH(A14,icons!A:A,0)),""),"")</f>
        <v/>
      </c>
    </row>
    <row r="15">
      <c r="A15" s="22"/>
      <c r="C15" s="11"/>
      <c r="E15" s="15" t="str">
        <f t="array" ref="E15">IFERROR(IF(A15&lt;&gt;"", INDEX(icons!B:B, MATCH(A15,icons!A:A,0)),""),"")</f>
        <v/>
      </c>
    </row>
    <row r="16">
      <c r="A16" s="22"/>
      <c r="C16" s="11"/>
      <c r="E16" s="15" t="str">
        <f t="array" ref="E16">IFERROR(IF(A16&lt;&gt;"", INDEX(icons!B:B, MATCH(A16,icons!A:A,0)),""),"")</f>
        <v/>
      </c>
    </row>
    <row r="17">
      <c r="A17" s="22"/>
      <c r="C17" s="11"/>
      <c r="E17" s="15" t="str">
        <f t="array" ref="E17">IFERROR(IF(A17&lt;&gt;"", INDEX(icons!B:B, MATCH(A17,icons!A:A,0)),""),"")</f>
        <v/>
      </c>
    </row>
    <row r="18">
      <c r="A18" s="22"/>
      <c r="C18" s="11"/>
    </row>
    <row r="19">
      <c r="A19" s="22"/>
      <c r="C19" s="11"/>
    </row>
    <row r="20">
      <c r="A20" s="22"/>
      <c r="C20" s="11"/>
    </row>
    <row r="21">
      <c r="A21" s="22"/>
      <c r="C21" s="11"/>
    </row>
    <row r="22">
      <c r="A22" s="22"/>
      <c r="C22" s="11"/>
    </row>
    <row r="23">
      <c r="A23" s="22"/>
      <c r="C23" s="11"/>
    </row>
    <row r="24">
      <c r="A24" s="22"/>
      <c r="C24" s="11"/>
    </row>
    <row r="25">
      <c r="A25" s="22"/>
      <c r="C25" s="11"/>
    </row>
    <row r="26">
      <c r="A26" s="22"/>
      <c r="C26" s="11"/>
    </row>
    <row r="27">
      <c r="A27" s="22"/>
      <c r="C27" s="11"/>
    </row>
    <row r="28">
      <c r="A28" s="22"/>
      <c r="C28" s="11"/>
    </row>
    <row r="29">
      <c r="A29" s="22"/>
      <c r="C29" s="11"/>
    </row>
    <row r="30">
      <c r="A30" s="22"/>
      <c r="C30" s="11"/>
    </row>
    <row r="31">
      <c r="A31" s="22"/>
      <c r="C31" s="11"/>
    </row>
    <row r="32">
      <c r="A32" s="22"/>
      <c r="C32" s="11"/>
    </row>
    <row r="33">
      <c r="A33" s="22"/>
      <c r="C33" s="11"/>
    </row>
    <row r="34">
      <c r="A34" s="22"/>
      <c r="C34" s="11"/>
    </row>
    <row r="35">
      <c r="A35" s="22"/>
      <c r="C35" s="11"/>
    </row>
    <row r="36">
      <c r="A36" s="22"/>
      <c r="C36" s="11"/>
    </row>
    <row r="37">
      <c r="A37" s="22"/>
      <c r="C37" s="11"/>
    </row>
    <row r="38">
      <c r="A38" s="22"/>
      <c r="C38" s="11"/>
    </row>
    <row r="39">
      <c r="A39" s="22"/>
      <c r="C39" s="11"/>
    </row>
    <row r="40">
      <c r="A40" s="22"/>
      <c r="C40" s="11"/>
    </row>
    <row r="41">
      <c r="A41" s="22"/>
      <c r="C41" s="11"/>
    </row>
    <row r="42">
      <c r="A42" s="22"/>
      <c r="C42" s="11"/>
    </row>
    <row r="43">
      <c r="A43" s="22"/>
      <c r="C43" s="11"/>
    </row>
    <row r="44">
      <c r="A44" s="22"/>
      <c r="C44" s="11"/>
    </row>
    <row r="45">
      <c r="A45" s="22"/>
      <c r="C45" s="11"/>
    </row>
    <row r="46">
      <c r="A46" s="22"/>
      <c r="C46" s="11"/>
    </row>
    <row r="47">
      <c r="A47" s="22"/>
      <c r="C47" s="11"/>
    </row>
    <row r="48">
      <c r="A48" s="22"/>
      <c r="C48" s="11"/>
    </row>
    <row r="49">
      <c r="A49" s="22"/>
      <c r="C49" s="11"/>
    </row>
    <row r="50">
      <c r="A50" s="22"/>
      <c r="C50" s="11"/>
    </row>
    <row r="51">
      <c r="A51" s="22"/>
      <c r="C51" s="11"/>
    </row>
    <row r="52">
      <c r="A52" s="22"/>
      <c r="C52" s="11"/>
    </row>
    <row r="53">
      <c r="A53" s="22"/>
      <c r="C53" s="11"/>
    </row>
    <row r="54">
      <c r="A54" s="22"/>
      <c r="C54" s="11"/>
    </row>
    <row r="55">
      <c r="A55" s="22"/>
      <c r="C55" s="11"/>
    </row>
    <row r="56">
      <c r="A56" s="22"/>
      <c r="C56" s="11"/>
    </row>
    <row r="57">
      <c r="A57" s="22"/>
      <c r="C57" s="11"/>
    </row>
    <row r="58">
      <c r="A58" s="22"/>
      <c r="C58" s="11"/>
    </row>
    <row r="59">
      <c r="A59" s="22"/>
      <c r="C59" s="11"/>
    </row>
    <row r="60">
      <c r="A60" s="22"/>
      <c r="C60" s="11"/>
    </row>
    <row r="61">
      <c r="A61" s="22"/>
      <c r="C61" s="11"/>
    </row>
    <row r="62">
      <c r="A62" s="22"/>
      <c r="C62" s="11"/>
    </row>
    <row r="63">
      <c r="A63" s="22"/>
      <c r="C63" s="11"/>
    </row>
    <row r="64">
      <c r="A64" s="22"/>
      <c r="C64" s="11"/>
    </row>
    <row r="65">
      <c r="A65" s="22"/>
      <c r="C65" s="11"/>
    </row>
    <row r="66">
      <c r="A66" s="22"/>
      <c r="C66" s="11"/>
    </row>
    <row r="67">
      <c r="A67" s="22"/>
      <c r="C67" s="11"/>
    </row>
    <row r="68">
      <c r="A68" s="22"/>
      <c r="C68" s="11"/>
    </row>
    <row r="69">
      <c r="A69" s="22"/>
      <c r="C69" s="11"/>
    </row>
    <row r="70">
      <c r="A70" s="22"/>
      <c r="C70" s="11"/>
    </row>
    <row r="71">
      <c r="A71" s="22"/>
      <c r="C71" s="11"/>
    </row>
    <row r="72">
      <c r="A72" s="22"/>
      <c r="C72" s="11"/>
    </row>
    <row r="73">
      <c r="A73" s="22"/>
      <c r="C73" s="11"/>
    </row>
    <row r="74">
      <c r="A74" s="22"/>
      <c r="C74" s="11"/>
    </row>
    <row r="75">
      <c r="A75" s="22"/>
      <c r="C75" s="11"/>
    </row>
    <row r="76">
      <c r="A76" s="22"/>
      <c r="C76" s="11"/>
    </row>
    <row r="77">
      <c r="A77" s="22"/>
      <c r="C77" s="11"/>
    </row>
    <row r="78">
      <c r="A78" s="22"/>
      <c r="C78" s="11"/>
    </row>
    <row r="79">
      <c r="A79" s="22"/>
      <c r="C79" s="11"/>
    </row>
    <row r="80">
      <c r="A80" s="22"/>
      <c r="C80" s="11"/>
    </row>
    <row r="81">
      <c r="A81" s="22"/>
      <c r="C81" s="11"/>
    </row>
    <row r="82">
      <c r="A82" s="22"/>
      <c r="C82" s="11"/>
    </row>
    <row r="83">
      <c r="A83" s="22"/>
      <c r="C83" s="11"/>
    </row>
    <row r="84">
      <c r="A84" s="22"/>
      <c r="C84" s="11"/>
    </row>
    <row r="85">
      <c r="A85" s="22"/>
      <c r="C85" s="11"/>
    </row>
    <row r="86">
      <c r="A86" s="22"/>
      <c r="C86" s="11"/>
    </row>
    <row r="87">
      <c r="A87" s="22"/>
      <c r="C87" s="11"/>
    </row>
    <row r="88">
      <c r="A88" s="22"/>
      <c r="C88" s="11"/>
    </row>
    <row r="89">
      <c r="A89" s="22"/>
      <c r="C89" s="11"/>
    </row>
    <row r="90">
      <c r="A90" s="22"/>
      <c r="C90" s="11"/>
    </row>
    <row r="91">
      <c r="A91" s="22"/>
      <c r="C91" s="11"/>
    </row>
    <row r="92">
      <c r="A92" s="22"/>
      <c r="C92" s="11"/>
    </row>
    <row r="93">
      <c r="A93" s="22"/>
      <c r="C93" s="11"/>
    </row>
    <row r="94">
      <c r="A94" s="22"/>
      <c r="C94" s="11"/>
    </row>
    <row r="95">
      <c r="A95" s="22"/>
      <c r="C95" s="11"/>
    </row>
    <row r="96">
      <c r="A96" s="22"/>
      <c r="C96" s="11"/>
    </row>
    <row r="97">
      <c r="A97" s="22"/>
      <c r="C97" s="11"/>
    </row>
    <row r="98">
      <c r="A98" s="22"/>
      <c r="C98" s="11"/>
    </row>
    <row r="99">
      <c r="A99" s="22"/>
      <c r="C99" s="11"/>
    </row>
    <row r="100">
      <c r="A100" s="22"/>
      <c r="C100" s="11"/>
    </row>
    <row r="101">
      <c r="A101" s="22"/>
      <c r="C101" s="11"/>
    </row>
    <row r="102">
      <c r="A102" s="22"/>
      <c r="C102" s="11"/>
    </row>
    <row r="103">
      <c r="A103" s="22"/>
      <c r="C103" s="11"/>
    </row>
    <row r="104">
      <c r="A104" s="22"/>
      <c r="C104" s="11"/>
    </row>
    <row r="105">
      <c r="A105" s="22"/>
      <c r="C105" s="11"/>
    </row>
    <row r="106">
      <c r="A106" s="22"/>
      <c r="C106" s="11"/>
    </row>
    <row r="107">
      <c r="A107" s="22"/>
      <c r="C107" s="11"/>
    </row>
    <row r="108">
      <c r="A108" s="22"/>
      <c r="C108" s="11"/>
    </row>
    <row r="109">
      <c r="A109" s="22"/>
      <c r="C109" s="11"/>
    </row>
    <row r="110">
      <c r="A110" s="22"/>
      <c r="C110" s="11"/>
    </row>
    <row r="111">
      <c r="A111" s="22"/>
      <c r="C111" s="11"/>
    </row>
    <row r="112">
      <c r="A112" s="22"/>
      <c r="C112" s="11"/>
    </row>
    <row r="113">
      <c r="A113" s="22"/>
      <c r="C113" s="11"/>
    </row>
    <row r="114">
      <c r="A114" s="22"/>
      <c r="C114" s="11"/>
    </row>
    <row r="115">
      <c r="A115" s="22"/>
      <c r="C115" s="11"/>
    </row>
    <row r="116">
      <c r="A116" s="22"/>
      <c r="C116" s="11"/>
    </row>
    <row r="117">
      <c r="A117" s="22"/>
      <c r="C117" s="11"/>
    </row>
    <row r="118">
      <c r="A118" s="22"/>
      <c r="C118" s="11"/>
    </row>
    <row r="119">
      <c r="A119" s="22"/>
      <c r="C119" s="11"/>
    </row>
    <row r="120">
      <c r="A120" s="22"/>
      <c r="C120" s="11"/>
    </row>
    <row r="121">
      <c r="A121" s="22"/>
      <c r="C121" s="11"/>
    </row>
    <row r="122">
      <c r="A122" s="22"/>
      <c r="C122" s="11"/>
    </row>
    <row r="123">
      <c r="A123" s="22"/>
      <c r="C123" s="11"/>
    </row>
    <row r="124">
      <c r="A124" s="22"/>
      <c r="C124" s="11"/>
    </row>
    <row r="125">
      <c r="A125" s="22"/>
      <c r="C125" s="11"/>
    </row>
    <row r="126">
      <c r="A126" s="22"/>
      <c r="C126" s="11"/>
    </row>
    <row r="127">
      <c r="A127" s="22"/>
      <c r="C127" s="11"/>
    </row>
    <row r="128">
      <c r="A128" s="22"/>
      <c r="C128" s="11"/>
    </row>
    <row r="129">
      <c r="A129" s="22"/>
      <c r="C129" s="11"/>
    </row>
    <row r="130">
      <c r="A130" s="22"/>
      <c r="C130" s="11"/>
    </row>
    <row r="131">
      <c r="A131" s="22"/>
      <c r="C131" s="11"/>
    </row>
    <row r="132">
      <c r="A132" s="22"/>
      <c r="C132" s="11"/>
    </row>
    <row r="133">
      <c r="A133" s="22"/>
      <c r="C133" s="11"/>
    </row>
    <row r="134">
      <c r="A134" s="22"/>
      <c r="C134" s="11"/>
    </row>
    <row r="135">
      <c r="A135" s="22"/>
      <c r="C135" s="11"/>
    </row>
    <row r="136">
      <c r="A136" s="22"/>
      <c r="C136" s="11"/>
    </row>
    <row r="137">
      <c r="A137" s="22"/>
      <c r="C137" s="11"/>
    </row>
    <row r="138">
      <c r="A138" s="22"/>
      <c r="C138" s="11"/>
    </row>
    <row r="139">
      <c r="A139" s="22"/>
      <c r="C139" s="11"/>
    </row>
    <row r="140">
      <c r="A140" s="22"/>
      <c r="C140" s="11"/>
    </row>
    <row r="141">
      <c r="A141" s="22"/>
      <c r="C141" s="11"/>
    </row>
    <row r="142">
      <c r="A142" s="22"/>
      <c r="C142" s="11"/>
    </row>
    <row r="143">
      <c r="A143" s="22"/>
      <c r="C143" s="11"/>
    </row>
    <row r="144">
      <c r="A144" s="22"/>
      <c r="C144" s="11"/>
    </row>
    <row r="145">
      <c r="A145" s="22"/>
      <c r="C145" s="11"/>
    </row>
    <row r="146">
      <c r="A146" s="22"/>
      <c r="C146" s="11"/>
    </row>
    <row r="147">
      <c r="A147" s="22"/>
      <c r="C147" s="11"/>
    </row>
    <row r="148">
      <c r="A148" s="22"/>
      <c r="C148" s="11"/>
    </row>
    <row r="149">
      <c r="A149" s="22"/>
      <c r="C149" s="11"/>
    </row>
    <row r="150">
      <c r="A150" s="22"/>
      <c r="C150" s="11"/>
    </row>
    <row r="151">
      <c r="A151" s="22"/>
      <c r="C151" s="11"/>
    </row>
    <row r="152">
      <c r="A152" s="22"/>
      <c r="C152" s="11"/>
    </row>
    <row r="153">
      <c r="A153" s="22"/>
      <c r="C153" s="11"/>
    </row>
    <row r="154">
      <c r="A154" s="22"/>
      <c r="C154" s="11"/>
    </row>
    <row r="155">
      <c r="A155" s="22"/>
      <c r="C155" s="11"/>
    </row>
    <row r="156">
      <c r="A156" s="22"/>
      <c r="C156" s="11"/>
    </row>
    <row r="157">
      <c r="A157" s="22"/>
      <c r="C157" s="11"/>
    </row>
    <row r="158">
      <c r="A158" s="22"/>
      <c r="C158" s="11"/>
    </row>
    <row r="159">
      <c r="A159" s="22"/>
      <c r="C159" s="11"/>
    </row>
    <row r="160">
      <c r="A160" s="22"/>
      <c r="C160" s="11"/>
    </row>
    <row r="161">
      <c r="A161" s="22"/>
      <c r="C161" s="11"/>
    </row>
    <row r="162">
      <c r="A162" s="22"/>
      <c r="C162" s="11"/>
    </row>
    <row r="163">
      <c r="A163" s="22"/>
      <c r="C163" s="11"/>
    </row>
    <row r="164">
      <c r="A164" s="22"/>
      <c r="C164" s="11"/>
    </row>
    <row r="165">
      <c r="A165" s="22"/>
      <c r="C165" s="11"/>
    </row>
    <row r="166">
      <c r="A166" s="22"/>
      <c r="C166" s="11"/>
    </row>
    <row r="167">
      <c r="A167" s="22"/>
      <c r="C167" s="11"/>
    </row>
    <row r="168">
      <c r="A168" s="22"/>
      <c r="C168" s="11"/>
    </row>
    <row r="169">
      <c r="A169" s="22"/>
      <c r="C169" s="11"/>
    </row>
    <row r="170">
      <c r="A170" s="22"/>
      <c r="C170" s="11"/>
    </row>
    <row r="171">
      <c r="A171" s="22"/>
      <c r="C171" s="11"/>
    </row>
    <row r="172">
      <c r="A172" s="22"/>
      <c r="C172" s="11"/>
    </row>
    <row r="173">
      <c r="A173" s="22"/>
      <c r="C173" s="11"/>
    </row>
    <row r="174">
      <c r="A174" s="22"/>
      <c r="C174" s="11"/>
    </row>
    <row r="175">
      <c r="A175" s="22"/>
      <c r="C175" s="11"/>
    </row>
    <row r="176">
      <c r="A176" s="22"/>
      <c r="C176" s="11"/>
    </row>
    <row r="177">
      <c r="A177" s="22"/>
      <c r="C177" s="11"/>
    </row>
    <row r="178">
      <c r="A178" s="22"/>
      <c r="C178" s="11"/>
    </row>
    <row r="179">
      <c r="A179" s="22"/>
      <c r="C179" s="11"/>
    </row>
    <row r="180">
      <c r="A180" s="22"/>
      <c r="C180" s="11"/>
    </row>
    <row r="181">
      <c r="A181" s="22"/>
      <c r="C181" s="11"/>
    </row>
    <row r="182">
      <c r="A182" s="22"/>
      <c r="C182" s="11"/>
    </row>
    <row r="183">
      <c r="A183" s="22"/>
      <c r="C183" s="11"/>
    </row>
    <row r="184">
      <c r="A184" s="22"/>
      <c r="C184" s="11"/>
    </row>
    <row r="185">
      <c r="A185" s="22"/>
      <c r="C185" s="11"/>
    </row>
    <row r="186">
      <c r="A186" s="22"/>
      <c r="C186" s="11"/>
    </row>
    <row r="187">
      <c r="A187" s="22"/>
      <c r="C187" s="11"/>
    </row>
    <row r="188">
      <c r="A188" s="22"/>
      <c r="C188" s="11"/>
    </row>
    <row r="189">
      <c r="A189" s="22"/>
      <c r="C189" s="11"/>
    </row>
    <row r="190">
      <c r="A190" s="22"/>
      <c r="C190" s="11"/>
    </row>
    <row r="191">
      <c r="A191" s="22"/>
      <c r="C191" s="11"/>
    </row>
    <row r="192">
      <c r="A192" s="22"/>
      <c r="C192" s="11"/>
    </row>
    <row r="193">
      <c r="A193" s="22"/>
      <c r="C193" s="11"/>
    </row>
    <row r="194">
      <c r="A194" s="22"/>
      <c r="C194" s="11"/>
    </row>
    <row r="195">
      <c r="A195" s="22"/>
      <c r="C195" s="11"/>
    </row>
    <row r="196">
      <c r="A196" s="22"/>
      <c r="C196" s="11"/>
    </row>
    <row r="197">
      <c r="A197" s="22"/>
      <c r="C197" s="11"/>
    </row>
    <row r="198">
      <c r="A198" s="22"/>
      <c r="C198" s="11"/>
    </row>
    <row r="199">
      <c r="A199" s="22"/>
      <c r="C199" s="11"/>
    </row>
    <row r="200">
      <c r="A200" s="22"/>
      <c r="C200" s="11"/>
    </row>
    <row r="201">
      <c r="A201" s="22"/>
      <c r="C201" s="11"/>
    </row>
    <row r="202">
      <c r="A202" s="22"/>
      <c r="C202" s="11"/>
    </row>
    <row r="203">
      <c r="A203" s="22"/>
      <c r="C203" s="11"/>
    </row>
    <row r="204">
      <c r="A204" s="22"/>
      <c r="C204" s="11"/>
    </row>
    <row r="205">
      <c r="A205" s="22"/>
      <c r="C205" s="11"/>
    </row>
    <row r="206">
      <c r="A206" s="22"/>
      <c r="C206" s="11"/>
    </row>
    <row r="207">
      <c r="A207" s="22"/>
      <c r="C207" s="11"/>
    </row>
    <row r="208">
      <c r="A208" s="22"/>
      <c r="C208" s="11"/>
    </row>
    <row r="209">
      <c r="A209" s="22"/>
      <c r="C209" s="11"/>
    </row>
    <row r="210">
      <c r="A210" s="22"/>
      <c r="C210" s="11"/>
    </row>
    <row r="211">
      <c r="A211" s="22"/>
      <c r="C211" s="11"/>
    </row>
    <row r="212">
      <c r="A212" s="22"/>
      <c r="C212" s="11"/>
    </row>
    <row r="213">
      <c r="A213" s="22"/>
      <c r="C213" s="11"/>
    </row>
    <row r="214">
      <c r="A214" s="22"/>
      <c r="C214" s="11"/>
    </row>
    <row r="215">
      <c r="A215" s="22"/>
      <c r="C215" s="11"/>
    </row>
    <row r="216">
      <c r="A216" s="22"/>
      <c r="C216" s="11"/>
    </row>
    <row r="217">
      <c r="A217" s="22"/>
      <c r="C217" s="11"/>
    </row>
    <row r="218">
      <c r="A218" s="22"/>
      <c r="C218" s="11"/>
    </row>
    <row r="219">
      <c r="A219" s="22"/>
      <c r="C219" s="11"/>
    </row>
    <row r="220">
      <c r="A220" s="22"/>
      <c r="C220" s="11"/>
    </row>
    <row r="221">
      <c r="A221" s="22"/>
      <c r="C221" s="11"/>
    </row>
    <row r="222">
      <c r="A222" s="22"/>
      <c r="C222" s="11"/>
    </row>
    <row r="223">
      <c r="A223" s="22"/>
      <c r="C223" s="11"/>
    </row>
    <row r="224">
      <c r="A224" s="22"/>
      <c r="C224" s="11"/>
    </row>
    <row r="225">
      <c r="A225" s="22"/>
      <c r="C225" s="11"/>
    </row>
    <row r="226">
      <c r="A226" s="22"/>
      <c r="C226" s="11"/>
    </row>
    <row r="227">
      <c r="A227" s="22"/>
      <c r="C227" s="11"/>
    </row>
    <row r="228">
      <c r="A228" s="22"/>
      <c r="C228" s="11"/>
    </row>
    <row r="229">
      <c r="A229" s="22"/>
      <c r="C229" s="11"/>
    </row>
    <row r="230">
      <c r="A230" s="22"/>
      <c r="C230" s="11"/>
    </row>
    <row r="231">
      <c r="A231" s="22"/>
      <c r="C231" s="11"/>
    </row>
    <row r="232">
      <c r="A232" s="22"/>
      <c r="C232" s="11"/>
    </row>
    <row r="233">
      <c r="A233" s="22"/>
      <c r="C233" s="11"/>
    </row>
    <row r="234">
      <c r="A234" s="22"/>
      <c r="C234" s="11"/>
    </row>
    <row r="235">
      <c r="A235" s="22"/>
      <c r="C235" s="11"/>
    </row>
    <row r="236">
      <c r="A236" s="22"/>
      <c r="C236" s="11"/>
    </row>
    <row r="237">
      <c r="A237" s="22"/>
      <c r="C237" s="11"/>
    </row>
    <row r="238">
      <c r="A238" s="22"/>
      <c r="C238" s="11"/>
    </row>
    <row r="239">
      <c r="A239" s="22"/>
      <c r="C239" s="11"/>
    </row>
    <row r="240">
      <c r="A240" s="22"/>
      <c r="C240" s="11"/>
    </row>
    <row r="241">
      <c r="A241" s="22"/>
      <c r="C241" s="11"/>
    </row>
    <row r="242">
      <c r="A242" s="22"/>
      <c r="C242" s="11"/>
    </row>
    <row r="243">
      <c r="A243" s="22"/>
      <c r="C243" s="11"/>
    </row>
    <row r="244">
      <c r="A244" s="22"/>
      <c r="C244" s="11"/>
    </row>
    <row r="245">
      <c r="A245" s="22"/>
      <c r="C245" s="11"/>
    </row>
    <row r="246">
      <c r="A246" s="22"/>
      <c r="C246" s="11"/>
    </row>
    <row r="247">
      <c r="A247" s="22"/>
      <c r="C247" s="11"/>
    </row>
    <row r="248">
      <c r="A248" s="22"/>
      <c r="C248" s="11"/>
    </row>
    <row r="249">
      <c r="A249" s="22"/>
      <c r="C249" s="11"/>
    </row>
    <row r="250">
      <c r="A250" s="22"/>
      <c r="C250" s="11"/>
    </row>
    <row r="251">
      <c r="A251" s="22"/>
      <c r="C251" s="11"/>
    </row>
    <row r="252">
      <c r="A252" s="22"/>
      <c r="C252" s="11"/>
    </row>
    <row r="253">
      <c r="A253" s="22"/>
      <c r="C253" s="11"/>
    </row>
    <row r="254">
      <c r="A254" s="22"/>
      <c r="C254" s="11"/>
    </row>
    <row r="255">
      <c r="A255" s="22"/>
      <c r="C255" s="11"/>
    </row>
    <row r="256">
      <c r="A256" s="22"/>
      <c r="C256" s="11"/>
    </row>
    <row r="257">
      <c r="A257" s="22"/>
      <c r="C257" s="11"/>
    </row>
    <row r="258">
      <c r="A258" s="22"/>
      <c r="C258" s="11"/>
    </row>
    <row r="259">
      <c r="A259" s="22"/>
      <c r="C259" s="11"/>
    </row>
    <row r="260">
      <c r="A260" s="22"/>
      <c r="C260" s="11"/>
    </row>
    <row r="261">
      <c r="A261" s="22"/>
      <c r="C261" s="11"/>
    </row>
    <row r="262">
      <c r="A262" s="22"/>
      <c r="C262" s="11"/>
    </row>
    <row r="263">
      <c r="A263" s="22"/>
      <c r="C263" s="11"/>
    </row>
    <row r="264">
      <c r="A264" s="22"/>
      <c r="C264" s="11"/>
    </row>
    <row r="265">
      <c r="A265" s="22"/>
      <c r="C265" s="11"/>
    </row>
    <row r="266">
      <c r="A266" s="22"/>
      <c r="C266" s="11"/>
    </row>
    <row r="267">
      <c r="A267" s="22"/>
      <c r="C267" s="11"/>
    </row>
    <row r="268">
      <c r="A268" s="22"/>
      <c r="C268" s="11"/>
    </row>
    <row r="269">
      <c r="A269" s="22"/>
      <c r="C269" s="11"/>
    </row>
    <row r="270">
      <c r="A270" s="22"/>
      <c r="C270" s="11"/>
    </row>
    <row r="271">
      <c r="A271" s="22"/>
      <c r="C271" s="11"/>
    </row>
    <row r="272">
      <c r="A272" s="22"/>
      <c r="C272" s="11"/>
    </row>
    <row r="273">
      <c r="A273" s="22"/>
      <c r="C273" s="11"/>
    </row>
    <row r="274">
      <c r="A274" s="22"/>
      <c r="C274" s="11"/>
    </row>
    <row r="275">
      <c r="A275" s="22"/>
      <c r="C275" s="11"/>
    </row>
    <row r="276">
      <c r="A276" s="22"/>
      <c r="C276" s="11"/>
    </row>
    <row r="277">
      <c r="A277" s="22"/>
      <c r="C277" s="11"/>
    </row>
    <row r="278">
      <c r="A278" s="22"/>
      <c r="C278" s="11"/>
    </row>
    <row r="279">
      <c r="A279" s="22"/>
      <c r="C279" s="11"/>
    </row>
    <row r="280">
      <c r="A280" s="22"/>
      <c r="C280" s="11"/>
    </row>
    <row r="281">
      <c r="A281" s="22"/>
      <c r="C281" s="11"/>
    </row>
    <row r="282">
      <c r="A282" s="22"/>
      <c r="C282" s="11"/>
    </row>
    <row r="283">
      <c r="A283" s="22"/>
      <c r="C283" s="11"/>
    </row>
    <row r="284">
      <c r="A284" s="22"/>
      <c r="C284" s="11"/>
    </row>
    <row r="285">
      <c r="A285" s="22"/>
      <c r="C285" s="11"/>
    </row>
    <row r="286">
      <c r="A286" s="22"/>
      <c r="C286" s="11"/>
    </row>
    <row r="287">
      <c r="A287" s="22"/>
      <c r="C287" s="11"/>
    </row>
    <row r="288">
      <c r="A288" s="22"/>
      <c r="C288" s="11"/>
    </row>
    <row r="289">
      <c r="A289" s="22"/>
      <c r="C289" s="11"/>
    </row>
    <row r="290">
      <c r="A290" s="22"/>
      <c r="C290" s="11"/>
    </row>
    <row r="291">
      <c r="A291" s="22"/>
      <c r="C291" s="11"/>
    </row>
    <row r="292">
      <c r="A292" s="22"/>
      <c r="C292" s="11"/>
    </row>
    <row r="293">
      <c r="A293" s="22"/>
      <c r="C293" s="11"/>
    </row>
    <row r="294">
      <c r="A294" s="22"/>
      <c r="C294" s="11"/>
    </row>
    <row r="295">
      <c r="A295" s="22"/>
      <c r="C295" s="11"/>
    </row>
    <row r="296">
      <c r="A296" s="22"/>
      <c r="C296" s="11"/>
    </row>
    <row r="297">
      <c r="A297" s="22"/>
      <c r="C297" s="11"/>
    </row>
    <row r="298">
      <c r="A298" s="22"/>
      <c r="C298" s="11"/>
    </row>
    <row r="299">
      <c r="A299" s="22"/>
      <c r="C299" s="11"/>
    </row>
    <row r="300">
      <c r="A300" s="22"/>
      <c r="C300" s="11"/>
    </row>
    <row r="301">
      <c r="A301" s="22"/>
      <c r="C301" s="11"/>
    </row>
    <row r="302">
      <c r="A302" s="22"/>
      <c r="C302" s="11"/>
    </row>
    <row r="303">
      <c r="A303" s="22"/>
      <c r="C303" s="11"/>
    </row>
    <row r="304">
      <c r="A304" s="22"/>
      <c r="C304" s="11"/>
    </row>
    <row r="305">
      <c r="A305" s="22"/>
      <c r="C305" s="11"/>
    </row>
    <row r="306">
      <c r="A306" s="22"/>
      <c r="C306" s="11"/>
    </row>
    <row r="307">
      <c r="A307" s="22"/>
      <c r="C307" s="11"/>
    </row>
    <row r="308">
      <c r="A308" s="22"/>
      <c r="C308" s="11"/>
    </row>
    <row r="309">
      <c r="A309" s="22"/>
      <c r="C309" s="11"/>
    </row>
    <row r="310">
      <c r="A310" s="22"/>
      <c r="C310" s="11"/>
    </row>
    <row r="311">
      <c r="A311" s="22"/>
      <c r="C311" s="11"/>
    </row>
    <row r="312">
      <c r="A312" s="22"/>
      <c r="C312" s="11"/>
    </row>
    <row r="313">
      <c r="A313" s="22"/>
      <c r="C313" s="11"/>
    </row>
    <row r="314">
      <c r="A314" s="22"/>
      <c r="C314" s="11"/>
    </row>
    <row r="315">
      <c r="A315" s="22"/>
      <c r="C315" s="11"/>
    </row>
    <row r="316">
      <c r="A316" s="22"/>
      <c r="C316" s="11"/>
    </row>
    <row r="317">
      <c r="A317" s="22"/>
      <c r="C317" s="11"/>
    </row>
    <row r="318">
      <c r="A318" s="22"/>
      <c r="C318" s="11"/>
    </row>
    <row r="319">
      <c r="A319" s="22"/>
      <c r="C319" s="11"/>
    </row>
    <row r="320">
      <c r="A320" s="22"/>
      <c r="C320" s="11"/>
    </row>
    <row r="321">
      <c r="A321" s="22"/>
      <c r="C321" s="11"/>
    </row>
    <row r="322">
      <c r="A322" s="22"/>
      <c r="C322" s="11"/>
    </row>
    <row r="323">
      <c r="A323" s="22"/>
      <c r="C323" s="11"/>
    </row>
    <row r="324">
      <c r="A324" s="22"/>
      <c r="C324" s="11"/>
    </row>
    <row r="325">
      <c r="A325" s="22"/>
      <c r="C325" s="11"/>
    </row>
    <row r="326">
      <c r="A326" s="22"/>
      <c r="C326" s="11"/>
    </row>
    <row r="327">
      <c r="A327" s="22"/>
      <c r="C327" s="11"/>
    </row>
    <row r="328">
      <c r="A328" s="22"/>
      <c r="C328" s="11"/>
    </row>
    <row r="329">
      <c r="A329" s="22"/>
      <c r="C329" s="11"/>
    </row>
    <row r="330">
      <c r="A330" s="22"/>
      <c r="C330" s="11"/>
    </row>
    <row r="331">
      <c r="A331" s="22"/>
      <c r="C331" s="11"/>
    </row>
    <row r="332">
      <c r="A332" s="22"/>
      <c r="C332" s="11"/>
    </row>
    <row r="333">
      <c r="A333" s="22"/>
      <c r="C333" s="11"/>
    </row>
    <row r="334">
      <c r="A334" s="22"/>
      <c r="C334" s="11"/>
    </row>
    <row r="335">
      <c r="A335" s="22"/>
      <c r="C335" s="11"/>
    </row>
    <row r="336">
      <c r="A336" s="22"/>
      <c r="C336" s="11"/>
    </row>
    <row r="337">
      <c r="A337" s="22"/>
      <c r="C337" s="11"/>
    </row>
    <row r="338">
      <c r="A338" s="22"/>
      <c r="C338" s="11"/>
    </row>
    <row r="339">
      <c r="A339" s="22"/>
      <c r="C339" s="11"/>
    </row>
    <row r="340">
      <c r="A340" s="22"/>
      <c r="C340" s="11"/>
    </row>
    <row r="341">
      <c r="A341" s="22"/>
      <c r="C341" s="11"/>
    </row>
    <row r="342">
      <c r="A342" s="22"/>
      <c r="C342" s="11"/>
    </row>
    <row r="343">
      <c r="A343" s="22"/>
      <c r="C343" s="11"/>
    </row>
    <row r="344">
      <c r="A344" s="22"/>
      <c r="C344" s="11"/>
    </row>
    <row r="345">
      <c r="A345" s="22"/>
      <c r="C345" s="11"/>
    </row>
    <row r="346">
      <c r="A346" s="22"/>
      <c r="C346" s="11"/>
    </row>
    <row r="347">
      <c r="A347" s="22"/>
      <c r="C347" s="11"/>
    </row>
    <row r="348">
      <c r="A348" s="22"/>
      <c r="C348" s="11"/>
    </row>
    <row r="349">
      <c r="A349" s="22"/>
      <c r="C349" s="11"/>
    </row>
    <row r="350">
      <c r="A350" s="22"/>
      <c r="C350" s="11"/>
    </row>
    <row r="351">
      <c r="A351" s="22"/>
      <c r="C351" s="11"/>
    </row>
    <row r="352">
      <c r="A352" s="22"/>
      <c r="C352" s="11"/>
    </row>
    <row r="353">
      <c r="A353" s="22"/>
      <c r="C353" s="11"/>
    </row>
    <row r="354">
      <c r="A354" s="22"/>
      <c r="C354" s="11"/>
    </row>
    <row r="355">
      <c r="A355" s="22"/>
      <c r="C355" s="11"/>
    </row>
    <row r="356">
      <c r="A356" s="22"/>
      <c r="C356" s="11"/>
    </row>
    <row r="357">
      <c r="A357" s="22"/>
      <c r="C357" s="11"/>
    </row>
    <row r="358">
      <c r="A358" s="22"/>
      <c r="C358" s="11"/>
    </row>
    <row r="359">
      <c r="A359" s="22"/>
      <c r="C359" s="11"/>
    </row>
    <row r="360">
      <c r="A360" s="22"/>
      <c r="C360" s="11"/>
    </row>
    <row r="361">
      <c r="A361" s="22"/>
      <c r="C361" s="11"/>
    </row>
    <row r="362">
      <c r="A362" s="22"/>
      <c r="C362" s="11"/>
    </row>
    <row r="363">
      <c r="A363" s="22"/>
      <c r="C363" s="11"/>
    </row>
    <row r="364">
      <c r="A364" s="22"/>
      <c r="C364" s="11"/>
    </row>
    <row r="365">
      <c r="A365" s="22"/>
      <c r="C365" s="11"/>
    </row>
    <row r="366">
      <c r="A366" s="22"/>
      <c r="C366" s="11"/>
    </row>
    <row r="367">
      <c r="A367" s="22"/>
      <c r="C367" s="11"/>
    </row>
    <row r="368">
      <c r="A368" s="22"/>
      <c r="C368" s="11"/>
    </row>
    <row r="369">
      <c r="A369" s="22"/>
      <c r="C369" s="11"/>
    </row>
    <row r="370">
      <c r="A370" s="22"/>
      <c r="C370" s="11"/>
    </row>
    <row r="371">
      <c r="A371" s="22"/>
      <c r="C371" s="11"/>
    </row>
    <row r="372">
      <c r="A372" s="22"/>
      <c r="C372" s="11"/>
    </row>
    <row r="373">
      <c r="A373" s="22"/>
      <c r="C373" s="11"/>
    </row>
    <row r="374">
      <c r="A374" s="22"/>
      <c r="C374" s="11"/>
    </row>
    <row r="375">
      <c r="A375" s="22"/>
      <c r="C375" s="11"/>
    </row>
    <row r="376">
      <c r="A376" s="22"/>
      <c r="C376" s="11"/>
    </row>
    <row r="377">
      <c r="A377" s="22"/>
      <c r="C377" s="11"/>
    </row>
    <row r="378">
      <c r="A378" s="22"/>
      <c r="C378" s="11"/>
    </row>
    <row r="379">
      <c r="A379" s="22"/>
      <c r="C379" s="11"/>
    </row>
    <row r="380">
      <c r="A380" s="22"/>
      <c r="C380" s="11"/>
    </row>
    <row r="381">
      <c r="A381" s="22"/>
      <c r="C381" s="11"/>
    </row>
    <row r="382">
      <c r="A382" s="22"/>
      <c r="C382" s="11"/>
    </row>
    <row r="383">
      <c r="A383" s="22"/>
      <c r="C383" s="11"/>
    </row>
    <row r="384">
      <c r="A384" s="22"/>
      <c r="C384" s="11"/>
    </row>
    <row r="385">
      <c r="A385" s="22"/>
      <c r="C385" s="11"/>
    </row>
    <row r="386">
      <c r="A386" s="22"/>
      <c r="C386" s="11"/>
    </row>
    <row r="387">
      <c r="A387" s="22"/>
      <c r="C387" s="11"/>
    </row>
    <row r="388">
      <c r="A388" s="22"/>
      <c r="C388" s="11"/>
    </row>
    <row r="389">
      <c r="A389" s="22"/>
      <c r="C389" s="11"/>
    </row>
    <row r="390">
      <c r="A390" s="22"/>
      <c r="C390" s="11"/>
    </row>
    <row r="391">
      <c r="A391" s="22"/>
      <c r="C391" s="11"/>
    </row>
    <row r="392">
      <c r="A392" s="22"/>
      <c r="C392" s="11"/>
    </row>
    <row r="393">
      <c r="A393" s="22"/>
      <c r="C393" s="11"/>
    </row>
    <row r="394">
      <c r="A394" s="22"/>
      <c r="C394" s="11"/>
    </row>
    <row r="395">
      <c r="A395" s="22"/>
      <c r="C395" s="11"/>
    </row>
    <row r="396">
      <c r="A396" s="22"/>
      <c r="C396" s="11"/>
    </row>
    <row r="397">
      <c r="A397" s="22"/>
      <c r="C397" s="11"/>
    </row>
    <row r="398">
      <c r="A398" s="22"/>
      <c r="C398" s="11"/>
    </row>
    <row r="399">
      <c r="A399" s="22"/>
      <c r="C399" s="11"/>
    </row>
    <row r="400">
      <c r="A400" s="22"/>
      <c r="C400" s="11"/>
    </row>
    <row r="401">
      <c r="A401" s="22"/>
      <c r="C401" s="11"/>
    </row>
    <row r="402">
      <c r="A402" s="22"/>
      <c r="C402" s="11"/>
    </row>
    <row r="403">
      <c r="A403" s="22"/>
      <c r="C403" s="11"/>
    </row>
    <row r="404">
      <c r="A404" s="22"/>
      <c r="C404" s="11"/>
    </row>
    <row r="405">
      <c r="A405" s="22"/>
      <c r="C405" s="11"/>
    </row>
    <row r="406">
      <c r="A406" s="22"/>
      <c r="C406" s="11"/>
    </row>
    <row r="407">
      <c r="A407" s="22"/>
      <c r="C407" s="11"/>
    </row>
    <row r="408">
      <c r="A408" s="22"/>
      <c r="C408" s="11"/>
    </row>
    <row r="409">
      <c r="A409" s="22"/>
      <c r="C409" s="11"/>
    </row>
    <row r="410">
      <c r="A410" s="22"/>
      <c r="C410" s="11"/>
    </row>
    <row r="411">
      <c r="A411" s="22"/>
      <c r="C411" s="11"/>
    </row>
    <row r="412">
      <c r="A412" s="22"/>
      <c r="C412" s="11"/>
    </row>
    <row r="413">
      <c r="A413" s="22"/>
      <c r="C413" s="11"/>
    </row>
    <row r="414">
      <c r="A414" s="22"/>
      <c r="C414" s="11"/>
    </row>
    <row r="415">
      <c r="A415" s="22"/>
      <c r="C415" s="11"/>
    </row>
    <row r="416">
      <c r="A416" s="22"/>
      <c r="C416" s="11"/>
    </row>
    <row r="417">
      <c r="A417" s="22"/>
      <c r="C417" s="11"/>
    </row>
    <row r="418">
      <c r="A418" s="22"/>
      <c r="C418" s="11"/>
    </row>
    <row r="419">
      <c r="A419" s="22"/>
      <c r="C419" s="11"/>
    </row>
    <row r="420">
      <c r="A420" s="22"/>
      <c r="C420" s="11"/>
    </row>
    <row r="421">
      <c r="A421" s="22"/>
      <c r="C421" s="11"/>
    </row>
    <row r="422">
      <c r="A422" s="22"/>
      <c r="C422" s="11"/>
    </row>
    <row r="423">
      <c r="A423" s="22"/>
      <c r="C423" s="11"/>
    </row>
    <row r="424">
      <c r="A424" s="22"/>
      <c r="C424" s="11"/>
    </row>
    <row r="425">
      <c r="A425" s="22"/>
      <c r="C425" s="11"/>
    </row>
    <row r="426">
      <c r="A426" s="22"/>
      <c r="C426" s="11"/>
    </row>
    <row r="427">
      <c r="A427" s="22"/>
      <c r="C427" s="11"/>
    </row>
    <row r="428">
      <c r="A428" s="22"/>
      <c r="C428" s="11"/>
    </row>
    <row r="429">
      <c r="A429" s="22"/>
      <c r="C429" s="11"/>
    </row>
    <row r="430">
      <c r="A430" s="22"/>
      <c r="C430" s="11"/>
    </row>
    <row r="431">
      <c r="A431" s="22"/>
      <c r="C431" s="11"/>
    </row>
    <row r="432">
      <c r="A432" s="22"/>
      <c r="C432" s="11"/>
    </row>
    <row r="433">
      <c r="A433" s="22"/>
      <c r="C433" s="11"/>
    </row>
    <row r="434">
      <c r="A434" s="22"/>
      <c r="C434" s="11"/>
    </row>
    <row r="435">
      <c r="A435" s="22"/>
      <c r="C435" s="11"/>
    </row>
    <row r="436">
      <c r="A436" s="22"/>
      <c r="C436" s="11"/>
    </row>
    <row r="437">
      <c r="A437" s="22"/>
      <c r="C437" s="11"/>
    </row>
    <row r="438">
      <c r="A438" s="22"/>
      <c r="C438" s="11"/>
    </row>
    <row r="439">
      <c r="A439" s="22"/>
      <c r="C439" s="11"/>
    </row>
    <row r="440">
      <c r="A440" s="22"/>
      <c r="C440" s="11"/>
    </row>
    <row r="441">
      <c r="A441" s="22"/>
      <c r="C441" s="11"/>
    </row>
    <row r="442">
      <c r="A442" s="22"/>
      <c r="C442" s="11"/>
    </row>
    <row r="443">
      <c r="A443" s="22"/>
      <c r="C443" s="11"/>
    </row>
    <row r="444">
      <c r="A444" s="22"/>
      <c r="C444" s="11"/>
    </row>
    <row r="445">
      <c r="A445" s="22"/>
      <c r="C445" s="11"/>
    </row>
    <row r="446">
      <c r="A446" s="22"/>
      <c r="C446" s="11"/>
    </row>
    <row r="447">
      <c r="A447" s="22"/>
      <c r="C447" s="11"/>
    </row>
    <row r="448">
      <c r="A448" s="22"/>
      <c r="C448" s="11"/>
    </row>
    <row r="449">
      <c r="A449" s="22"/>
      <c r="C449" s="11"/>
    </row>
    <row r="450">
      <c r="A450" s="22"/>
      <c r="C450" s="11"/>
    </row>
    <row r="451">
      <c r="A451" s="22"/>
      <c r="C451" s="11"/>
    </row>
    <row r="452">
      <c r="A452" s="22"/>
      <c r="C452" s="11"/>
    </row>
    <row r="453">
      <c r="A453" s="22"/>
      <c r="C453" s="11"/>
    </row>
    <row r="454">
      <c r="A454" s="22"/>
      <c r="C454" s="11"/>
    </row>
    <row r="455">
      <c r="A455" s="22"/>
      <c r="C455" s="11"/>
    </row>
    <row r="456">
      <c r="A456" s="22"/>
      <c r="C456" s="11"/>
    </row>
    <row r="457">
      <c r="A457" s="22"/>
      <c r="C457" s="11"/>
    </row>
    <row r="458">
      <c r="A458" s="22"/>
      <c r="C458" s="11"/>
    </row>
    <row r="459">
      <c r="A459" s="22"/>
      <c r="C459" s="11"/>
    </row>
    <row r="460">
      <c r="A460" s="22"/>
      <c r="C460" s="11"/>
    </row>
    <row r="461">
      <c r="A461" s="22"/>
      <c r="C461" s="11"/>
    </row>
    <row r="462">
      <c r="A462" s="22"/>
      <c r="C462" s="11"/>
    </row>
    <row r="463">
      <c r="A463" s="22"/>
      <c r="C463" s="11"/>
    </row>
    <row r="464">
      <c r="A464" s="22"/>
      <c r="C464" s="11"/>
    </row>
    <row r="465">
      <c r="A465" s="22"/>
      <c r="C465" s="11"/>
    </row>
    <row r="466">
      <c r="A466" s="22"/>
      <c r="C466" s="11"/>
    </row>
    <row r="467">
      <c r="A467" s="22"/>
      <c r="C467" s="11"/>
    </row>
    <row r="468">
      <c r="A468" s="22"/>
      <c r="C468" s="11"/>
    </row>
    <row r="469">
      <c r="A469" s="22"/>
      <c r="C469" s="11"/>
    </row>
    <row r="470">
      <c r="A470" s="22"/>
      <c r="C470" s="11"/>
    </row>
    <row r="471">
      <c r="A471" s="22"/>
      <c r="C471" s="11"/>
    </row>
    <row r="472">
      <c r="A472" s="22"/>
      <c r="C472" s="11"/>
    </row>
    <row r="473">
      <c r="A473" s="22"/>
      <c r="C473" s="11"/>
    </row>
    <row r="474">
      <c r="A474" s="22"/>
      <c r="C474" s="11"/>
    </row>
    <row r="475">
      <c r="A475" s="22"/>
      <c r="C475" s="11"/>
    </row>
    <row r="476">
      <c r="A476" s="22"/>
      <c r="C476" s="11"/>
    </row>
    <row r="477">
      <c r="A477" s="22"/>
      <c r="C477" s="11"/>
    </row>
    <row r="478">
      <c r="A478" s="22"/>
      <c r="C478" s="11"/>
    </row>
    <row r="479">
      <c r="A479" s="22"/>
      <c r="C479" s="11"/>
    </row>
    <row r="480">
      <c r="A480" s="22"/>
      <c r="C480" s="11"/>
    </row>
    <row r="481">
      <c r="A481" s="22"/>
      <c r="C481" s="11"/>
    </row>
    <row r="482">
      <c r="A482" s="22"/>
      <c r="C482" s="11"/>
    </row>
    <row r="483">
      <c r="A483" s="22"/>
      <c r="C483" s="11"/>
    </row>
    <row r="484">
      <c r="A484" s="22"/>
      <c r="C484" s="11"/>
    </row>
    <row r="485">
      <c r="A485" s="22"/>
      <c r="C485" s="11"/>
    </row>
    <row r="486">
      <c r="A486" s="22"/>
      <c r="C486" s="11"/>
    </row>
    <row r="487">
      <c r="A487" s="22"/>
      <c r="C487" s="11"/>
    </row>
    <row r="488">
      <c r="A488" s="22"/>
      <c r="C488" s="11"/>
    </row>
    <row r="489">
      <c r="A489" s="22"/>
      <c r="C489" s="11"/>
    </row>
    <row r="490">
      <c r="A490" s="22"/>
      <c r="C490" s="11"/>
    </row>
    <row r="491">
      <c r="A491" s="22"/>
      <c r="C491" s="11"/>
    </row>
    <row r="492">
      <c r="A492" s="22"/>
      <c r="C492" s="11"/>
    </row>
    <row r="493">
      <c r="A493" s="22"/>
      <c r="C493" s="11"/>
    </row>
    <row r="494">
      <c r="A494" s="22"/>
      <c r="C494" s="11"/>
    </row>
    <row r="495">
      <c r="A495" s="22"/>
      <c r="C495" s="11"/>
    </row>
    <row r="496">
      <c r="A496" s="22"/>
      <c r="C496" s="11"/>
    </row>
    <row r="497">
      <c r="A497" s="22"/>
      <c r="C497" s="11"/>
    </row>
    <row r="498">
      <c r="A498" s="22"/>
      <c r="C498" s="11"/>
    </row>
    <row r="499">
      <c r="A499" s="22"/>
      <c r="C499" s="11"/>
    </row>
    <row r="500">
      <c r="A500" s="22"/>
      <c r="C500" s="11"/>
    </row>
    <row r="501">
      <c r="A501" s="22"/>
      <c r="C501" s="11"/>
    </row>
    <row r="502">
      <c r="A502" s="22"/>
      <c r="C502" s="11"/>
    </row>
    <row r="503">
      <c r="A503" s="22"/>
      <c r="C503" s="11"/>
    </row>
    <row r="504">
      <c r="A504" s="22"/>
      <c r="C504" s="11"/>
    </row>
    <row r="505">
      <c r="A505" s="22"/>
      <c r="C505" s="11"/>
    </row>
    <row r="506">
      <c r="A506" s="22"/>
      <c r="C506" s="11"/>
    </row>
    <row r="507">
      <c r="A507" s="22"/>
      <c r="C507" s="11"/>
    </row>
    <row r="508">
      <c r="A508" s="22"/>
      <c r="C508" s="11"/>
    </row>
    <row r="509">
      <c r="A509" s="22"/>
      <c r="C509" s="11"/>
    </row>
    <row r="510">
      <c r="A510" s="22"/>
      <c r="C510" s="11"/>
    </row>
    <row r="511">
      <c r="A511" s="22"/>
      <c r="C511" s="11"/>
    </row>
    <row r="512">
      <c r="A512" s="22"/>
      <c r="C512" s="11"/>
    </row>
    <row r="513">
      <c r="A513" s="22"/>
      <c r="C513" s="11"/>
    </row>
    <row r="514">
      <c r="A514" s="22"/>
      <c r="C514" s="11"/>
    </row>
    <row r="515">
      <c r="A515" s="22"/>
      <c r="C515" s="11"/>
    </row>
    <row r="516">
      <c r="A516" s="22"/>
      <c r="C516" s="11"/>
    </row>
    <row r="517">
      <c r="A517" s="22"/>
      <c r="C517" s="11"/>
    </row>
    <row r="518">
      <c r="A518" s="22"/>
      <c r="C518" s="11"/>
    </row>
    <row r="519">
      <c r="A519" s="22"/>
      <c r="C519" s="11"/>
    </row>
    <row r="520">
      <c r="A520" s="22"/>
      <c r="C520" s="11"/>
    </row>
    <row r="521">
      <c r="A521" s="22"/>
      <c r="C521" s="11"/>
    </row>
    <row r="522">
      <c r="A522" s="22"/>
      <c r="C522" s="11"/>
    </row>
    <row r="523">
      <c r="A523" s="22"/>
      <c r="C523" s="11"/>
    </row>
    <row r="524">
      <c r="A524" s="22"/>
      <c r="C524" s="11"/>
    </row>
    <row r="525">
      <c r="A525" s="22"/>
      <c r="C525" s="11"/>
    </row>
    <row r="526">
      <c r="A526" s="22"/>
      <c r="C526" s="11"/>
    </row>
    <row r="527">
      <c r="A527" s="22"/>
      <c r="C527" s="11"/>
    </row>
    <row r="528">
      <c r="A528" s="22"/>
      <c r="C528" s="11"/>
    </row>
    <row r="529">
      <c r="A529" s="22"/>
      <c r="C529" s="11"/>
    </row>
    <row r="530">
      <c r="A530" s="22"/>
      <c r="C530" s="11"/>
    </row>
    <row r="531">
      <c r="A531" s="22"/>
      <c r="C531" s="11"/>
    </row>
    <row r="532">
      <c r="A532" s="22"/>
      <c r="C532" s="11"/>
    </row>
    <row r="533">
      <c r="A533" s="22"/>
      <c r="C533" s="11"/>
    </row>
    <row r="534">
      <c r="A534" s="22"/>
      <c r="C534" s="11"/>
    </row>
    <row r="535">
      <c r="A535" s="22"/>
      <c r="C535" s="11"/>
    </row>
    <row r="536">
      <c r="A536" s="22"/>
      <c r="C536" s="11"/>
    </row>
    <row r="537">
      <c r="A537" s="22"/>
      <c r="C537" s="11"/>
    </row>
    <row r="538">
      <c r="A538" s="22"/>
      <c r="C538" s="11"/>
    </row>
    <row r="539">
      <c r="A539" s="22"/>
      <c r="C539" s="11"/>
    </row>
    <row r="540">
      <c r="A540" s="22"/>
      <c r="C540" s="11"/>
    </row>
    <row r="541">
      <c r="A541" s="22"/>
      <c r="C541" s="11"/>
    </row>
    <row r="542">
      <c r="A542" s="22"/>
      <c r="C542" s="11"/>
    </row>
    <row r="543">
      <c r="A543" s="22"/>
      <c r="C543" s="11"/>
    </row>
    <row r="544">
      <c r="A544" s="22"/>
      <c r="C544" s="11"/>
    </row>
    <row r="545">
      <c r="A545" s="22"/>
      <c r="C545" s="11"/>
    </row>
    <row r="546">
      <c r="A546" s="22"/>
      <c r="C546" s="11"/>
    </row>
    <row r="547">
      <c r="A547" s="22"/>
      <c r="C547" s="11"/>
    </row>
    <row r="548">
      <c r="A548" s="22"/>
      <c r="C548" s="11"/>
    </row>
    <row r="549">
      <c r="A549" s="22"/>
      <c r="C549" s="11"/>
    </row>
    <row r="550">
      <c r="A550" s="22"/>
      <c r="C550" s="11"/>
    </row>
    <row r="551">
      <c r="A551" s="22"/>
      <c r="C551" s="11"/>
    </row>
    <row r="552">
      <c r="A552" s="22"/>
      <c r="C552" s="11"/>
    </row>
    <row r="553">
      <c r="A553" s="22"/>
      <c r="C553" s="11"/>
    </row>
    <row r="554">
      <c r="A554" s="22"/>
      <c r="C554" s="11"/>
    </row>
    <row r="555">
      <c r="A555" s="22"/>
      <c r="C555" s="11"/>
    </row>
    <row r="556">
      <c r="A556" s="22"/>
      <c r="C556" s="11"/>
    </row>
    <row r="557">
      <c r="A557" s="22"/>
      <c r="C557" s="11"/>
    </row>
    <row r="558">
      <c r="A558" s="22"/>
      <c r="C558" s="11"/>
    </row>
    <row r="559">
      <c r="A559" s="22"/>
      <c r="C559" s="11"/>
    </row>
    <row r="560">
      <c r="A560" s="22"/>
      <c r="C560" s="11"/>
    </row>
    <row r="561">
      <c r="A561" s="22"/>
      <c r="C561" s="11"/>
    </row>
    <row r="562">
      <c r="A562" s="22"/>
      <c r="C562" s="11"/>
    </row>
    <row r="563">
      <c r="A563" s="22"/>
      <c r="C563" s="11"/>
    </row>
    <row r="564">
      <c r="A564" s="22"/>
      <c r="C564" s="11"/>
    </row>
    <row r="565">
      <c r="A565" s="22"/>
      <c r="C565" s="11"/>
    </row>
    <row r="566">
      <c r="A566" s="22"/>
      <c r="C566" s="11"/>
    </row>
    <row r="567">
      <c r="A567" s="22"/>
      <c r="C567" s="11"/>
    </row>
    <row r="568">
      <c r="A568" s="22"/>
      <c r="C568" s="11"/>
    </row>
    <row r="569">
      <c r="A569" s="22"/>
      <c r="C569" s="11"/>
    </row>
    <row r="570">
      <c r="A570" s="22"/>
      <c r="C570" s="11"/>
    </row>
    <row r="571">
      <c r="A571" s="22"/>
      <c r="C571" s="11"/>
    </row>
    <row r="572">
      <c r="A572" s="22"/>
      <c r="C572" s="11"/>
    </row>
    <row r="573">
      <c r="A573" s="22"/>
      <c r="C573" s="11"/>
    </row>
    <row r="574">
      <c r="A574" s="22"/>
      <c r="C574" s="11"/>
    </row>
    <row r="575">
      <c r="A575" s="22"/>
      <c r="C575" s="11"/>
    </row>
    <row r="576">
      <c r="A576" s="22"/>
      <c r="C576" s="11"/>
    </row>
    <row r="577">
      <c r="A577" s="22"/>
      <c r="C577" s="11"/>
    </row>
    <row r="578">
      <c r="A578" s="22"/>
      <c r="C578" s="11"/>
    </row>
    <row r="579">
      <c r="A579" s="22"/>
      <c r="C579" s="11"/>
    </row>
    <row r="580">
      <c r="A580" s="22"/>
      <c r="C580" s="11"/>
    </row>
    <row r="581">
      <c r="A581" s="22"/>
      <c r="C581" s="11"/>
    </row>
    <row r="582">
      <c r="A582" s="22"/>
      <c r="C582" s="11"/>
    </row>
    <row r="583">
      <c r="A583" s="22"/>
      <c r="C583" s="11"/>
    </row>
    <row r="584">
      <c r="A584" s="22"/>
      <c r="C584" s="11"/>
    </row>
    <row r="585">
      <c r="A585" s="22"/>
      <c r="C585" s="11"/>
    </row>
    <row r="586">
      <c r="A586" s="22"/>
      <c r="C586" s="11"/>
    </row>
    <row r="587">
      <c r="A587" s="22"/>
      <c r="C587" s="11"/>
    </row>
    <row r="588">
      <c r="A588" s="22"/>
      <c r="C588" s="11"/>
    </row>
    <row r="589">
      <c r="A589" s="22"/>
      <c r="C589" s="11"/>
    </row>
    <row r="590">
      <c r="A590" s="22"/>
      <c r="C590" s="11"/>
    </row>
    <row r="591">
      <c r="A591" s="22"/>
      <c r="C591" s="11"/>
    </row>
    <row r="592">
      <c r="A592" s="22"/>
      <c r="C592" s="11"/>
    </row>
    <row r="593">
      <c r="A593" s="22"/>
      <c r="C593" s="11"/>
    </row>
    <row r="594">
      <c r="A594" s="22"/>
      <c r="C594" s="11"/>
    </row>
    <row r="595">
      <c r="A595" s="22"/>
      <c r="C595" s="11"/>
    </row>
    <row r="596">
      <c r="A596" s="22"/>
      <c r="C596" s="11"/>
    </row>
    <row r="597">
      <c r="A597" s="22"/>
      <c r="C597" s="11"/>
    </row>
    <row r="598">
      <c r="A598" s="22"/>
      <c r="C598" s="11"/>
    </row>
    <row r="599">
      <c r="A599" s="22"/>
      <c r="C599" s="11"/>
    </row>
    <row r="600">
      <c r="A600" s="22"/>
      <c r="C600" s="11"/>
    </row>
    <row r="601">
      <c r="A601" s="22"/>
      <c r="C601" s="11"/>
    </row>
    <row r="602">
      <c r="A602" s="22"/>
      <c r="C602" s="11"/>
    </row>
    <row r="603">
      <c r="A603" s="22"/>
      <c r="C603" s="11"/>
    </row>
    <row r="604">
      <c r="A604" s="22"/>
      <c r="C604" s="11"/>
    </row>
    <row r="605">
      <c r="A605" s="22"/>
      <c r="C605" s="11"/>
    </row>
    <row r="606">
      <c r="A606" s="22"/>
      <c r="C606" s="11"/>
    </row>
    <row r="607">
      <c r="A607" s="22"/>
      <c r="C607" s="11"/>
    </row>
    <row r="608">
      <c r="A608" s="22"/>
      <c r="C608" s="11"/>
    </row>
    <row r="609">
      <c r="A609" s="22"/>
      <c r="C609" s="11"/>
    </row>
    <row r="610">
      <c r="A610" s="22"/>
      <c r="C610" s="11"/>
    </row>
    <row r="611">
      <c r="A611" s="22"/>
      <c r="C611" s="11"/>
    </row>
    <row r="612">
      <c r="A612" s="22"/>
      <c r="C612" s="11"/>
    </row>
    <row r="613">
      <c r="A613" s="22"/>
      <c r="C613" s="11"/>
    </row>
    <row r="614">
      <c r="A614" s="22"/>
      <c r="C614" s="11"/>
    </row>
    <row r="615">
      <c r="A615" s="22"/>
      <c r="C615" s="11"/>
    </row>
    <row r="616">
      <c r="A616" s="22"/>
      <c r="C616" s="11"/>
    </row>
    <row r="617">
      <c r="A617" s="22"/>
      <c r="C617" s="11"/>
    </row>
    <row r="618">
      <c r="A618" s="22"/>
      <c r="C618" s="11"/>
    </row>
    <row r="619">
      <c r="A619" s="22"/>
      <c r="C619" s="11"/>
    </row>
    <row r="620">
      <c r="A620" s="22"/>
      <c r="C620" s="11"/>
    </row>
    <row r="621">
      <c r="A621" s="22"/>
      <c r="C621" s="11"/>
    </row>
    <row r="622">
      <c r="A622" s="22"/>
      <c r="C622" s="11"/>
    </row>
    <row r="623">
      <c r="A623" s="22"/>
      <c r="C623" s="11"/>
    </row>
    <row r="624">
      <c r="A624" s="22"/>
      <c r="C624" s="11"/>
    </row>
    <row r="625">
      <c r="A625" s="22"/>
      <c r="C625" s="11"/>
    </row>
    <row r="626">
      <c r="A626" s="22"/>
      <c r="C626" s="11"/>
    </row>
    <row r="627">
      <c r="A627" s="22"/>
      <c r="C627" s="11"/>
    </row>
    <row r="628">
      <c r="A628" s="22"/>
      <c r="C628" s="11"/>
    </row>
    <row r="629">
      <c r="A629" s="22"/>
      <c r="C629" s="11"/>
    </row>
    <row r="630">
      <c r="A630" s="22"/>
      <c r="C630" s="11"/>
    </row>
    <row r="631">
      <c r="A631" s="22"/>
      <c r="C631" s="11"/>
    </row>
    <row r="632">
      <c r="A632" s="22"/>
      <c r="C632" s="11"/>
    </row>
    <row r="633">
      <c r="A633" s="22"/>
      <c r="C633" s="11"/>
    </row>
    <row r="634">
      <c r="A634" s="22"/>
      <c r="C634" s="11"/>
    </row>
    <row r="635">
      <c r="A635" s="22"/>
      <c r="C635" s="11"/>
    </row>
    <row r="636">
      <c r="A636" s="22"/>
      <c r="C636" s="11"/>
    </row>
    <row r="637">
      <c r="A637" s="22"/>
      <c r="C637" s="11"/>
    </row>
    <row r="638">
      <c r="A638" s="22"/>
      <c r="C638" s="11"/>
    </row>
    <row r="639">
      <c r="A639" s="22"/>
      <c r="C639" s="11"/>
    </row>
    <row r="640">
      <c r="A640" s="22"/>
      <c r="C640" s="11"/>
    </row>
    <row r="641">
      <c r="A641" s="22"/>
      <c r="C641" s="11"/>
    </row>
    <row r="642">
      <c r="A642" s="22"/>
      <c r="C642" s="11"/>
    </row>
    <row r="643">
      <c r="A643" s="22"/>
      <c r="C643" s="11"/>
    </row>
    <row r="644">
      <c r="A644" s="22"/>
      <c r="C644" s="11"/>
    </row>
    <row r="645">
      <c r="A645" s="22"/>
      <c r="C645" s="11"/>
    </row>
    <row r="646">
      <c r="A646" s="22"/>
      <c r="C646" s="11"/>
    </row>
    <row r="647">
      <c r="A647" s="22"/>
      <c r="C647" s="11"/>
    </row>
    <row r="648">
      <c r="A648" s="22"/>
      <c r="C648" s="11"/>
    </row>
    <row r="649">
      <c r="A649" s="22"/>
      <c r="C649" s="11"/>
    </row>
    <row r="650">
      <c r="A650" s="22"/>
      <c r="C650" s="11"/>
    </row>
    <row r="651">
      <c r="A651" s="22"/>
      <c r="C651" s="11"/>
    </row>
    <row r="652">
      <c r="A652" s="22"/>
      <c r="C652" s="11"/>
    </row>
    <row r="653">
      <c r="A653" s="22"/>
      <c r="C653" s="11"/>
    </row>
    <row r="654">
      <c r="A654" s="22"/>
      <c r="C654" s="11"/>
    </row>
    <row r="655">
      <c r="A655" s="22"/>
      <c r="C655" s="11"/>
    </row>
    <row r="656">
      <c r="A656" s="22"/>
      <c r="C656" s="11"/>
    </row>
    <row r="657">
      <c r="A657" s="22"/>
      <c r="C657" s="11"/>
    </row>
    <row r="658">
      <c r="A658" s="22"/>
      <c r="C658" s="11"/>
    </row>
    <row r="659">
      <c r="A659" s="22"/>
      <c r="C659" s="11"/>
    </row>
    <row r="660">
      <c r="A660" s="22"/>
      <c r="C660" s="11"/>
    </row>
    <row r="661">
      <c r="A661" s="22"/>
      <c r="C661" s="11"/>
    </row>
    <row r="662">
      <c r="A662" s="22"/>
      <c r="C662" s="11"/>
    </row>
    <row r="663">
      <c r="A663" s="22"/>
      <c r="C663" s="11"/>
    </row>
    <row r="664">
      <c r="A664" s="22"/>
      <c r="C664" s="11"/>
    </row>
    <row r="665">
      <c r="A665" s="22"/>
      <c r="C665" s="11"/>
    </row>
    <row r="666">
      <c r="A666" s="22"/>
      <c r="C666" s="11"/>
    </row>
    <row r="667">
      <c r="A667" s="22"/>
      <c r="C667" s="11"/>
    </row>
    <row r="668">
      <c r="A668" s="22"/>
      <c r="C668" s="11"/>
    </row>
    <row r="669">
      <c r="A669" s="22"/>
      <c r="C669" s="11"/>
    </row>
    <row r="670">
      <c r="A670" s="22"/>
      <c r="C670" s="11"/>
    </row>
    <row r="671">
      <c r="A671" s="22"/>
      <c r="C671" s="11"/>
    </row>
    <row r="672">
      <c r="A672" s="22"/>
      <c r="C672" s="11"/>
    </row>
    <row r="673">
      <c r="A673" s="22"/>
      <c r="C673" s="11"/>
    </row>
    <row r="674">
      <c r="A674" s="22"/>
      <c r="C674" s="11"/>
    </row>
    <row r="675">
      <c r="A675" s="22"/>
      <c r="C675" s="11"/>
    </row>
    <row r="676">
      <c r="A676" s="22"/>
      <c r="C676" s="11"/>
    </row>
    <row r="677">
      <c r="A677" s="22"/>
      <c r="C677" s="11"/>
    </row>
    <row r="678">
      <c r="A678" s="22"/>
      <c r="C678" s="11"/>
    </row>
    <row r="679">
      <c r="A679" s="22"/>
      <c r="C679" s="11"/>
    </row>
    <row r="680">
      <c r="A680" s="22"/>
      <c r="C680" s="11"/>
    </row>
    <row r="681">
      <c r="A681" s="22"/>
      <c r="C681" s="11"/>
    </row>
    <row r="682">
      <c r="A682" s="22"/>
      <c r="C682" s="11"/>
    </row>
    <row r="683">
      <c r="A683" s="22"/>
      <c r="C683" s="11"/>
    </row>
    <row r="684">
      <c r="A684" s="22"/>
      <c r="C684" s="11"/>
    </row>
    <row r="685">
      <c r="A685" s="22"/>
      <c r="C685" s="11"/>
    </row>
    <row r="686">
      <c r="A686" s="22"/>
      <c r="C686" s="11"/>
    </row>
    <row r="687">
      <c r="A687" s="22"/>
      <c r="C687" s="11"/>
    </row>
    <row r="688">
      <c r="A688" s="22"/>
      <c r="C688" s="11"/>
    </row>
    <row r="689">
      <c r="A689" s="22"/>
      <c r="C689" s="11"/>
    </row>
    <row r="690">
      <c r="A690" s="22"/>
      <c r="C690" s="11"/>
    </row>
    <row r="691">
      <c r="A691" s="22"/>
      <c r="C691" s="11"/>
    </row>
    <row r="692">
      <c r="A692" s="22"/>
      <c r="C692" s="11"/>
    </row>
    <row r="693">
      <c r="A693" s="22"/>
      <c r="C693" s="11"/>
    </row>
    <row r="694">
      <c r="A694" s="22"/>
      <c r="C694" s="11"/>
    </row>
    <row r="695">
      <c r="A695" s="22"/>
      <c r="C695" s="11"/>
    </row>
    <row r="696">
      <c r="A696" s="22"/>
      <c r="C696" s="11"/>
    </row>
    <row r="697">
      <c r="A697" s="22"/>
      <c r="C697" s="11"/>
    </row>
    <row r="698">
      <c r="A698" s="22"/>
      <c r="C698" s="11"/>
    </row>
    <row r="699">
      <c r="A699" s="22"/>
      <c r="C699" s="11"/>
    </row>
    <row r="700">
      <c r="A700" s="22"/>
      <c r="C700" s="11"/>
    </row>
    <row r="701">
      <c r="A701" s="22"/>
      <c r="C701" s="11"/>
    </row>
    <row r="702">
      <c r="A702" s="22"/>
      <c r="C702" s="11"/>
    </row>
    <row r="703">
      <c r="A703" s="22"/>
      <c r="C703" s="11"/>
    </row>
    <row r="704">
      <c r="A704" s="22"/>
      <c r="C704" s="11"/>
    </row>
    <row r="705">
      <c r="A705" s="22"/>
      <c r="C705" s="11"/>
    </row>
    <row r="706">
      <c r="A706" s="22"/>
      <c r="C706" s="11"/>
    </row>
    <row r="707">
      <c r="A707" s="22"/>
      <c r="C707" s="11"/>
    </row>
    <row r="708">
      <c r="A708" s="22"/>
      <c r="C708" s="11"/>
    </row>
    <row r="709">
      <c r="A709" s="22"/>
      <c r="C709" s="11"/>
    </row>
    <row r="710">
      <c r="A710" s="22"/>
      <c r="C710" s="11"/>
    </row>
    <row r="711">
      <c r="A711" s="22"/>
      <c r="C711" s="11"/>
    </row>
    <row r="712">
      <c r="A712" s="22"/>
      <c r="C712" s="11"/>
    </row>
    <row r="713">
      <c r="A713" s="22"/>
      <c r="C713" s="11"/>
    </row>
    <row r="714">
      <c r="A714" s="22"/>
      <c r="C714" s="11"/>
    </row>
    <row r="715">
      <c r="A715" s="22"/>
      <c r="C715" s="11"/>
    </row>
    <row r="716">
      <c r="A716" s="22"/>
      <c r="C716" s="11"/>
    </row>
    <row r="717">
      <c r="A717" s="22"/>
      <c r="C717" s="11"/>
    </row>
    <row r="718">
      <c r="A718" s="22"/>
      <c r="C718" s="11"/>
    </row>
    <row r="719">
      <c r="A719" s="22"/>
      <c r="C719" s="11"/>
    </row>
    <row r="720">
      <c r="A720" s="22"/>
      <c r="C720" s="11"/>
    </row>
    <row r="721">
      <c r="A721" s="22"/>
      <c r="C721" s="11"/>
    </row>
    <row r="722">
      <c r="A722" s="22"/>
      <c r="C722" s="11"/>
    </row>
    <row r="723">
      <c r="A723" s="22"/>
      <c r="C723" s="11"/>
    </row>
    <row r="724">
      <c r="A724" s="22"/>
      <c r="C724" s="11"/>
    </row>
    <row r="725">
      <c r="A725" s="22"/>
      <c r="C725" s="11"/>
    </row>
    <row r="726">
      <c r="A726" s="22"/>
      <c r="C726" s="11"/>
    </row>
    <row r="727">
      <c r="A727" s="22"/>
      <c r="C727" s="11"/>
    </row>
    <row r="728">
      <c r="A728" s="22"/>
      <c r="C728" s="11"/>
    </row>
    <row r="729">
      <c r="A729" s="22"/>
      <c r="C729" s="11"/>
    </row>
    <row r="730">
      <c r="A730" s="22"/>
      <c r="C730" s="11"/>
    </row>
    <row r="731">
      <c r="A731" s="22"/>
      <c r="C731" s="11"/>
    </row>
    <row r="732">
      <c r="A732" s="22"/>
      <c r="C732" s="11"/>
    </row>
    <row r="733">
      <c r="A733" s="22"/>
      <c r="C733" s="11"/>
    </row>
    <row r="734">
      <c r="A734" s="22"/>
      <c r="C734" s="11"/>
    </row>
    <row r="735">
      <c r="A735" s="22"/>
      <c r="C735" s="11"/>
    </row>
    <row r="736">
      <c r="A736" s="22"/>
      <c r="C736" s="11"/>
    </row>
    <row r="737">
      <c r="A737" s="22"/>
      <c r="C737" s="11"/>
    </row>
    <row r="738">
      <c r="A738" s="22"/>
      <c r="C738" s="11"/>
    </row>
    <row r="739">
      <c r="A739" s="22"/>
      <c r="C739" s="11"/>
    </row>
    <row r="740">
      <c r="A740" s="22"/>
      <c r="C740" s="11"/>
    </row>
    <row r="741">
      <c r="A741" s="22"/>
      <c r="C741" s="11"/>
    </row>
    <row r="742">
      <c r="A742" s="22"/>
      <c r="C742" s="11"/>
    </row>
    <row r="743">
      <c r="A743" s="22"/>
      <c r="C743" s="11"/>
    </row>
    <row r="744">
      <c r="A744" s="22"/>
      <c r="C744" s="11"/>
    </row>
    <row r="745">
      <c r="A745" s="22"/>
      <c r="C745" s="11"/>
    </row>
    <row r="746">
      <c r="A746" s="22"/>
      <c r="C746" s="11"/>
    </row>
    <row r="747">
      <c r="A747" s="22"/>
      <c r="C747" s="11"/>
    </row>
    <row r="748">
      <c r="A748" s="22"/>
      <c r="C748" s="11"/>
    </row>
    <row r="749">
      <c r="A749" s="22"/>
      <c r="C749" s="11"/>
    </row>
    <row r="750">
      <c r="A750" s="22"/>
      <c r="C750" s="11"/>
    </row>
    <row r="751">
      <c r="A751" s="22"/>
      <c r="C751" s="11"/>
    </row>
    <row r="752">
      <c r="A752" s="22"/>
      <c r="C752" s="11"/>
    </row>
    <row r="753">
      <c r="A753" s="22"/>
      <c r="C753" s="11"/>
    </row>
    <row r="754">
      <c r="A754" s="22"/>
      <c r="C754" s="11"/>
    </row>
    <row r="755">
      <c r="A755" s="22"/>
      <c r="C755" s="11"/>
    </row>
    <row r="756">
      <c r="A756" s="22"/>
      <c r="C756" s="11"/>
    </row>
    <row r="757">
      <c r="A757" s="22"/>
      <c r="C757" s="11"/>
    </row>
    <row r="758">
      <c r="A758" s="22"/>
      <c r="C758" s="11"/>
    </row>
    <row r="759">
      <c r="A759" s="22"/>
      <c r="C759" s="11"/>
    </row>
    <row r="760">
      <c r="A760" s="22"/>
      <c r="C760" s="11"/>
    </row>
    <row r="761">
      <c r="A761" s="22"/>
      <c r="C761" s="11"/>
    </row>
    <row r="762">
      <c r="A762" s="22"/>
      <c r="C762" s="11"/>
    </row>
    <row r="763">
      <c r="A763" s="22"/>
      <c r="C763" s="11"/>
    </row>
    <row r="764">
      <c r="A764" s="22"/>
      <c r="C764" s="11"/>
    </row>
    <row r="765">
      <c r="A765" s="22"/>
      <c r="C765" s="11"/>
    </row>
    <row r="766">
      <c r="A766" s="22"/>
      <c r="C766" s="11"/>
    </row>
    <row r="767">
      <c r="A767" s="22"/>
      <c r="C767" s="11"/>
    </row>
    <row r="768">
      <c r="A768" s="22"/>
      <c r="C768" s="11"/>
    </row>
    <row r="769">
      <c r="A769" s="22"/>
      <c r="C769" s="11"/>
    </row>
    <row r="770">
      <c r="A770" s="22"/>
      <c r="C770" s="11"/>
    </row>
    <row r="771">
      <c r="A771" s="22"/>
      <c r="C771" s="11"/>
    </row>
    <row r="772">
      <c r="A772" s="22"/>
      <c r="C772" s="11"/>
    </row>
    <row r="773">
      <c r="A773" s="22"/>
      <c r="C773" s="11"/>
    </row>
    <row r="774">
      <c r="A774" s="22"/>
      <c r="C774" s="11"/>
    </row>
    <row r="775">
      <c r="A775" s="22"/>
      <c r="C775" s="11"/>
    </row>
    <row r="776">
      <c r="A776" s="22"/>
      <c r="C776" s="11"/>
    </row>
    <row r="777">
      <c r="A777" s="22"/>
      <c r="C777" s="11"/>
    </row>
    <row r="778">
      <c r="A778" s="22"/>
      <c r="C778" s="11"/>
    </row>
    <row r="779">
      <c r="A779" s="22"/>
      <c r="C779" s="11"/>
    </row>
    <row r="780">
      <c r="A780" s="22"/>
      <c r="C780" s="11"/>
    </row>
    <row r="781">
      <c r="A781" s="22"/>
      <c r="C781" s="11"/>
    </row>
    <row r="782">
      <c r="A782" s="22"/>
      <c r="C782" s="11"/>
    </row>
    <row r="783">
      <c r="A783" s="22"/>
      <c r="C783" s="11"/>
    </row>
    <row r="784">
      <c r="A784" s="22"/>
      <c r="C784" s="11"/>
    </row>
    <row r="785">
      <c r="A785" s="22"/>
      <c r="C785" s="11"/>
    </row>
    <row r="786">
      <c r="A786" s="22"/>
      <c r="C786" s="11"/>
    </row>
    <row r="787">
      <c r="A787" s="22"/>
      <c r="C787" s="11"/>
    </row>
    <row r="788">
      <c r="A788" s="22"/>
      <c r="C788" s="11"/>
    </row>
    <row r="789">
      <c r="A789" s="22"/>
      <c r="C789" s="11"/>
    </row>
    <row r="790">
      <c r="A790" s="22"/>
      <c r="C790" s="11"/>
    </row>
    <row r="791">
      <c r="A791" s="22"/>
      <c r="C791" s="11"/>
    </row>
    <row r="792">
      <c r="A792" s="22"/>
      <c r="C792" s="11"/>
    </row>
    <row r="793">
      <c r="A793" s="22"/>
      <c r="C793" s="11"/>
    </row>
    <row r="794">
      <c r="A794" s="22"/>
      <c r="C794" s="11"/>
    </row>
    <row r="795">
      <c r="A795" s="22"/>
      <c r="C795" s="11"/>
    </row>
    <row r="796">
      <c r="A796" s="22"/>
      <c r="C796" s="11"/>
    </row>
    <row r="797">
      <c r="A797" s="22"/>
      <c r="C797" s="11"/>
    </row>
    <row r="798">
      <c r="A798" s="22"/>
      <c r="C798" s="11"/>
    </row>
    <row r="799">
      <c r="A799" s="22"/>
      <c r="C799" s="11"/>
    </row>
    <row r="800">
      <c r="A800" s="22"/>
      <c r="C800" s="11"/>
    </row>
    <row r="801">
      <c r="A801" s="22"/>
      <c r="C801" s="11"/>
    </row>
    <row r="802">
      <c r="A802" s="22"/>
      <c r="C802" s="11"/>
    </row>
    <row r="803">
      <c r="A803" s="22"/>
      <c r="C803" s="11"/>
    </row>
    <row r="804">
      <c r="A804" s="22"/>
      <c r="C804" s="11"/>
    </row>
    <row r="805">
      <c r="A805" s="22"/>
      <c r="C805" s="11"/>
    </row>
    <row r="806">
      <c r="A806" s="22"/>
      <c r="C806" s="11"/>
    </row>
    <row r="807">
      <c r="A807" s="22"/>
      <c r="C807" s="11"/>
    </row>
    <row r="808">
      <c r="A808" s="22"/>
      <c r="C808" s="11"/>
    </row>
    <row r="809">
      <c r="A809" s="22"/>
      <c r="C809" s="11"/>
    </row>
    <row r="810">
      <c r="A810" s="22"/>
      <c r="C810" s="11"/>
    </row>
    <row r="811">
      <c r="A811" s="22"/>
      <c r="C811" s="11"/>
    </row>
    <row r="812">
      <c r="A812" s="22"/>
      <c r="C812" s="11"/>
    </row>
    <row r="813">
      <c r="A813" s="22"/>
      <c r="C813" s="11"/>
    </row>
    <row r="814">
      <c r="A814" s="22"/>
      <c r="C814" s="11"/>
    </row>
    <row r="815">
      <c r="A815" s="22"/>
      <c r="C815" s="11"/>
    </row>
    <row r="816">
      <c r="A816" s="22"/>
      <c r="C816" s="11"/>
    </row>
    <row r="817">
      <c r="A817" s="22"/>
      <c r="C817" s="11"/>
    </row>
    <row r="818">
      <c r="A818" s="22"/>
      <c r="C818" s="11"/>
    </row>
    <row r="819">
      <c r="A819" s="22"/>
      <c r="C819" s="11"/>
    </row>
    <row r="820">
      <c r="A820" s="22"/>
      <c r="C820" s="11"/>
    </row>
    <row r="821">
      <c r="A821" s="22"/>
      <c r="C821" s="11"/>
    </row>
    <row r="822">
      <c r="A822" s="22"/>
      <c r="C822" s="11"/>
    </row>
    <row r="823">
      <c r="A823" s="22"/>
      <c r="C823" s="11"/>
    </row>
    <row r="824">
      <c r="A824" s="22"/>
      <c r="C824" s="11"/>
    </row>
    <row r="825">
      <c r="A825" s="22"/>
      <c r="C825" s="11"/>
    </row>
    <row r="826">
      <c r="A826" s="22"/>
      <c r="C826" s="11"/>
    </row>
    <row r="827">
      <c r="A827" s="22"/>
      <c r="C827" s="11"/>
    </row>
    <row r="828">
      <c r="A828" s="22"/>
      <c r="C828" s="11"/>
    </row>
    <row r="829">
      <c r="A829" s="22"/>
      <c r="C829" s="11"/>
    </row>
    <row r="830">
      <c r="A830" s="22"/>
      <c r="C830" s="11"/>
    </row>
    <row r="831">
      <c r="A831" s="22"/>
      <c r="C831" s="11"/>
    </row>
    <row r="832">
      <c r="A832" s="22"/>
      <c r="C832" s="11"/>
    </row>
    <row r="833">
      <c r="A833" s="22"/>
      <c r="C833" s="11"/>
    </row>
    <row r="834">
      <c r="A834" s="22"/>
      <c r="C834" s="11"/>
    </row>
    <row r="835">
      <c r="A835" s="22"/>
      <c r="C835" s="11"/>
    </row>
    <row r="836">
      <c r="A836" s="22"/>
      <c r="C836" s="11"/>
    </row>
    <row r="837">
      <c r="A837" s="22"/>
      <c r="C837" s="11"/>
    </row>
    <row r="838">
      <c r="A838" s="22"/>
      <c r="C838" s="11"/>
    </row>
    <row r="839">
      <c r="A839" s="22"/>
      <c r="C839" s="11"/>
    </row>
    <row r="840">
      <c r="A840" s="22"/>
      <c r="C840" s="11"/>
    </row>
    <row r="841">
      <c r="A841" s="22"/>
      <c r="C841" s="11"/>
    </row>
    <row r="842">
      <c r="A842" s="22"/>
      <c r="C842" s="11"/>
    </row>
    <row r="843">
      <c r="A843" s="22"/>
      <c r="C843" s="11"/>
    </row>
    <row r="844">
      <c r="A844" s="22"/>
      <c r="C844" s="11"/>
    </row>
    <row r="845">
      <c r="A845" s="22"/>
      <c r="C845" s="11"/>
    </row>
    <row r="846">
      <c r="A846" s="22"/>
      <c r="C846" s="11"/>
    </row>
    <row r="847">
      <c r="A847" s="22"/>
      <c r="C847" s="11"/>
    </row>
    <row r="848">
      <c r="A848" s="22"/>
      <c r="C848" s="11"/>
    </row>
    <row r="849">
      <c r="A849" s="22"/>
      <c r="C849" s="11"/>
    </row>
    <row r="850">
      <c r="A850" s="22"/>
      <c r="C850" s="11"/>
    </row>
    <row r="851">
      <c r="A851" s="22"/>
      <c r="C851" s="11"/>
    </row>
    <row r="852">
      <c r="A852" s="22"/>
      <c r="C852" s="11"/>
    </row>
    <row r="853">
      <c r="A853" s="22"/>
      <c r="C853" s="11"/>
    </row>
    <row r="854">
      <c r="A854" s="22"/>
      <c r="C854" s="11"/>
    </row>
    <row r="855">
      <c r="A855" s="22"/>
      <c r="C855" s="11"/>
    </row>
    <row r="856">
      <c r="A856" s="22"/>
      <c r="C856" s="11"/>
    </row>
    <row r="857">
      <c r="A857" s="22"/>
      <c r="C857" s="11"/>
    </row>
    <row r="858">
      <c r="A858" s="22"/>
      <c r="C858" s="11"/>
    </row>
    <row r="859">
      <c r="A859" s="22"/>
      <c r="C859" s="11"/>
    </row>
    <row r="860">
      <c r="A860" s="22"/>
      <c r="C860" s="11"/>
    </row>
    <row r="861">
      <c r="A861" s="22"/>
      <c r="C861" s="11"/>
    </row>
    <row r="862">
      <c r="A862" s="22"/>
      <c r="C862" s="11"/>
    </row>
    <row r="863">
      <c r="A863" s="22"/>
      <c r="C863" s="11"/>
    </row>
    <row r="864">
      <c r="A864" s="22"/>
      <c r="C864" s="11"/>
    </row>
    <row r="865">
      <c r="A865" s="22"/>
      <c r="C865" s="11"/>
    </row>
    <row r="866">
      <c r="A866" s="22"/>
      <c r="C866" s="11"/>
    </row>
    <row r="867">
      <c r="A867" s="22"/>
      <c r="C867" s="11"/>
    </row>
    <row r="868">
      <c r="A868" s="22"/>
      <c r="C868" s="11"/>
    </row>
    <row r="869">
      <c r="A869" s="22"/>
      <c r="C869" s="11"/>
    </row>
    <row r="870">
      <c r="A870" s="22"/>
      <c r="C870" s="11"/>
    </row>
    <row r="871">
      <c r="A871" s="22"/>
      <c r="C871" s="11"/>
    </row>
    <row r="872">
      <c r="A872" s="22"/>
      <c r="C872" s="11"/>
    </row>
    <row r="873">
      <c r="A873" s="22"/>
      <c r="C873" s="11"/>
    </row>
    <row r="874">
      <c r="A874" s="22"/>
      <c r="C874" s="11"/>
    </row>
    <row r="875">
      <c r="A875" s="22"/>
      <c r="C875" s="11"/>
    </row>
    <row r="876">
      <c r="A876" s="22"/>
      <c r="C876" s="11"/>
    </row>
    <row r="877">
      <c r="A877" s="22"/>
      <c r="C877" s="11"/>
    </row>
    <row r="878">
      <c r="A878" s="22"/>
      <c r="C878" s="11"/>
    </row>
    <row r="879">
      <c r="A879" s="22"/>
      <c r="C879" s="11"/>
    </row>
    <row r="880">
      <c r="A880" s="22"/>
      <c r="C880" s="11"/>
    </row>
    <row r="881">
      <c r="A881" s="22"/>
      <c r="C881" s="11"/>
    </row>
    <row r="882">
      <c r="A882" s="22"/>
      <c r="C882" s="11"/>
    </row>
    <row r="883">
      <c r="A883" s="22"/>
      <c r="C883" s="11"/>
    </row>
    <row r="884">
      <c r="A884" s="22"/>
      <c r="C884" s="11"/>
    </row>
    <row r="885">
      <c r="A885" s="22"/>
      <c r="C885" s="11"/>
    </row>
    <row r="886">
      <c r="A886" s="22"/>
      <c r="C886" s="11"/>
    </row>
    <row r="887">
      <c r="A887" s="22"/>
      <c r="C887" s="11"/>
    </row>
    <row r="888">
      <c r="A888" s="22"/>
      <c r="C888" s="11"/>
    </row>
    <row r="889">
      <c r="A889" s="22"/>
      <c r="C889" s="11"/>
    </row>
    <row r="890">
      <c r="A890" s="22"/>
      <c r="C890" s="11"/>
    </row>
    <row r="891">
      <c r="A891" s="22"/>
      <c r="C891" s="11"/>
    </row>
    <row r="892">
      <c r="A892" s="22"/>
      <c r="C892" s="11"/>
    </row>
    <row r="893">
      <c r="A893" s="22"/>
      <c r="C893" s="11"/>
    </row>
    <row r="894">
      <c r="A894" s="22"/>
      <c r="C894" s="11"/>
    </row>
    <row r="895">
      <c r="A895" s="22"/>
      <c r="C895" s="11"/>
    </row>
    <row r="896">
      <c r="A896" s="22"/>
      <c r="C896" s="11"/>
    </row>
    <row r="897">
      <c r="A897" s="22"/>
      <c r="C897" s="11"/>
    </row>
    <row r="898">
      <c r="A898" s="22"/>
      <c r="C898" s="11"/>
    </row>
    <row r="899">
      <c r="A899" s="22"/>
      <c r="C899" s="11"/>
    </row>
    <row r="900">
      <c r="A900" s="22"/>
      <c r="C900" s="11"/>
    </row>
    <row r="901">
      <c r="A901" s="22"/>
      <c r="C901" s="11"/>
    </row>
    <row r="902">
      <c r="A902" s="22"/>
      <c r="C902" s="11"/>
    </row>
    <row r="903">
      <c r="A903" s="22"/>
      <c r="C903" s="11"/>
    </row>
    <row r="904">
      <c r="A904" s="22"/>
      <c r="C904" s="11"/>
    </row>
    <row r="905">
      <c r="A905" s="22"/>
      <c r="C905" s="11"/>
    </row>
    <row r="906">
      <c r="A906" s="22"/>
      <c r="C906" s="11"/>
    </row>
    <row r="907">
      <c r="A907" s="22"/>
      <c r="C907" s="11"/>
    </row>
    <row r="908">
      <c r="A908" s="22"/>
      <c r="C908" s="11"/>
    </row>
    <row r="909">
      <c r="A909" s="22"/>
      <c r="C909" s="11"/>
    </row>
    <row r="910">
      <c r="A910" s="22"/>
      <c r="C910" s="11"/>
    </row>
    <row r="911">
      <c r="A911" s="22"/>
      <c r="C911" s="11"/>
    </row>
    <row r="912">
      <c r="A912" s="22"/>
      <c r="C912" s="11"/>
    </row>
    <row r="913">
      <c r="A913" s="22"/>
      <c r="C913" s="11"/>
    </row>
    <row r="914">
      <c r="A914" s="22"/>
      <c r="C914" s="11"/>
    </row>
    <row r="915">
      <c r="A915" s="22"/>
      <c r="C915" s="11"/>
    </row>
    <row r="916">
      <c r="A916" s="22"/>
      <c r="C916" s="11"/>
    </row>
    <row r="917">
      <c r="A917" s="22"/>
      <c r="C917" s="11"/>
    </row>
    <row r="918">
      <c r="A918" s="22"/>
      <c r="C918" s="11"/>
    </row>
    <row r="919">
      <c r="A919" s="22"/>
      <c r="C919" s="11"/>
    </row>
    <row r="920">
      <c r="A920" s="22"/>
      <c r="C920" s="11"/>
    </row>
    <row r="921">
      <c r="A921" s="22"/>
      <c r="C921" s="11"/>
    </row>
    <row r="922">
      <c r="A922" s="22"/>
      <c r="C922" s="11"/>
    </row>
    <row r="923">
      <c r="A923" s="22"/>
      <c r="C923" s="11"/>
    </row>
    <row r="924">
      <c r="A924" s="22"/>
      <c r="C924" s="11"/>
    </row>
    <row r="925">
      <c r="A925" s="22"/>
      <c r="C925" s="11"/>
    </row>
    <row r="926">
      <c r="A926" s="22"/>
      <c r="C926" s="11"/>
    </row>
    <row r="927">
      <c r="A927" s="22"/>
      <c r="C927" s="11"/>
    </row>
    <row r="928">
      <c r="A928" s="22"/>
      <c r="C928" s="11"/>
    </row>
    <row r="929">
      <c r="A929" s="22"/>
      <c r="C929" s="11"/>
    </row>
    <row r="930">
      <c r="A930" s="22"/>
      <c r="C930" s="11"/>
    </row>
    <row r="931">
      <c r="A931" s="22"/>
      <c r="C931" s="11"/>
    </row>
    <row r="932">
      <c r="A932" s="22"/>
      <c r="C932" s="11"/>
    </row>
    <row r="933">
      <c r="A933" s="22"/>
      <c r="C933" s="11"/>
    </row>
    <row r="934">
      <c r="A934" s="22"/>
      <c r="C934" s="11"/>
    </row>
    <row r="935">
      <c r="A935" s="22"/>
      <c r="C935" s="11"/>
    </row>
    <row r="936">
      <c r="A936" s="22"/>
      <c r="C936" s="11"/>
    </row>
    <row r="937">
      <c r="A937" s="22"/>
      <c r="C937" s="11"/>
    </row>
    <row r="938">
      <c r="A938" s="22"/>
      <c r="C938" s="11"/>
    </row>
    <row r="939">
      <c r="A939" s="22"/>
      <c r="C939" s="11"/>
    </row>
    <row r="940">
      <c r="A940" s="22"/>
      <c r="C940" s="11"/>
    </row>
    <row r="941">
      <c r="A941" s="22"/>
      <c r="C941" s="11"/>
    </row>
    <row r="942">
      <c r="A942" s="22"/>
      <c r="C942" s="11"/>
    </row>
    <row r="943">
      <c r="A943" s="22"/>
      <c r="C943" s="11"/>
    </row>
    <row r="944">
      <c r="A944" s="22"/>
      <c r="C944" s="11"/>
    </row>
    <row r="945">
      <c r="A945" s="22"/>
      <c r="C945" s="11"/>
    </row>
    <row r="946">
      <c r="A946" s="22"/>
      <c r="C946" s="11"/>
    </row>
    <row r="947">
      <c r="A947" s="22"/>
      <c r="C947" s="11"/>
    </row>
    <row r="948">
      <c r="A948" s="22"/>
      <c r="C948" s="11"/>
    </row>
    <row r="949">
      <c r="A949" s="22"/>
      <c r="C949" s="11"/>
    </row>
    <row r="950">
      <c r="A950" s="22"/>
      <c r="C950" s="11"/>
    </row>
    <row r="951">
      <c r="A951" s="22"/>
      <c r="C951" s="11"/>
    </row>
    <row r="952">
      <c r="A952" s="22"/>
      <c r="C952" s="11"/>
    </row>
    <row r="953">
      <c r="A953" s="22"/>
      <c r="C953" s="11"/>
    </row>
    <row r="954">
      <c r="A954" s="22"/>
      <c r="C954" s="11"/>
    </row>
    <row r="955">
      <c r="A955" s="22"/>
      <c r="C955" s="11"/>
    </row>
    <row r="956">
      <c r="A956" s="22"/>
      <c r="C956" s="11"/>
    </row>
    <row r="957">
      <c r="A957" s="22"/>
      <c r="C957" s="11"/>
    </row>
    <row r="958">
      <c r="A958" s="22"/>
      <c r="C958" s="11"/>
    </row>
    <row r="959">
      <c r="A959" s="22"/>
      <c r="C959" s="11"/>
    </row>
    <row r="960">
      <c r="A960" s="22"/>
      <c r="C960" s="11"/>
    </row>
    <row r="961">
      <c r="A961" s="22"/>
      <c r="C961" s="11"/>
    </row>
    <row r="962">
      <c r="A962" s="22"/>
      <c r="C962" s="11"/>
    </row>
    <row r="963">
      <c r="A963" s="22"/>
      <c r="C963" s="11"/>
    </row>
    <row r="964">
      <c r="A964" s="22"/>
      <c r="C964" s="11"/>
    </row>
    <row r="965">
      <c r="A965" s="22"/>
      <c r="C965" s="11"/>
    </row>
    <row r="966">
      <c r="A966" s="22"/>
      <c r="C966" s="11"/>
    </row>
    <row r="967">
      <c r="A967" s="22"/>
      <c r="C967" s="11"/>
    </row>
    <row r="968">
      <c r="A968" s="22"/>
      <c r="C968" s="11"/>
    </row>
    <row r="969">
      <c r="A969" s="22"/>
      <c r="C969" s="11"/>
    </row>
    <row r="970">
      <c r="A970" s="22"/>
      <c r="C970" s="11"/>
    </row>
    <row r="971">
      <c r="A971" s="22"/>
      <c r="C971" s="11"/>
    </row>
    <row r="972">
      <c r="A972" s="22"/>
      <c r="C972" s="11"/>
    </row>
    <row r="973">
      <c r="A973" s="22"/>
      <c r="C973" s="11"/>
    </row>
    <row r="974">
      <c r="A974" s="22"/>
      <c r="C974" s="11"/>
    </row>
    <row r="975">
      <c r="A975" s="22"/>
      <c r="C975" s="11"/>
    </row>
    <row r="976">
      <c r="A976" s="22"/>
      <c r="C976" s="11"/>
    </row>
    <row r="977">
      <c r="A977" s="22"/>
      <c r="C977" s="11"/>
    </row>
    <row r="978">
      <c r="A978" s="22"/>
      <c r="C978" s="11"/>
    </row>
    <row r="979">
      <c r="A979" s="22"/>
      <c r="C979" s="11"/>
    </row>
    <row r="980">
      <c r="A980" s="22"/>
      <c r="C980" s="11"/>
    </row>
    <row r="981">
      <c r="A981" s="22"/>
      <c r="C981" s="11"/>
    </row>
    <row r="982">
      <c r="A982" s="22"/>
      <c r="C982" s="11"/>
    </row>
    <row r="983">
      <c r="A983" s="22"/>
      <c r="C983" s="11"/>
    </row>
    <row r="984">
      <c r="A984" s="22"/>
      <c r="C984" s="11"/>
    </row>
    <row r="985">
      <c r="A985" s="22"/>
      <c r="C985" s="11"/>
    </row>
    <row r="986">
      <c r="A986" s="22"/>
      <c r="C986" s="11"/>
    </row>
    <row r="987">
      <c r="A987" s="22"/>
      <c r="C987" s="11"/>
    </row>
    <row r="988">
      <c r="A988" s="22"/>
      <c r="C988" s="11"/>
    </row>
    <row r="989">
      <c r="A989" s="22"/>
      <c r="C989" s="11"/>
    </row>
    <row r="990">
      <c r="A990" s="22"/>
      <c r="C990" s="11"/>
    </row>
    <row r="991">
      <c r="A991" s="22"/>
      <c r="C991" s="11"/>
    </row>
    <row r="992">
      <c r="A992" s="22"/>
      <c r="C992" s="11"/>
    </row>
    <row r="993">
      <c r="A993" s="22"/>
      <c r="C993" s="11"/>
    </row>
    <row r="994">
      <c r="A994" s="22"/>
      <c r="C994" s="11"/>
    </row>
    <row r="995">
      <c r="A995" s="22"/>
      <c r="C995" s="11"/>
    </row>
    <row r="996">
      <c r="A996" s="22"/>
      <c r="C996" s="11"/>
    </row>
    <row r="997">
      <c r="A997" s="22"/>
      <c r="C997" s="11"/>
    </row>
    <row r="998">
      <c r="A998" s="22"/>
      <c r="C998" s="11"/>
    </row>
    <row r="999">
      <c r="A999" s="22"/>
      <c r="C999" s="11"/>
    </row>
    <row r="1000">
      <c r="A1000" s="22"/>
      <c r="C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23" t="s">
        <v>25</v>
      </c>
      <c r="B1" s="24" t="s">
        <v>34</v>
      </c>
      <c r="C1" s="23" t="s">
        <v>16</v>
      </c>
      <c r="D1" s="23" t="s">
        <v>6</v>
      </c>
      <c r="E1" s="23" t="s">
        <v>18</v>
      </c>
      <c r="F1" s="23" t="s">
        <v>19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>
      <c r="A2" s="26" t="str">
        <f>cartoes!A2</f>
        <v>BTG</v>
      </c>
      <c r="B2" s="27">
        <v>2661.49</v>
      </c>
      <c r="C2" s="28">
        <v>45851.0</v>
      </c>
      <c r="D2" s="5" t="s">
        <v>10</v>
      </c>
      <c r="E2" s="15" t="str">
        <f t="shared" ref="E2:E42" si="1">IFERROR(IF(C2&lt;&gt;"",TEXT(C2, "yyyy-mm"),""),"")</f>
        <v>2025-07</v>
      </c>
      <c r="F2" s="16" t="str">
        <f t="array" ref="F2">IF(A2&lt;&gt;"",INDEX(icons!B:B, MATCH(A2,icons!A:A,0)),"")</f>
        <v>https://play-lh.googleusercontent.com/O5Z9jsv79WTfdd37TFPyIwAQjNotIZTTEC6sOXaD3_2IXrMjtOI2ZnqReOicI3TgmqI</v>
      </c>
    </row>
    <row r="3">
      <c r="A3" s="26" t="s">
        <v>31</v>
      </c>
      <c r="B3" s="27">
        <v>31080.31</v>
      </c>
      <c r="C3" s="28">
        <v>45848.0</v>
      </c>
      <c r="D3" s="5" t="s">
        <v>8</v>
      </c>
      <c r="E3" s="15" t="str">
        <f t="shared" si="1"/>
        <v>2025-07</v>
      </c>
      <c r="F3" s="16" t="str">
        <f t="array" ref="F3">IF(A3&lt;&gt;"",INDEX(icons!B:B, MATCH(A3,icons!A:A,0)),"")</f>
        <v>https://assets.hgbrasil.com/finance/companies/big/santander-br.png</v>
      </c>
    </row>
    <row r="4">
      <c r="A4" s="26" t="s">
        <v>32</v>
      </c>
      <c r="B4" s="27">
        <v>3379.3</v>
      </c>
      <c r="C4" s="28">
        <v>45859.0</v>
      </c>
      <c r="D4" s="5" t="s">
        <v>8</v>
      </c>
      <c r="E4" s="15" t="str">
        <f t="shared" si="1"/>
        <v>2025-07</v>
      </c>
      <c r="F4" s="16" t="str">
        <f t="array" ref="F4">IF(A4&lt;&gt;"",INDEX(icons!B:B, MATCH(A4,icons!A:A,0)),"")</f>
        <v>https://assets.hgbrasil.com/finance/companies/big/santander-br.png</v>
      </c>
    </row>
    <row r="5">
      <c r="A5" s="26" t="s">
        <v>29</v>
      </c>
      <c r="B5" s="27">
        <v>8010.61</v>
      </c>
      <c r="C5" s="28">
        <v>45848.0</v>
      </c>
      <c r="D5" s="5" t="s">
        <v>8</v>
      </c>
      <c r="E5" s="15" t="str">
        <f t="shared" si="1"/>
        <v>2025-07</v>
      </c>
      <c r="F5" s="16" t="str">
        <f t="array" ref="F5">IF(A5&lt;&gt;"",INDEX(icons!B:B, MATCH(A5,icons!A:A,0)),"")</f>
        <v>https://www.publicitarioscriativos.com/wp-content/uploads/2024/05/442415684_844179061088736_7389654490654112245_n.jpg</v>
      </c>
    </row>
    <row r="6">
      <c r="A6" s="26" t="s">
        <v>33</v>
      </c>
      <c r="B6" s="7">
        <v>6704.46</v>
      </c>
      <c r="C6" s="28">
        <v>45859.0</v>
      </c>
      <c r="D6" s="5" t="s">
        <v>8</v>
      </c>
      <c r="E6" s="15" t="str">
        <f t="shared" si="1"/>
        <v>2025-07</v>
      </c>
      <c r="F6" s="16" t="str">
        <f t="array" ref="F6">IF(A6&lt;&gt;"",INDEX(icons!B:B, MATCH(A6,icons!A:A,0)),"")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7">
      <c r="A7" s="26" t="str">
        <f>cartoes!A2</f>
        <v>BTG</v>
      </c>
      <c r="B7" s="27">
        <v>2448.06</v>
      </c>
      <c r="C7" s="28">
        <v>45882.0</v>
      </c>
      <c r="D7" s="5" t="s">
        <v>10</v>
      </c>
      <c r="E7" s="15" t="str">
        <f t="shared" si="1"/>
        <v>2025-08</v>
      </c>
      <c r="F7" s="16" t="str">
        <f t="array" ref="F7">IF(A7&lt;&gt;"",INDEX(icons!B:B, MATCH(A7,icons!A:A,0)),"")</f>
        <v>https://play-lh.googleusercontent.com/O5Z9jsv79WTfdd37TFPyIwAQjNotIZTTEC6sOXaD3_2IXrMjtOI2ZnqReOicI3TgmqI</v>
      </c>
    </row>
    <row r="8">
      <c r="A8" s="26" t="s">
        <v>31</v>
      </c>
      <c r="B8" s="27">
        <v>22768.92</v>
      </c>
      <c r="C8" s="28">
        <v>45879.0</v>
      </c>
      <c r="D8" s="5" t="s">
        <v>8</v>
      </c>
      <c r="E8" s="15" t="str">
        <f t="shared" si="1"/>
        <v>2025-08</v>
      </c>
      <c r="F8" s="16" t="str">
        <f t="array" ref="F8">IF(A8&lt;&gt;"",INDEX(icons!B:B, MATCH(A8,icons!A:A,0)),"")</f>
        <v>https://assets.hgbrasil.com/finance/companies/big/santander-br.png</v>
      </c>
    </row>
    <row r="9">
      <c r="A9" s="26" t="s">
        <v>32</v>
      </c>
      <c r="B9" s="27">
        <v>1682.4</v>
      </c>
      <c r="C9" s="28">
        <v>45890.0</v>
      </c>
      <c r="D9" s="5" t="s">
        <v>8</v>
      </c>
      <c r="E9" s="15" t="str">
        <f t="shared" si="1"/>
        <v>2025-08</v>
      </c>
      <c r="F9" s="16" t="str">
        <f t="array" ref="F9">IF(A9&lt;&gt;"",INDEX(icons!B:B, MATCH(A9,icons!A:A,0)),"")</f>
        <v>https://assets.hgbrasil.com/finance/companies/big/santander-br.png</v>
      </c>
    </row>
    <row r="10">
      <c r="A10" s="26" t="s">
        <v>29</v>
      </c>
      <c r="B10" s="27">
        <v>6719.35</v>
      </c>
      <c r="C10" s="28">
        <v>45879.0</v>
      </c>
      <c r="D10" s="5" t="s">
        <v>8</v>
      </c>
      <c r="E10" s="15" t="str">
        <f t="shared" si="1"/>
        <v>2025-08</v>
      </c>
      <c r="F10" s="16" t="str">
        <f t="array" ref="F10">IF(A10&lt;&gt;"",INDEX(icons!B:B, MATCH(A10,icons!A:A,0)),"")</f>
        <v>https://www.publicitarioscriativos.com/wp-content/uploads/2024/05/442415684_844179061088736_7389654490654112245_n.jpg</v>
      </c>
    </row>
    <row r="11">
      <c r="A11" s="26" t="s">
        <v>33</v>
      </c>
      <c r="B11" s="27">
        <v>2093.27</v>
      </c>
      <c r="C11" s="28">
        <v>45890.0</v>
      </c>
      <c r="D11" s="5" t="s">
        <v>8</v>
      </c>
      <c r="E11" s="15" t="str">
        <f t="shared" si="1"/>
        <v>2025-08</v>
      </c>
      <c r="F11" s="16" t="str">
        <f t="array" ref="F11">IF(A11&lt;&gt;"",INDEX(icons!B:B, MATCH(A11,icons!A:A,0)),"")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12">
      <c r="A12" s="26" t="str">
        <f>cartoes!A2</f>
        <v>BTG</v>
      </c>
      <c r="B12" s="27">
        <v>2288.23</v>
      </c>
      <c r="C12" s="28">
        <v>45913.0</v>
      </c>
      <c r="D12" s="5" t="s">
        <v>10</v>
      </c>
      <c r="E12" s="15" t="str">
        <f t="shared" si="1"/>
        <v>2025-09</v>
      </c>
      <c r="F12" s="16" t="str">
        <f t="array" ref="F12">IF(A12&lt;&gt;"",INDEX(icons!B:B, MATCH(A12,icons!A:A,0)),"")</f>
        <v>https://play-lh.googleusercontent.com/O5Z9jsv79WTfdd37TFPyIwAQjNotIZTTEC6sOXaD3_2IXrMjtOI2ZnqReOicI3TgmqI</v>
      </c>
    </row>
    <row r="13">
      <c r="A13" s="26" t="s">
        <v>31</v>
      </c>
      <c r="B13" s="27">
        <v>20705.61</v>
      </c>
      <c r="C13" s="28">
        <v>45910.0</v>
      </c>
      <c r="D13" s="5" t="s">
        <v>8</v>
      </c>
      <c r="E13" s="15" t="str">
        <f t="shared" si="1"/>
        <v>2025-09</v>
      </c>
      <c r="F13" s="16" t="str">
        <f t="array" ref="F13">IF(A13&lt;&gt;"",INDEX(icons!B:B, MATCH(A13,icons!A:A,0)),"")</f>
        <v>https://assets.hgbrasil.com/finance/companies/big/santander-br.png</v>
      </c>
    </row>
    <row r="14">
      <c r="A14" s="26" t="s">
        <v>32</v>
      </c>
      <c r="B14" s="27">
        <v>7805.91</v>
      </c>
      <c r="C14" s="28">
        <v>45921.0</v>
      </c>
      <c r="D14" s="5" t="s">
        <v>8</v>
      </c>
      <c r="E14" s="15" t="str">
        <f t="shared" si="1"/>
        <v>2025-09</v>
      </c>
      <c r="F14" s="16" t="str">
        <f t="array" ref="F14">IF(A14&lt;&gt;"",INDEX(icons!B:B, MATCH(A14,icons!A:A,0)),"")</f>
        <v>https://assets.hgbrasil.com/finance/companies/big/santander-br.png</v>
      </c>
    </row>
    <row r="15">
      <c r="A15" s="26" t="s">
        <v>29</v>
      </c>
      <c r="B15" s="27">
        <f>222.36+234.15+1100</f>
        <v>1556.51</v>
      </c>
      <c r="C15" s="28">
        <v>45910.0</v>
      </c>
      <c r="D15" s="5" t="s">
        <v>8</v>
      </c>
      <c r="E15" s="15" t="str">
        <f t="shared" si="1"/>
        <v>2025-09</v>
      </c>
      <c r="F15" s="16" t="str">
        <f t="array" ref="F15">IF(A15&lt;&gt;"",INDEX(icons!B:B, MATCH(A15,icons!A:A,0)),"")</f>
        <v>https://www.publicitarioscriativos.com/wp-content/uploads/2024/05/442415684_844179061088736_7389654490654112245_n.jpg</v>
      </c>
    </row>
    <row r="16">
      <c r="A16" s="26" t="s">
        <v>33</v>
      </c>
      <c r="B16" s="27">
        <v>5020.49</v>
      </c>
      <c r="C16" s="28">
        <v>45921.0</v>
      </c>
      <c r="D16" s="5" t="s">
        <v>8</v>
      </c>
      <c r="E16" s="15" t="str">
        <f t="shared" si="1"/>
        <v>2025-09</v>
      </c>
      <c r="F16" s="16" t="str">
        <f t="array" ref="F16">IF(A16&lt;&gt;"",INDEX(icons!B:B, MATCH(A16,icons!A:A,0)),"")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17">
      <c r="A17" s="26" t="s">
        <v>31</v>
      </c>
      <c r="B17" s="27">
        <v>11182.07</v>
      </c>
      <c r="C17" s="28">
        <v>45940.0</v>
      </c>
      <c r="D17" s="5" t="s">
        <v>8</v>
      </c>
      <c r="E17" s="15" t="str">
        <f t="shared" si="1"/>
        <v>2025-10</v>
      </c>
      <c r="F17" s="16" t="str">
        <f t="array" ref="F17">IF(A17&lt;&gt;"",INDEX(icons!B:B, MATCH(A17,icons!A:A,0)),"")</f>
        <v>https://assets.hgbrasil.com/finance/companies/big/santander-br.png</v>
      </c>
    </row>
    <row r="18">
      <c r="A18" s="26" t="s">
        <v>32</v>
      </c>
      <c r="B18" s="27">
        <v>8670.01</v>
      </c>
      <c r="C18" s="28">
        <v>45951.0</v>
      </c>
      <c r="D18" s="5" t="s">
        <v>8</v>
      </c>
      <c r="E18" s="15" t="str">
        <f t="shared" si="1"/>
        <v>2025-10</v>
      </c>
      <c r="F18" s="16" t="str">
        <f t="array" ref="F18">IF(A18&lt;&gt;"",INDEX(icons!B:B, MATCH(A18,icons!A:A,0)),"")</f>
        <v>https://assets.hgbrasil.com/finance/companies/big/santander-br.png</v>
      </c>
    </row>
    <row r="19">
      <c r="A19" s="26" t="s">
        <v>29</v>
      </c>
      <c r="B19" s="27">
        <f>87.68</f>
        <v>87.68</v>
      </c>
      <c r="C19" s="28">
        <v>45940.0</v>
      </c>
      <c r="D19" s="5" t="s">
        <v>8</v>
      </c>
      <c r="E19" s="15" t="str">
        <f t="shared" si="1"/>
        <v>2025-10</v>
      </c>
      <c r="F19" s="16" t="str">
        <f t="array" ref="F19">IF(A19&lt;&gt;"",INDEX(icons!B:B, MATCH(A19,icons!A:A,0)),"")</f>
        <v>https://www.publicitarioscriativos.com/wp-content/uploads/2024/05/442415684_844179061088736_7389654490654112245_n.jpg</v>
      </c>
    </row>
    <row r="20">
      <c r="A20" s="26" t="s">
        <v>33</v>
      </c>
      <c r="B20" s="27">
        <v>4736.0</v>
      </c>
      <c r="C20" s="28">
        <v>45951.0</v>
      </c>
      <c r="D20" s="5" t="s">
        <v>8</v>
      </c>
      <c r="E20" s="15" t="str">
        <f t="shared" si="1"/>
        <v>2025-10</v>
      </c>
      <c r="F20" s="16" t="str">
        <f t="array" ref="F20">IF(A20&lt;&gt;"",INDEX(icons!B:B, MATCH(A20,icons!A:A,0)),"")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21">
      <c r="A21" s="26" t="s">
        <v>31</v>
      </c>
      <c r="B21" s="27">
        <v>15547.42</v>
      </c>
      <c r="C21" s="28">
        <v>45971.0</v>
      </c>
      <c r="D21" s="5" t="s">
        <v>8</v>
      </c>
      <c r="E21" s="15" t="str">
        <f t="shared" si="1"/>
        <v>2025-11</v>
      </c>
      <c r="F21" s="16" t="str">
        <f t="array" ref="F21">IF(A21&lt;&gt;"",INDEX(icons!B:B, MATCH(A21,icons!A:A,0)),"")</f>
        <v>https://assets.hgbrasil.com/finance/companies/big/santander-br.png</v>
      </c>
    </row>
    <row r="22">
      <c r="A22" s="26" t="s">
        <v>32</v>
      </c>
      <c r="B22" s="27">
        <v>4323.03</v>
      </c>
      <c r="C22" s="28">
        <v>45982.0</v>
      </c>
      <c r="D22" s="5" t="s">
        <v>8</v>
      </c>
      <c r="E22" s="15" t="str">
        <f t="shared" si="1"/>
        <v>2025-11</v>
      </c>
      <c r="F22" s="16" t="str">
        <f t="array" ref="F22">IF(A22&lt;&gt;"",INDEX(icons!B:B, MATCH(A22,icons!A:A,0)),"")</f>
        <v>https://assets.hgbrasil.com/finance/companies/big/santander-br.png</v>
      </c>
    </row>
    <row r="23">
      <c r="A23" s="26" t="s">
        <v>33</v>
      </c>
      <c r="B23" s="27">
        <v>11665.86</v>
      </c>
      <c r="C23" s="28">
        <v>45982.0</v>
      </c>
      <c r="D23" s="5" t="s">
        <v>8</v>
      </c>
      <c r="E23" s="15" t="str">
        <f t="shared" si="1"/>
        <v>2025-11</v>
      </c>
      <c r="F23" s="16" t="str">
        <f t="array" ref="F23">IF(A23&lt;&gt;"",INDEX(icons!B:B, MATCH(A23,icons!A:A,0)),"")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24">
      <c r="A24" s="26" t="s">
        <v>31</v>
      </c>
      <c r="B24" s="27">
        <v>17505.85</v>
      </c>
      <c r="C24" s="28">
        <v>46001.0</v>
      </c>
      <c r="D24" s="5" t="s">
        <v>8</v>
      </c>
      <c r="E24" s="15" t="str">
        <f t="shared" si="1"/>
        <v>2025-12</v>
      </c>
      <c r="F24" s="16" t="str">
        <f t="array" ref="F24">IF(A24&lt;&gt;"",INDEX(icons!B:B, MATCH(A24,icons!A:A,0)),"")</f>
        <v>https://assets.hgbrasil.com/finance/companies/big/santander-br.png</v>
      </c>
    </row>
    <row r="25">
      <c r="A25" s="26" t="s">
        <v>32</v>
      </c>
      <c r="B25" s="27">
        <v>926.95</v>
      </c>
      <c r="C25" s="28">
        <v>46012.0</v>
      </c>
      <c r="D25" s="5" t="s">
        <v>8</v>
      </c>
      <c r="E25" s="15" t="str">
        <f t="shared" si="1"/>
        <v>2025-12</v>
      </c>
      <c r="F25" s="16" t="str">
        <f t="array" ref="F25">IF(A25&lt;&gt;"",INDEX(icons!B:B, MATCH(A25,icons!A:A,0)),"")</f>
        <v>https://assets.hgbrasil.com/finance/companies/big/santander-br.png</v>
      </c>
    </row>
    <row r="26">
      <c r="A26" s="26" t="s">
        <v>33</v>
      </c>
      <c r="B26" s="27">
        <v>6585.51</v>
      </c>
      <c r="C26" s="28">
        <v>46012.0</v>
      </c>
      <c r="D26" s="5" t="s">
        <v>8</v>
      </c>
      <c r="E26" s="15" t="str">
        <f t="shared" si="1"/>
        <v>2025-12</v>
      </c>
      <c r="F26" s="16" t="str">
        <f t="array" ref="F26">IF(A26&lt;&gt;"",INDEX(icons!B:B, MATCH(A26,icons!A:A,0)),"")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27">
      <c r="A27" s="26" t="s">
        <v>31</v>
      </c>
      <c r="B27" s="27">
        <v>20708.33</v>
      </c>
      <c r="C27" s="28">
        <v>46032.0</v>
      </c>
      <c r="D27" s="5" t="s">
        <v>8</v>
      </c>
      <c r="E27" s="15" t="str">
        <f t="shared" si="1"/>
        <v>2026-01</v>
      </c>
      <c r="F27" s="16" t="str">
        <f t="array" ref="F27">IF(A27&lt;&gt;"",INDEX(icons!B:B, MATCH(A27,icons!A:A,0)),"")</f>
        <v>https://assets.hgbrasil.com/finance/companies/big/santander-br.png</v>
      </c>
    </row>
    <row r="28">
      <c r="A28" s="26" t="s">
        <v>32</v>
      </c>
      <c r="B28" s="27">
        <v>1539.08</v>
      </c>
      <c r="C28" s="28">
        <v>46043.0</v>
      </c>
      <c r="D28" s="5" t="s">
        <v>8</v>
      </c>
      <c r="E28" s="15" t="str">
        <f t="shared" si="1"/>
        <v>2026-01</v>
      </c>
      <c r="F28" s="16" t="str">
        <f t="array" ref="F28">IF(A28&lt;&gt;"",INDEX(icons!B:B, MATCH(A28,icons!A:A,0)),"")</f>
        <v>https://assets.hgbrasil.com/finance/companies/big/santander-br.png</v>
      </c>
    </row>
    <row r="29">
      <c r="A29" s="26" t="s">
        <v>33</v>
      </c>
      <c r="B29" s="27">
        <v>23594.17</v>
      </c>
      <c r="C29" s="28">
        <v>46043.0</v>
      </c>
      <c r="D29" s="5" t="s">
        <v>8</v>
      </c>
      <c r="E29" s="15" t="str">
        <f t="shared" si="1"/>
        <v>2026-01</v>
      </c>
      <c r="F29" s="16" t="str">
        <f t="array" ref="F29">IF(A29&lt;&gt;"",INDEX(icons!B:B, MATCH(A29,icons!A:A,0)),"")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30">
      <c r="A30" s="26" t="s">
        <v>31</v>
      </c>
      <c r="B30" s="27">
        <v>21243.57</v>
      </c>
      <c r="C30" s="28">
        <v>46063.0</v>
      </c>
      <c r="D30" s="5" t="s">
        <v>8</v>
      </c>
      <c r="E30" s="15" t="str">
        <f t="shared" si="1"/>
        <v>2026-02</v>
      </c>
      <c r="F30" s="16" t="str">
        <f t="array" ref="F30">IF(A30&lt;&gt;"",INDEX(icons!B:B, MATCH(A30,icons!A:A,0)),"")</f>
        <v>https://assets.hgbrasil.com/finance/companies/big/santander-br.png</v>
      </c>
    </row>
    <row r="31">
      <c r="A31" s="26" t="s">
        <v>32</v>
      </c>
      <c r="B31" s="27">
        <v>1264.14</v>
      </c>
      <c r="C31" s="28">
        <v>46074.0</v>
      </c>
      <c r="D31" s="5" t="s">
        <v>8</v>
      </c>
      <c r="E31" s="15" t="str">
        <f t="shared" si="1"/>
        <v>2026-02</v>
      </c>
      <c r="F31" s="16" t="str">
        <f t="array" ref="F31">IF(A31&lt;&gt;"",INDEX(icons!B:B, MATCH(A31,icons!A:A,0)),"")</f>
        <v>https://assets.hgbrasil.com/finance/companies/big/santander-br.png</v>
      </c>
    </row>
    <row r="32">
      <c r="A32" s="26" t="s">
        <v>33</v>
      </c>
      <c r="B32" s="27">
        <v>16336.83</v>
      </c>
      <c r="C32" s="28">
        <v>46074.0</v>
      </c>
      <c r="D32" s="5" t="s">
        <v>8</v>
      </c>
      <c r="E32" s="15" t="str">
        <f t="shared" si="1"/>
        <v>2026-02</v>
      </c>
      <c r="F32" s="16" t="str">
        <f t="array" ref="F32">IF(A32&lt;&gt;"",INDEX(icons!B:B, MATCH(A32,icons!A:A,0)),"")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33">
      <c r="A33" s="26" t="s">
        <v>31</v>
      </c>
      <c r="B33" s="27">
        <v>8725.07</v>
      </c>
      <c r="C33" s="28">
        <v>46091.0</v>
      </c>
      <c r="D33" s="5" t="s">
        <v>8</v>
      </c>
      <c r="E33" s="15" t="str">
        <f t="shared" si="1"/>
        <v>2026-03</v>
      </c>
      <c r="F33" s="16" t="str">
        <f t="array" ref="F33">IF(A33&lt;&gt;"",INDEX(icons!B:B, MATCH(A33,icons!A:A,0)),"")</f>
        <v>https://assets.hgbrasil.com/finance/companies/big/santander-br.png</v>
      </c>
    </row>
    <row r="34">
      <c r="A34" s="26" t="s">
        <v>33</v>
      </c>
      <c r="B34" s="27">
        <v>23084.0</v>
      </c>
      <c r="C34" s="28">
        <v>46102.0</v>
      </c>
      <c r="D34" s="5" t="s">
        <v>8</v>
      </c>
      <c r="E34" s="15" t="str">
        <f t="shared" si="1"/>
        <v>2026-03</v>
      </c>
      <c r="F34" s="16" t="str">
        <f t="array" ref="F34">IF(A34&lt;&gt;"",INDEX(icons!B:B, MATCH(A34,icons!A:A,0)),"")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35">
      <c r="A35" s="26" t="s">
        <v>31</v>
      </c>
      <c r="B35" s="27">
        <v>10458.17</v>
      </c>
      <c r="C35" s="28">
        <v>46122.0</v>
      </c>
      <c r="D35" s="5" t="s">
        <v>8</v>
      </c>
      <c r="E35" s="15" t="str">
        <f t="shared" si="1"/>
        <v>2026-04</v>
      </c>
      <c r="F35" s="16" t="str">
        <f t="array" ref="F35">IF(A35&lt;&gt;"",INDEX(icons!B:B, MATCH(A35,icons!A:A,0)),"")</f>
        <v>https://assets.hgbrasil.com/finance/companies/big/santander-br.png</v>
      </c>
    </row>
    <row r="36">
      <c r="A36" s="26" t="s">
        <v>33</v>
      </c>
      <c r="B36" s="27">
        <v>25960.0</v>
      </c>
      <c r="C36" s="28">
        <v>46133.0</v>
      </c>
      <c r="D36" s="5" t="s">
        <v>8</v>
      </c>
      <c r="E36" s="15" t="str">
        <f t="shared" si="1"/>
        <v>2026-04</v>
      </c>
      <c r="F36" s="16" t="str">
        <f t="array" ref="F36">IF(A36&lt;&gt;"",INDEX(icons!B:B, MATCH(A36,icons!A:A,0)),"")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37">
      <c r="A37" s="26" t="s">
        <v>33</v>
      </c>
      <c r="B37" s="27">
        <v>23497.0</v>
      </c>
      <c r="C37" s="28">
        <v>46163.0</v>
      </c>
      <c r="D37" s="5" t="s">
        <v>8</v>
      </c>
      <c r="E37" s="15" t="str">
        <f t="shared" si="1"/>
        <v>2026-05</v>
      </c>
      <c r="F37" s="16" t="str">
        <f t="array" ref="F37">IF(A37&lt;&gt;"",INDEX(icons!B:B, MATCH(A37,icons!A:A,0)),"")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38">
      <c r="A38" s="26" t="s">
        <v>33</v>
      </c>
      <c r="B38" s="27">
        <v>16320.0</v>
      </c>
      <c r="C38" s="28">
        <v>46194.0</v>
      </c>
      <c r="D38" s="5" t="s">
        <v>8</v>
      </c>
      <c r="E38" s="15" t="str">
        <f t="shared" si="1"/>
        <v>2026-06</v>
      </c>
      <c r="F38" s="16" t="str">
        <f t="array" ref="F38">IF(A38&lt;&gt;"",INDEX(icons!B:B, MATCH(A38,icons!A:A,0)),"")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39">
      <c r="A39" s="26" t="s">
        <v>31</v>
      </c>
      <c r="B39" s="27">
        <v>7741.0</v>
      </c>
      <c r="C39" s="28">
        <v>46152.0</v>
      </c>
      <c r="D39" s="5" t="s">
        <v>8</v>
      </c>
      <c r="E39" s="15" t="str">
        <f t="shared" si="1"/>
        <v>2026-05</v>
      </c>
      <c r="F39" s="16" t="str">
        <f t="array" ref="F39">IF(A39&lt;&gt;"",INDEX(icons!B:B, MATCH(A39,icons!A:A,0)),"")</f>
        <v>https://assets.hgbrasil.com/finance/companies/big/santander-br.png</v>
      </c>
    </row>
    <row r="40">
      <c r="A40" s="26" t="s">
        <v>31</v>
      </c>
      <c r="B40" s="27">
        <v>3523.0</v>
      </c>
      <c r="C40" s="28">
        <v>46183.0</v>
      </c>
      <c r="D40" s="5" t="s">
        <v>8</v>
      </c>
      <c r="E40" s="15" t="str">
        <f t="shared" si="1"/>
        <v>2026-06</v>
      </c>
      <c r="F40" s="16" t="str">
        <f t="array" ref="F40">IF(A40&lt;&gt;"",INDEX(icons!B:B, MATCH(A40,icons!A:A,0)),"")</f>
        <v>https://assets.hgbrasil.com/finance/companies/big/santander-br.png</v>
      </c>
    </row>
    <row r="41">
      <c r="A41" s="26" t="str">
        <f>cartoes!A2</f>
        <v>BTG</v>
      </c>
      <c r="B41" s="27">
        <v>390.38</v>
      </c>
      <c r="C41" s="28">
        <v>45943.0</v>
      </c>
      <c r="D41" s="5" t="s">
        <v>10</v>
      </c>
      <c r="E41" s="15" t="str">
        <f t="shared" si="1"/>
        <v>2025-10</v>
      </c>
      <c r="F41" s="16" t="str">
        <f t="array" ref="F41">IF(A41&lt;&gt;"",INDEX(icons!B:B, MATCH(A41,icons!A:A,0)),"")</f>
        <v>https://play-lh.googleusercontent.com/O5Z9jsv79WTfdd37TFPyIwAQjNotIZTTEC6sOXaD3_2IXrMjtOI2ZnqReOicI3TgmqI</v>
      </c>
    </row>
    <row r="42">
      <c r="A42" s="26" t="str">
        <f>cartoes!A2</f>
        <v>BTG</v>
      </c>
      <c r="B42" s="27">
        <v>390.38</v>
      </c>
      <c r="C42" s="28">
        <v>45974.0</v>
      </c>
      <c r="D42" s="5" t="s">
        <v>10</v>
      </c>
      <c r="E42" s="15" t="str">
        <f t="shared" si="1"/>
        <v>2025-11</v>
      </c>
      <c r="F42" s="16" t="str">
        <f t="array" ref="F42">IF(A42&lt;&gt;"",INDEX(icons!B:B, MATCH(A42,icons!A:A,0)),"")</f>
        <v>https://play-lh.googleusercontent.com/O5Z9jsv79WTfdd37TFPyIwAQjNotIZTTEC6sOXaD3_2IXrMjtOI2ZnqReOicI3TgmqI</v>
      </c>
    </row>
    <row r="43">
      <c r="A43" s="26" t="s">
        <v>20</v>
      </c>
      <c r="B43" s="27">
        <v>24.9</v>
      </c>
      <c r="C43" s="28">
        <v>46004.0</v>
      </c>
      <c r="D43" s="5" t="s">
        <v>10</v>
      </c>
      <c r="E43" s="15" t="str">
        <f t="shared" ref="E43:E70" si="2">IFERROR(IF(C43&lt;&gt;"",TEXT(C43, "yyyy-mm"),""),"")</f>
        <v>2025-12</v>
      </c>
      <c r="F43" s="16" t="str">
        <f t="array" ref="F43">IF(A43&lt;&gt;"",INDEX(cartoes!E:E, MATCH(A43,cartoes!A:A,0)),"")</f>
        <v>https://play-lh.googleusercontent.com/O5Z9jsv79WTfdd37TFPyIwAQjNotIZTTEC6sOXaD3_2IXrMjtOI2ZnqReOicI3TgmqI</v>
      </c>
    </row>
    <row r="44">
      <c r="A44" s="26" t="s">
        <v>20</v>
      </c>
      <c r="B44" s="27">
        <v>424.89</v>
      </c>
      <c r="C44" s="28">
        <v>46035.0</v>
      </c>
      <c r="D44" s="5" t="s">
        <v>10</v>
      </c>
      <c r="E44" s="15" t="str">
        <f t="shared" si="2"/>
        <v>2026-01</v>
      </c>
      <c r="F44" s="16" t="str">
        <f t="array" ref="F44">IF(A44&lt;&gt;"",INDEX(cartoes!E:E, MATCH(A44,cartoes!A:A,0)),"")</f>
        <v>https://play-lh.googleusercontent.com/O5Z9jsv79WTfdd37TFPyIwAQjNotIZTTEC6sOXaD3_2IXrMjtOI2ZnqReOicI3TgmqI</v>
      </c>
    </row>
    <row r="45">
      <c r="A45" s="26" t="s">
        <v>20</v>
      </c>
      <c r="B45" s="27">
        <v>397.99</v>
      </c>
      <c r="C45" s="28">
        <v>46066.0</v>
      </c>
      <c r="D45" s="5" t="s">
        <v>10</v>
      </c>
      <c r="E45" s="15" t="str">
        <f t="shared" si="2"/>
        <v>2026-02</v>
      </c>
      <c r="F45" s="16" t="str">
        <f t="array" ref="F45">IF(A45&lt;&gt;"",INDEX(cartoes!E:E, MATCH(A45,cartoes!A:A,0)),"")</f>
        <v>https://play-lh.googleusercontent.com/O5Z9jsv79WTfdd37TFPyIwAQjNotIZTTEC6sOXaD3_2IXrMjtOI2ZnqReOicI3TgmqI</v>
      </c>
    </row>
    <row r="46">
      <c r="A46" s="26" t="s">
        <v>20</v>
      </c>
      <c r="B46" s="27">
        <v>85.96</v>
      </c>
      <c r="C46" s="28">
        <v>46094.0</v>
      </c>
      <c r="D46" s="5" t="s">
        <v>10</v>
      </c>
      <c r="E46" s="15" t="str">
        <f t="shared" si="2"/>
        <v>2026-03</v>
      </c>
      <c r="F46" s="16" t="str">
        <f t="array" ref="F46">IF(A46&lt;&gt;"",INDEX(cartoes!E:E, MATCH(A46,cartoes!A:A,0)),"")</f>
        <v>https://play-lh.googleusercontent.com/O5Z9jsv79WTfdd37TFPyIwAQjNotIZTTEC6sOXaD3_2IXrMjtOI2ZnqReOicI3TgmqI</v>
      </c>
    </row>
    <row r="47">
      <c r="A47" s="26" t="s">
        <v>20</v>
      </c>
      <c r="B47" s="27">
        <v>919.19</v>
      </c>
      <c r="C47" s="28">
        <v>46125.0</v>
      </c>
      <c r="D47" s="5" t="s">
        <v>10</v>
      </c>
      <c r="E47" s="15" t="str">
        <f t="shared" si="2"/>
        <v>2026-04</v>
      </c>
      <c r="F47" s="16" t="str">
        <f t="array" ref="F47">IF(A47&lt;&gt;"",INDEX(cartoes!E:E, MATCH(A47,cartoes!A:A,0)),"")</f>
        <v>https://play-lh.googleusercontent.com/O5Z9jsv79WTfdd37TFPyIwAQjNotIZTTEC6sOXaD3_2IXrMjtOI2ZnqReOicI3TgmqI</v>
      </c>
    </row>
    <row r="48">
      <c r="A48" s="26" t="s">
        <v>31</v>
      </c>
      <c r="B48" s="27">
        <v>7938.0</v>
      </c>
      <c r="C48" s="28">
        <v>46213.0</v>
      </c>
      <c r="D48" s="5" t="s">
        <v>8</v>
      </c>
      <c r="E48" s="15" t="str">
        <f t="shared" si="2"/>
        <v>2026-07</v>
      </c>
      <c r="F48" s="16" t="str">
        <f t="array" ref="F48">IF(A48&lt;&gt;"",INDEX(cartoes!E:E, MATCH(A48,cartoes!A:A,0)),"")</f>
        <v>https://assets.hgbrasil.com/finance/companies/big/santander-br.png</v>
      </c>
    </row>
    <row r="49">
      <c r="A49" s="26" t="s">
        <v>31</v>
      </c>
      <c r="B49" s="27">
        <v>3586.0</v>
      </c>
      <c r="C49" s="28">
        <v>46244.0</v>
      </c>
      <c r="D49" s="5" t="s">
        <v>8</v>
      </c>
      <c r="E49" s="15" t="str">
        <f t="shared" si="2"/>
        <v>2026-08</v>
      </c>
      <c r="F49" s="16" t="str">
        <f t="array" ref="F49">IF(A49&lt;&gt;"",INDEX(cartoes!E:E, MATCH(A49,cartoes!A:A,0)),"")</f>
        <v>https://assets.hgbrasil.com/finance/companies/big/santander-br.png</v>
      </c>
    </row>
    <row r="50">
      <c r="A50" s="26" t="s">
        <v>31</v>
      </c>
      <c r="B50" s="27">
        <v>1424.0</v>
      </c>
      <c r="C50" s="28">
        <v>46275.0</v>
      </c>
      <c r="D50" s="5" t="s">
        <v>8</v>
      </c>
      <c r="E50" s="15" t="str">
        <f t="shared" si="2"/>
        <v>2026-09</v>
      </c>
      <c r="F50" s="16" t="str">
        <f t="array" ref="F50">IF(A50&lt;&gt;"",INDEX(cartoes!E:E, MATCH(A50,cartoes!A:A,0)),"")</f>
        <v>https://assets.hgbrasil.com/finance/companies/big/santander-br.png</v>
      </c>
    </row>
    <row r="51">
      <c r="A51" s="26" t="s">
        <v>31</v>
      </c>
      <c r="B51" s="27">
        <v>399.0</v>
      </c>
      <c r="C51" s="28">
        <v>46305.0</v>
      </c>
      <c r="D51" s="5" t="s">
        <v>8</v>
      </c>
      <c r="E51" s="15" t="str">
        <f t="shared" si="2"/>
        <v>2026-10</v>
      </c>
      <c r="F51" s="16" t="str">
        <f t="array" ref="F51">IF(A51&lt;&gt;"",INDEX(cartoes!E:E, MATCH(A51,cartoes!A:A,0)),"")</f>
        <v>https://assets.hgbrasil.com/finance/companies/big/santander-br.png</v>
      </c>
    </row>
    <row r="52">
      <c r="A52" s="26" t="s">
        <v>31</v>
      </c>
      <c r="B52" s="27">
        <v>273.0</v>
      </c>
      <c r="C52" s="28">
        <v>46336.0</v>
      </c>
      <c r="D52" s="5" t="s">
        <v>8</v>
      </c>
      <c r="E52" s="15" t="str">
        <f t="shared" si="2"/>
        <v>2026-11</v>
      </c>
      <c r="F52" s="16" t="str">
        <f t="array" ref="F52">IF(A52&lt;&gt;"",INDEX(cartoes!E:E, MATCH(A52,cartoes!A:A,0)),"")</f>
        <v>https://assets.hgbrasil.com/finance/companies/big/santander-br.png</v>
      </c>
    </row>
    <row r="53">
      <c r="A53" s="26" t="s">
        <v>31</v>
      </c>
      <c r="B53" s="27">
        <v>214.0</v>
      </c>
      <c r="C53" s="28">
        <v>46366.0</v>
      </c>
      <c r="D53" s="5" t="s">
        <v>8</v>
      </c>
      <c r="E53" s="15" t="str">
        <f t="shared" si="2"/>
        <v>2026-12</v>
      </c>
      <c r="F53" s="16" t="str">
        <f t="array" ref="F53">IF(A53&lt;&gt;"",INDEX(cartoes!E:E, MATCH(A53,cartoes!A:A,0)),"")</f>
        <v>https://assets.hgbrasil.com/finance/companies/big/santander-br.png</v>
      </c>
    </row>
    <row r="54">
      <c r="A54" s="26" t="s">
        <v>33</v>
      </c>
      <c r="B54" s="27">
        <v>11753.0</v>
      </c>
      <c r="C54" s="28">
        <v>46224.0</v>
      </c>
      <c r="D54" s="5" t="s">
        <v>8</v>
      </c>
      <c r="E54" s="15" t="str">
        <f t="shared" si="2"/>
        <v>2026-07</v>
      </c>
      <c r="F54" s="16" t="str">
        <f t="array" ref="F54">IF(A54&lt;&gt;"",INDEX(cartoes!E:E, MATCH(A54,cartoes!A:A,0)),"")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55">
      <c r="A55" s="26" t="s">
        <v>33</v>
      </c>
      <c r="B55" s="27">
        <v>9694.0</v>
      </c>
      <c r="C55" s="28">
        <v>46255.0</v>
      </c>
      <c r="D55" s="5" t="s">
        <v>8</v>
      </c>
      <c r="E55" s="15" t="str">
        <f t="shared" si="2"/>
        <v>2026-08</v>
      </c>
      <c r="F55" s="16" t="str">
        <f t="array" ref="F55">IF(A55&lt;&gt;"",INDEX(cartoes!E:E, MATCH(A55,cartoes!A:A,0)),"")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56">
      <c r="A56" s="26" t="s">
        <v>33</v>
      </c>
      <c r="B56" s="27">
        <v>9367.0</v>
      </c>
      <c r="C56" s="28">
        <v>46286.0</v>
      </c>
      <c r="D56" s="5" t="s">
        <v>8</v>
      </c>
      <c r="E56" s="15" t="str">
        <f t="shared" si="2"/>
        <v>2026-09</v>
      </c>
      <c r="F56" s="16" t="str">
        <f t="array" ref="F56">IF(A56&lt;&gt;"",INDEX(cartoes!E:E, MATCH(A56,cartoes!A:A,0)),"")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57">
      <c r="A57" s="26" t="s">
        <v>33</v>
      </c>
      <c r="B57" s="27">
        <v>4356.0</v>
      </c>
      <c r="C57" s="28">
        <v>46316.0</v>
      </c>
      <c r="D57" s="5" t="s">
        <v>8</v>
      </c>
      <c r="E57" s="15" t="str">
        <f t="shared" si="2"/>
        <v>2026-10</v>
      </c>
      <c r="F57" s="16" t="str">
        <f t="array" ref="F57">IF(A57&lt;&gt;"",INDEX(cartoes!E:E, MATCH(A57,cartoes!A:A,0)),"")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58">
      <c r="A58" s="26" t="s">
        <v>33</v>
      </c>
      <c r="B58" s="27">
        <v>4106.0</v>
      </c>
      <c r="C58" s="28">
        <v>46347.0</v>
      </c>
      <c r="D58" s="5" t="s">
        <v>8</v>
      </c>
      <c r="E58" s="15" t="str">
        <f t="shared" si="2"/>
        <v>2026-11</v>
      </c>
      <c r="F58" s="16" t="str">
        <f t="array" ref="F58">IF(A58&lt;&gt;"",INDEX(cartoes!E:E, MATCH(A58,cartoes!A:A,0)),"")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59">
      <c r="A59" s="26" t="s">
        <v>33</v>
      </c>
      <c r="B59" s="27">
        <v>1462.0</v>
      </c>
      <c r="C59" s="28">
        <v>46377.0</v>
      </c>
      <c r="D59" s="5" t="s">
        <v>8</v>
      </c>
      <c r="E59" s="15" t="str">
        <f t="shared" si="2"/>
        <v>2026-12</v>
      </c>
      <c r="F59" s="16" t="str">
        <f t="array" ref="F59">IF(A59&lt;&gt;"",INDEX(cartoes!E:E, MATCH(A59,cartoes!A:A,0)),"")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60">
      <c r="A60" s="26" t="s">
        <v>31</v>
      </c>
      <c r="B60" s="27">
        <v>200.0</v>
      </c>
      <c r="C60" s="28">
        <v>46397.0</v>
      </c>
      <c r="D60" s="5" t="s">
        <v>8</v>
      </c>
      <c r="E60" s="15" t="str">
        <f t="shared" si="2"/>
        <v>2027-01</v>
      </c>
      <c r="F60" s="16" t="str">
        <f t="array" ref="F60">IF(A60&lt;&gt;"",INDEX(cartoes!E:E, MATCH(A60,cartoes!A:A,0)),"")</f>
        <v>https://assets.hgbrasil.com/finance/companies/big/santander-br.png</v>
      </c>
    </row>
    <row r="61">
      <c r="A61" s="26" t="s">
        <v>33</v>
      </c>
      <c r="B61" s="27">
        <v>987.0</v>
      </c>
      <c r="C61" s="28">
        <v>46408.0</v>
      </c>
      <c r="D61" s="5" t="s">
        <v>8</v>
      </c>
      <c r="E61" s="15" t="str">
        <f t="shared" si="2"/>
        <v>2027-01</v>
      </c>
      <c r="F61" s="16" t="str">
        <f t="array" ref="F61">IF(A61&lt;&gt;"",INDEX(cartoes!E:E, MATCH(A61,cartoes!A:A,0)),"")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62">
      <c r="A62" s="26" t="s">
        <v>20</v>
      </c>
      <c r="B62" s="27">
        <v>217.79</v>
      </c>
      <c r="C62" s="28">
        <v>46216.0</v>
      </c>
      <c r="D62" s="5" t="s">
        <v>10</v>
      </c>
      <c r="E62" s="15" t="str">
        <f t="shared" si="2"/>
        <v>2026-07</v>
      </c>
      <c r="F62" s="16" t="str">
        <f t="array" ref="F62">IF(A62&lt;&gt;"",INDEX(cartoes!E:E, MATCH(A62,cartoes!A:A,0)),"")</f>
        <v>https://play-lh.googleusercontent.com/O5Z9jsv79WTfdd37TFPyIwAQjNotIZTTEC6sOXaD3_2IXrMjtOI2ZnqReOicI3TgmqI</v>
      </c>
    </row>
    <row r="63">
      <c r="A63" s="26" t="s">
        <v>33</v>
      </c>
      <c r="B63" s="27">
        <v>189.0</v>
      </c>
      <c r="C63" s="28">
        <v>46439.0</v>
      </c>
      <c r="D63" s="5" t="s">
        <v>8</v>
      </c>
      <c r="E63" s="15" t="str">
        <f t="shared" si="2"/>
        <v>2027-02</v>
      </c>
      <c r="F63" s="16" t="str">
        <f t="array" ref="F63">IF(A63&lt;&gt;"",INDEX(cartoes!E:E, MATCH(A63,cartoes!A:A,0)),"")</f>
        <v>https://blogger.googleusercontent.com/img/b/R29vZ2xl/AVvXsEjl4gJnZqQz-Wz4S_mjixZgRnvCTYbIzoYs34k0e5qslitovNsUJbX8owsXEISCuHSFYbZ09JrRBr6sH3QaUm9TltnTRlyFnl9W2TW2T1iIMnB9MKpoMWMpZi0lY0uBU5cSYKi5i2Uy0XQucH0orBc8QCDtkRIkSB6SnaBhBmeB-SeGFVUiKF93/s510/itau%20logo%20novo%201.jpg</v>
      </c>
    </row>
    <row r="64">
      <c r="A64" s="26" t="s">
        <v>24</v>
      </c>
      <c r="B64" s="27">
        <v>10000.0</v>
      </c>
      <c r="C64" s="28">
        <v>46224.0</v>
      </c>
      <c r="D64" s="5" t="s">
        <v>8</v>
      </c>
      <c r="E64" s="15" t="str">
        <f t="shared" si="2"/>
        <v>2026-07</v>
      </c>
      <c r="F64" s="16" t="str">
        <f t="array" ref="F64">IF(A64&lt;&gt;"",INDEX(cartoes!E:E, MATCH(A64,cartoes!A:A,0)),"")</f>
        <v>https://www.logo.wine/a/logo/Revolut/Revolut-Logo.wine.svg</v>
      </c>
    </row>
    <row r="65">
      <c r="A65" s="26" t="s">
        <v>24</v>
      </c>
      <c r="B65" s="27">
        <v>4045.0</v>
      </c>
      <c r="C65" s="28">
        <v>46255.0</v>
      </c>
      <c r="D65" s="5" t="s">
        <v>8</v>
      </c>
      <c r="E65" s="15" t="str">
        <f t="shared" si="2"/>
        <v>2026-08</v>
      </c>
      <c r="F65" s="16" t="str">
        <f t="array" ref="F65">IF(A65&lt;&gt;"",INDEX(cartoes!E:E, MATCH(A65,cartoes!A:A,0)),"")</f>
        <v>https://www.logo.wine/a/logo/Revolut/Revolut-Logo.wine.svg</v>
      </c>
    </row>
    <row r="66">
      <c r="A66" s="26" t="s">
        <v>24</v>
      </c>
      <c r="B66" s="27">
        <v>2606.0</v>
      </c>
      <c r="C66" s="28">
        <v>46286.0</v>
      </c>
      <c r="D66" s="5" t="s">
        <v>8</v>
      </c>
      <c r="E66" s="15" t="str">
        <f t="shared" si="2"/>
        <v>2026-09</v>
      </c>
      <c r="F66" s="16" t="str">
        <f t="array" ref="F66">IF(A66&lt;&gt;"",INDEX(cartoes!E:E, MATCH(A66,cartoes!A:A,0)),"")</f>
        <v>https://www.logo.wine/a/logo/Revolut/Revolut-Logo.wine.svg</v>
      </c>
    </row>
    <row r="67">
      <c r="A67" s="26" t="s">
        <v>24</v>
      </c>
      <c r="B67" s="27">
        <v>2327.0</v>
      </c>
      <c r="C67" s="28">
        <v>46316.0</v>
      </c>
      <c r="D67" s="5" t="s">
        <v>8</v>
      </c>
      <c r="E67" s="15" t="str">
        <f t="shared" si="2"/>
        <v>2026-10</v>
      </c>
      <c r="F67" s="16" t="str">
        <f t="array" ref="F67">IF(A67&lt;&gt;"",INDEX(cartoes!E:E, MATCH(A67,cartoes!A:A,0)),"")</f>
        <v>https://www.logo.wine/a/logo/Revolut/Revolut-Logo.wine.svg</v>
      </c>
    </row>
    <row r="68">
      <c r="A68" s="26" t="s">
        <v>24</v>
      </c>
      <c r="B68" s="27">
        <v>984.0</v>
      </c>
      <c r="C68" s="28">
        <v>46347.0</v>
      </c>
      <c r="D68" s="5" t="s">
        <v>8</v>
      </c>
      <c r="E68" s="15" t="str">
        <f t="shared" si="2"/>
        <v>2026-11</v>
      </c>
      <c r="F68" s="16" t="str">
        <f t="array" ref="F68">IF(A68&lt;&gt;"",INDEX(cartoes!E:E, MATCH(A68,cartoes!A:A,0)),"")</f>
        <v>https://www.logo.wine/a/logo/Revolut/Revolut-Logo.wine.svg</v>
      </c>
    </row>
    <row r="69">
      <c r="A69" s="26" t="s">
        <v>24</v>
      </c>
      <c r="B69" s="27">
        <v>335.0</v>
      </c>
      <c r="C69" s="28">
        <v>46377.0</v>
      </c>
      <c r="D69" s="5" t="s">
        <v>8</v>
      </c>
      <c r="E69" s="15" t="str">
        <f t="shared" si="2"/>
        <v>2026-12</v>
      </c>
      <c r="F69" s="16" t="str">
        <f t="array" ref="F69">IF(A69&lt;&gt;"",INDEX(cartoes!E:E, MATCH(A69,cartoes!A:A,0)),"")</f>
        <v>https://www.logo.wine/a/logo/Revolut/Revolut-Logo.wine.svg</v>
      </c>
    </row>
    <row r="70">
      <c r="A70" s="26" t="s">
        <v>24</v>
      </c>
      <c r="B70" s="27">
        <v>31.0</v>
      </c>
      <c r="C70" s="28">
        <v>46415.0</v>
      </c>
      <c r="D70" s="5" t="s">
        <v>8</v>
      </c>
      <c r="E70" s="15" t="str">
        <f t="shared" si="2"/>
        <v>2027-01</v>
      </c>
      <c r="F70" s="16" t="str">
        <f t="array" ref="F70">IF(A70&lt;&gt;"",INDEX(cartoes!E:E, MATCH(A70,cartoes!A:A,0)),"")</f>
        <v>https://www.logo.wine/a/logo/Revolut/Revolut-Logo.wine.svg</v>
      </c>
    </row>
    <row r="71">
      <c r="A71" s="29"/>
      <c r="B71" s="30"/>
      <c r="C71" s="31"/>
      <c r="E71" s="15" t="str">
        <f t="shared" ref="E71:E163" si="3">IFERROR(IF(C71&lt;&gt;"",TEXT(C71, "yyyy-mm"),""),"")</f>
        <v/>
      </c>
    </row>
    <row r="72">
      <c r="A72" s="29"/>
      <c r="B72" s="30"/>
      <c r="C72" s="31"/>
      <c r="E72" s="15" t="str">
        <f t="shared" si="3"/>
        <v/>
      </c>
    </row>
    <row r="73">
      <c r="A73" s="29"/>
      <c r="B73" s="30"/>
      <c r="C73" s="31"/>
      <c r="E73" s="15" t="str">
        <f t="shared" si="3"/>
        <v/>
      </c>
    </row>
    <row r="74">
      <c r="A74" s="29"/>
      <c r="B74" s="30"/>
      <c r="C74" s="31"/>
      <c r="E74" s="15" t="str">
        <f t="shared" si="3"/>
        <v/>
      </c>
    </row>
    <row r="75">
      <c r="A75" s="29"/>
      <c r="B75" s="30"/>
      <c r="C75" s="31"/>
      <c r="E75" s="15" t="str">
        <f t="shared" si="3"/>
        <v/>
      </c>
    </row>
    <row r="76">
      <c r="A76" s="29"/>
      <c r="B76" s="30"/>
      <c r="C76" s="31"/>
      <c r="E76" s="15" t="str">
        <f t="shared" si="3"/>
        <v/>
      </c>
    </row>
    <row r="77">
      <c r="A77" s="29"/>
      <c r="B77" s="30"/>
      <c r="C77" s="31"/>
      <c r="E77" s="15" t="str">
        <f t="shared" si="3"/>
        <v/>
      </c>
    </row>
    <row r="78">
      <c r="A78" s="29"/>
      <c r="B78" s="30"/>
      <c r="C78" s="31"/>
      <c r="E78" s="15" t="str">
        <f t="shared" si="3"/>
        <v/>
      </c>
    </row>
    <row r="79">
      <c r="A79" s="29"/>
      <c r="B79" s="30"/>
      <c r="C79" s="31"/>
      <c r="E79" s="15" t="str">
        <f t="shared" si="3"/>
        <v/>
      </c>
    </row>
    <row r="80">
      <c r="A80" s="29"/>
      <c r="B80" s="30"/>
      <c r="C80" s="31"/>
      <c r="E80" s="15" t="str">
        <f t="shared" si="3"/>
        <v/>
      </c>
    </row>
    <row r="81">
      <c r="A81" s="29"/>
      <c r="B81" s="30"/>
      <c r="C81" s="31"/>
      <c r="E81" s="15" t="str">
        <f t="shared" si="3"/>
        <v/>
      </c>
    </row>
    <row r="82">
      <c r="A82" s="29"/>
      <c r="B82" s="30"/>
      <c r="C82" s="31"/>
      <c r="E82" s="15" t="str">
        <f t="shared" si="3"/>
        <v/>
      </c>
    </row>
    <row r="83">
      <c r="A83" s="29"/>
      <c r="B83" s="30"/>
      <c r="C83" s="31"/>
      <c r="E83" s="15" t="str">
        <f t="shared" si="3"/>
        <v/>
      </c>
    </row>
    <row r="84">
      <c r="A84" s="29"/>
      <c r="B84" s="30"/>
      <c r="C84" s="31"/>
      <c r="E84" s="15" t="str">
        <f t="shared" si="3"/>
        <v/>
      </c>
    </row>
    <row r="85">
      <c r="A85" s="29"/>
      <c r="B85" s="30"/>
      <c r="C85" s="31"/>
      <c r="E85" s="15" t="str">
        <f t="shared" si="3"/>
        <v/>
      </c>
    </row>
    <row r="86">
      <c r="A86" s="29"/>
      <c r="B86" s="30"/>
      <c r="C86" s="31"/>
      <c r="E86" s="15" t="str">
        <f t="shared" si="3"/>
        <v/>
      </c>
    </row>
    <row r="87">
      <c r="A87" s="29"/>
      <c r="B87" s="30"/>
      <c r="C87" s="31"/>
      <c r="E87" s="15" t="str">
        <f t="shared" si="3"/>
        <v/>
      </c>
    </row>
    <row r="88">
      <c r="A88" s="29"/>
      <c r="B88" s="30"/>
      <c r="C88" s="31"/>
      <c r="E88" s="15" t="str">
        <f t="shared" si="3"/>
        <v/>
      </c>
    </row>
    <row r="89">
      <c r="A89" s="29"/>
      <c r="B89" s="30"/>
      <c r="C89" s="31"/>
      <c r="E89" s="15" t="str">
        <f t="shared" si="3"/>
        <v/>
      </c>
    </row>
    <row r="90">
      <c r="A90" s="29"/>
      <c r="B90" s="30"/>
      <c r="C90" s="31"/>
      <c r="E90" s="15" t="str">
        <f t="shared" si="3"/>
        <v/>
      </c>
    </row>
    <row r="91">
      <c r="A91" s="29"/>
      <c r="B91" s="30"/>
      <c r="C91" s="31"/>
      <c r="E91" s="15" t="str">
        <f t="shared" si="3"/>
        <v/>
      </c>
    </row>
    <row r="92">
      <c r="A92" s="29"/>
      <c r="B92" s="30"/>
      <c r="C92" s="31"/>
      <c r="E92" s="15" t="str">
        <f t="shared" si="3"/>
        <v/>
      </c>
    </row>
    <row r="93">
      <c r="A93" s="29"/>
      <c r="B93" s="30"/>
      <c r="C93" s="31"/>
      <c r="E93" s="15" t="str">
        <f t="shared" si="3"/>
        <v/>
      </c>
    </row>
    <row r="94">
      <c r="A94" s="29"/>
      <c r="B94" s="30"/>
      <c r="C94" s="31"/>
      <c r="E94" s="15" t="str">
        <f t="shared" si="3"/>
        <v/>
      </c>
    </row>
    <row r="95">
      <c r="A95" s="29"/>
      <c r="B95" s="30"/>
      <c r="C95" s="31"/>
      <c r="E95" s="15" t="str">
        <f t="shared" si="3"/>
        <v/>
      </c>
    </row>
    <row r="96">
      <c r="A96" s="29"/>
      <c r="B96" s="30"/>
      <c r="C96" s="31"/>
      <c r="E96" s="15" t="str">
        <f t="shared" si="3"/>
        <v/>
      </c>
    </row>
    <row r="97">
      <c r="A97" s="29"/>
      <c r="B97" s="30"/>
      <c r="C97" s="31"/>
      <c r="E97" s="15" t="str">
        <f t="shared" si="3"/>
        <v/>
      </c>
    </row>
    <row r="98">
      <c r="A98" s="29"/>
      <c r="B98" s="30"/>
      <c r="C98" s="31"/>
      <c r="E98" s="15" t="str">
        <f t="shared" si="3"/>
        <v/>
      </c>
    </row>
    <row r="99">
      <c r="A99" s="29"/>
      <c r="B99" s="30"/>
      <c r="C99" s="31"/>
      <c r="E99" s="15" t="str">
        <f t="shared" si="3"/>
        <v/>
      </c>
    </row>
    <row r="100">
      <c r="A100" s="29"/>
      <c r="B100" s="30"/>
      <c r="C100" s="31"/>
      <c r="E100" s="15" t="str">
        <f t="shared" si="3"/>
        <v/>
      </c>
    </row>
    <row r="101">
      <c r="A101" s="29"/>
      <c r="B101" s="30"/>
      <c r="C101" s="31"/>
      <c r="E101" s="15" t="str">
        <f t="shared" si="3"/>
        <v/>
      </c>
    </row>
    <row r="102">
      <c r="A102" s="29"/>
      <c r="B102" s="30"/>
      <c r="C102" s="31"/>
      <c r="E102" s="15" t="str">
        <f t="shared" si="3"/>
        <v/>
      </c>
    </row>
    <row r="103">
      <c r="A103" s="29"/>
      <c r="B103" s="30"/>
      <c r="C103" s="31"/>
      <c r="E103" s="15" t="str">
        <f t="shared" si="3"/>
        <v/>
      </c>
    </row>
    <row r="104">
      <c r="A104" s="29"/>
      <c r="B104" s="30"/>
      <c r="C104" s="31"/>
      <c r="E104" s="15" t="str">
        <f t="shared" si="3"/>
        <v/>
      </c>
    </row>
    <row r="105">
      <c r="A105" s="29"/>
      <c r="B105" s="30"/>
      <c r="C105" s="31"/>
      <c r="E105" s="15" t="str">
        <f t="shared" si="3"/>
        <v/>
      </c>
    </row>
    <row r="106">
      <c r="A106" s="29"/>
      <c r="B106" s="30"/>
      <c r="C106" s="31"/>
      <c r="E106" s="15" t="str">
        <f t="shared" si="3"/>
        <v/>
      </c>
    </row>
    <row r="107">
      <c r="A107" s="29"/>
      <c r="B107" s="30"/>
      <c r="C107" s="31"/>
      <c r="E107" s="15" t="str">
        <f t="shared" si="3"/>
        <v/>
      </c>
    </row>
    <row r="108">
      <c r="A108" s="29"/>
      <c r="B108" s="30"/>
      <c r="C108" s="31"/>
      <c r="E108" s="15" t="str">
        <f t="shared" si="3"/>
        <v/>
      </c>
    </row>
    <row r="109">
      <c r="A109" s="29"/>
      <c r="B109" s="30"/>
      <c r="C109" s="31"/>
      <c r="E109" s="15" t="str">
        <f t="shared" si="3"/>
        <v/>
      </c>
    </row>
    <row r="110">
      <c r="A110" s="29"/>
      <c r="B110" s="30"/>
      <c r="C110" s="31"/>
      <c r="E110" s="15" t="str">
        <f t="shared" si="3"/>
        <v/>
      </c>
    </row>
    <row r="111">
      <c r="A111" s="29"/>
      <c r="B111" s="30"/>
      <c r="C111" s="31"/>
      <c r="E111" s="15" t="str">
        <f t="shared" si="3"/>
        <v/>
      </c>
    </row>
    <row r="112">
      <c r="A112" s="29"/>
      <c r="B112" s="30"/>
      <c r="C112" s="31"/>
      <c r="E112" s="15" t="str">
        <f t="shared" si="3"/>
        <v/>
      </c>
    </row>
    <row r="113">
      <c r="A113" s="29"/>
      <c r="B113" s="30"/>
      <c r="C113" s="31"/>
      <c r="E113" s="15" t="str">
        <f t="shared" si="3"/>
        <v/>
      </c>
    </row>
    <row r="114">
      <c r="A114" s="29"/>
      <c r="B114" s="30"/>
      <c r="C114" s="31"/>
      <c r="E114" s="15" t="str">
        <f t="shared" si="3"/>
        <v/>
      </c>
    </row>
    <row r="115">
      <c r="A115" s="29"/>
      <c r="B115" s="30"/>
      <c r="C115" s="31"/>
      <c r="E115" s="15" t="str">
        <f t="shared" si="3"/>
        <v/>
      </c>
    </row>
    <row r="116">
      <c r="A116" s="29"/>
      <c r="B116" s="30"/>
      <c r="C116" s="31"/>
      <c r="E116" s="15" t="str">
        <f t="shared" si="3"/>
        <v/>
      </c>
    </row>
    <row r="117">
      <c r="A117" s="29"/>
      <c r="B117" s="30"/>
      <c r="C117" s="31"/>
      <c r="E117" s="15" t="str">
        <f t="shared" si="3"/>
        <v/>
      </c>
    </row>
    <row r="118">
      <c r="A118" s="29"/>
      <c r="B118" s="30"/>
      <c r="C118" s="31"/>
      <c r="E118" s="15" t="str">
        <f t="shared" si="3"/>
        <v/>
      </c>
    </row>
    <row r="119">
      <c r="A119" s="29"/>
      <c r="B119" s="30"/>
      <c r="C119" s="31"/>
      <c r="E119" s="15" t="str">
        <f t="shared" si="3"/>
        <v/>
      </c>
    </row>
    <row r="120">
      <c r="A120" s="29"/>
      <c r="B120" s="30"/>
      <c r="C120" s="31"/>
      <c r="E120" s="15" t="str">
        <f t="shared" si="3"/>
        <v/>
      </c>
    </row>
    <row r="121">
      <c r="A121" s="29"/>
      <c r="B121" s="30"/>
      <c r="C121" s="31"/>
      <c r="E121" s="15" t="str">
        <f t="shared" si="3"/>
        <v/>
      </c>
    </row>
    <row r="122">
      <c r="A122" s="29"/>
      <c r="B122" s="30"/>
      <c r="C122" s="31"/>
      <c r="E122" s="15" t="str">
        <f t="shared" si="3"/>
        <v/>
      </c>
    </row>
    <row r="123">
      <c r="A123" s="29"/>
      <c r="B123" s="30"/>
      <c r="C123" s="31"/>
      <c r="E123" s="15" t="str">
        <f t="shared" si="3"/>
        <v/>
      </c>
    </row>
    <row r="124">
      <c r="A124" s="29"/>
      <c r="B124" s="30"/>
      <c r="C124" s="31"/>
      <c r="E124" s="15" t="str">
        <f t="shared" si="3"/>
        <v/>
      </c>
    </row>
    <row r="125">
      <c r="A125" s="29"/>
      <c r="B125" s="30"/>
      <c r="C125" s="31"/>
      <c r="E125" s="15" t="str">
        <f t="shared" si="3"/>
        <v/>
      </c>
    </row>
    <row r="126">
      <c r="A126" s="29"/>
      <c r="B126" s="30"/>
      <c r="C126" s="31"/>
      <c r="E126" s="15" t="str">
        <f t="shared" si="3"/>
        <v/>
      </c>
    </row>
    <row r="127">
      <c r="A127" s="29"/>
      <c r="B127" s="30"/>
      <c r="C127" s="31"/>
      <c r="E127" s="15" t="str">
        <f t="shared" si="3"/>
        <v/>
      </c>
    </row>
    <row r="128">
      <c r="A128" s="29"/>
      <c r="B128" s="30"/>
      <c r="C128" s="31"/>
      <c r="E128" s="15" t="str">
        <f t="shared" si="3"/>
        <v/>
      </c>
    </row>
    <row r="129">
      <c r="A129" s="29"/>
      <c r="B129" s="30"/>
      <c r="C129" s="31"/>
      <c r="E129" s="15" t="str">
        <f t="shared" si="3"/>
        <v/>
      </c>
    </row>
    <row r="130">
      <c r="A130" s="29"/>
      <c r="B130" s="30"/>
      <c r="C130" s="31"/>
      <c r="E130" s="15" t="str">
        <f t="shared" si="3"/>
        <v/>
      </c>
    </row>
    <row r="131">
      <c r="A131" s="29"/>
      <c r="B131" s="30"/>
      <c r="C131" s="31"/>
      <c r="E131" s="15" t="str">
        <f t="shared" si="3"/>
        <v/>
      </c>
    </row>
    <row r="132">
      <c r="A132" s="29"/>
      <c r="B132" s="30"/>
      <c r="C132" s="31"/>
      <c r="E132" s="15" t="str">
        <f t="shared" si="3"/>
        <v/>
      </c>
    </row>
    <row r="133">
      <c r="A133" s="29"/>
      <c r="B133" s="30"/>
      <c r="C133" s="31"/>
      <c r="E133" s="15" t="str">
        <f t="shared" si="3"/>
        <v/>
      </c>
    </row>
    <row r="134">
      <c r="A134" s="29"/>
      <c r="B134" s="30"/>
      <c r="C134" s="31"/>
      <c r="E134" s="15" t="str">
        <f t="shared" si="3"/>
        <v/>
      </c>
    </row>
    <row r="135">
      <c r="A135" s="29"/>
      <c r="B135" s="30"/>
      <c r="C135" s="31"/>
      <c r="E135" s="15" t="str">
        <f t="shared" si="3"/>
        <v/>
      </c>
    </row>
    <row r="136">
      <c r="A136" s="29"/>
      <c r="B136" s="30"/>
      <c r="C136" s="31"/>
      <c r="E136" s="15" t="str">
        <f t="shared" si="3"/>
        <v/>
      </c>
    </row>
    <row r="137">
      <c r="A137" s="29"/>
      <c r="B137" s="30"/>
      <c r="C137" s="31"/>
      <c r="E137" s="15" t="str">
        <f t="shared" si="3"/>
        <v/>
      </c>
    </row>
    <row r="138">
      <c r="A138" s="29"/>
      <c r="B138" s="30"/>
      <c r="C138" s="31"/>
      <c r="E138" s="15" t="str">
        <f t="shared" si="3"/>
        <v/>
      </c>
    </row>
    <row r="139">
      <c r="A139" s="29"/>
      <c r="B139" s="30"/>
      <c r="C139" s="31"/>
      <c r="E139" s="15" t="str">
        <f t="shared" si="3"/>
        <v/>
      </c>
    </row>
    <row r="140">
      <c r="A140" s="29"/>
      <c r="B140" s="30"/>
      <c r="C140" s="31"/>
      <c r="E140" s="15" t="str">
        <f t="shared" si="3"/>
        <v/>
      </c>
    </row>
    <row r="141">
      <c r="A141" s="29"/>
      <c r="B141" s="30"/>
      <c r="C141" s="31"/>
      <c r="E141" s="15" t="str">
        <f t="shared" si="3"/>
        <v/>
      </c>
    </row>
    <row r="142">
      <c r="A142" s="29"/>
      <c r="B142" s="30"/>
      <c r="C142" s="31"/>
      <c r="E142" s="15" t="str">
        <f t="shared" si="3"/>
        <v/>
      </c>
    </row>
    <row r="143">
      <c r="A143" s="29"/>
      <c r="B143" s="30"/>
      <c r="C143" s="31"/>
      <c r="E143" s="15" t="str">
        <f t="shared" si="3"/>
        <v/>
      </c>
    </row>
    <row r="144">
      <c r="A144" s="29"/>
      <c r="B144" s="30"/>
      <c r="C144" s="31"/>
      <c r="E144" s="15" t="str">
        <f t="shared" si="3"/>
        <v/>
      </c>
    </row>
    <row r="145">
      <c r="A145" s="29"/>
      <c r="B145" s="30"/>
      <c r="C145" s="31"/>
      <c r="E145" s="15" t="str">
        <f t="shared" si="3"/>
        <v/>
      </c>
    </row>
    <row r="146">
      <c r="A146" s="29"/>
      <c r="B146" s="30"/>
      <c r="C146" s="31"/>
      <c r="E146" s="15" t="str">
        <f t="shared" si="3"/>
        <v/>
      </c>
    </row>
    <row r="147">
      <c r="A147" s="29"/>
      <c r="B147" s="30"/>
      <c r="C147" s="31"/>
      <c r="E147" s="15" t="str">
        <f t="shared" si="3"/>
        <v/>
      </c>
    </row>
    <row r="148">
      <c r="A148" s="29"/>
      <c r="B148" s="30"/>
      <c r="C148" s="31"/>
      <c r="E148" s="15" t="str">
        <f t="shared" si="3"/>
        <v/>
      </c>
    </row>
    <row r="149">
      <c r="A149" s="29"/>
      <c r="B149" s="30"/>
      <c r="C149" s="31"/>
      <c r="E149" s="15" t="str">
        <f t="shared" si="3"/>
        <v/>
      </c>
    </row>
    <row r="150">
      <c r="A150" s="29"/>
      <c r="B150" s="30"/>
      <c r="C150" s="31"/>
      <c r="E150" s="15" t="str">
        <f t="shared" si="3"/>
        <v/>
      </c>
    </row>
    <row r="151">
      <c r="A151" s="29"/>
      <c r="B151" s="30"/>
      <c r="C151" s="31"/>
      <c r="E151" s="15" t="str">
        <f t="shared" si="3"/>
        <v/>
      </c>
    </row>
    <row r="152">
      <c r="A152" s="29"/>
      <c r="B152" s="30"/>
      <c r="C152" s="31"/>
      <c r="E152" s="15" t="str">
        <f t="shared" si="3"/>
        <v/>
      </c>
    </row>
    <row r="153">
      <c r="A153" s="29"/>
      <c r="B153" s="30"/>
      <c r="C153" s="31"/>
      <c r="E153" s="15" t="str">
        <f t="shared" si="3"/>
        <v/>
      </c>
    </row>
    <row r="154">
      <c r="A154" s="29"/>
      <c r="B154" s="30"/>
      <c r="C154" s="31"/>
      <c r="E154" s="15" t="str">
        <f t="shared" si="3"/>
        <v/>
      </c>
    </row>
    <row r="155">
      <c r="A155" s="29"/>
      <c r="B155" s="30"/>
      <c r="C155" s="31"/>
      <c r="E155" s="15" t="str">
        <f t="shared" si="3"/>
        <v/>
      </c>
    </row>
    <row r="156">
      <c r="A156" s="29"/>
      <c r="B156" s="30"/>
      <c r="C156" s="31"/>
      <c r="E156" s="15" t="str">
        <f t="shared" si="3"/>
        <v/>
      </c>
    </row>
    <row r="157">
      <c r="A157" s="29"/>
      <c r="B157" s="30"/>
      <c r="C157" s="31"/>
      <c r="E157" s="15" t="str">
        <f t="shared" si="3"/>
        <v/>
      </c>
    </row>
    <row r="158">
      <c r="A158" s="29"/>
      <c r="B158" s="30"/>
      <c r="C158" s="31"/>
      <c r="E158" s="15" t="str">
        <f t="shared" si="3"/>
        <v/>
      </c>
    </row>
    <row r="159">
      <c r="A159" s="29"/>
      <c r="B159" s="30"/>
      <c r="C159" s="31"/>
      <c r="E159" s="15" t="str">
        <f t="shared" si="3"/>
        <v/>
      </c>
    </row>
    <row r="160">
      <c r="A160" s="29"/>
      <c r="B160" s="30"/>
      <c r="C160" s="31"/>
      <c r="E160" s="15" t="str">
        <f t="shared" si="3"/>
        <v/>
      </c>
    </row>
    <row r="161">
      <c r="A161" s="29"/>
      <c r="B161" s="30"/>
      <c r="C161" s="31"/>
      <c r="E161" s="15" t="str">
        <f t="shared" si="3"/>
        <v/>
      </c>
    </row>
    <row r="162">
      <c r="A162" s="29"/>
      <c r="B162" s="30"/>
      <c r="C162" s="31"/>
      <c r="E162" s="15" t="str">
        <f t="shared" si="3"/>
        <v/>
      </c>
    </row>
    <row r="163">
      <c r="A163" s="29"/>
      <c r="B163" s="30"/>
      <c r="C163" s="31"/>
      <c r="E163" s="15" t="str">
        <f t="shared" si="3"/>
        <v/>
      </c>
    </row>
    <row r="164">
      <c r="A164" s="29"/>
      <c r="B164" s="30"/>
      <c r="C164" s="31"/>
    </row>
    <row r="165">
      <c r="A165" s="29"/>
      <c r="B165" s="30"/>
      <c r="C165" s="31"/>
    </row>
    <row r="166">
      <c r="A166" s="29"/>
      <c r="B166" s="30"/>
      <c r="C166" s="31"/>
    </row>
    <row r="167">
      <c r="A167" s="29"/>
      <c r="B167" s="30"/>
      <c r="C167" s="31"/>
    </row>
    <row r="168">
      <c r="A168" s="29"/>
      <c r="B168" s="30"/>
      <c r="C168" s="31"/>
    </row>
    <row r="169">
      <c r="A169" s="29"/>
      <c r="B169" s="30"/>
      <c r="C169" s="31"/>
    </row>
    <row r="170">
      <c r="A170" s="29"/>
      <c r="B170" s="30"/>
      <c r="C170" s="31"/>
    </row>
    <row r="171">
      <c r="A171" s="29"/>
      <c r="B171" s="30"/>
      <c r="C171" s="31"/>
    </row>
    <row r="172">
      <c r="A172" s="29"/>
      <c r="B172" s="30"/>
      <c r="C172" s="31"/>
    </row>
    <row r="173">
      <c r="A173" s="29"/>
      <c r="B173" s="30"/>
      <c r="C173" s="31"/>
    </row>
    <row r="174">
      <c r="A174" s="29"/>
      <c r="B174" s="30"/>
      <c r="C174" s="31"/>
    </row>
    <row r="175">
      <c r="A175" s="29"/>
      <c r="B175" s="30"/>
      <c r="C175" s="31"/>
    </row>
    <row r="176">
      <c r="A176" s="29"/>
      <c r="B176" s="30"/>
      <c r="C176" s="31"/>
    </row>
    <row r="177">
      <c r="A177" s="29"/>
      <c r="B177" s="30"/>
      <c r="C177" s="31"/>
    </row>
    <row r="178">
      <c r="A178" s="29"/>
      <c r="B178" s="30"/>
      <c r="C178" s="31"/>
    </row>
    <row r="179">
      <c r="A179" s="29"/>
      <c r="B179" s="30"/>
      <c r="C179" s="31"/>
    </row>
    <row r="180">
      <c r="A180" s="29"/>
      <c r="B180" s="30"/>
      <c r="C180" s="31"/>
    </row>
    <row r="181">
      <c r="A181" s="29"/>
      <c r="B181" s="30"/>
      <c r="C181" s="31"/>
    </row>
    <row r="182">
      <c r="A182" s="29"/>
      <c r="B182" s="30"/>
      <c r="C182" s="31"/>
    </row>
    <row r="183">
      <c r="A183" s="29"/>
      <c r="B183" s="30"/>
      <c r="C183" s="31"/>
    </row>
    <row r="184">
      <c r="A184" s="29"/>
      <c r="B184" s="30"/>
      <c r="C184" s="31"/>
    </row>
    <row r="185">
      <c r="A185" s="29"/>
      <c r="B185" s="30"/>
      <c r="C185" s="31"/>
    </row>
    <row r="186">
      <c r="A186" s="29"/>
      <c r="B186" s="30"/>
      <c r="C186" s="31"/>
    </row>
    <row r="187">
      <c r="A187" s="29"/>
      <c r="B187" s="30"/>
      <c r="C187" s="31"/>
    </row>
    <row r="188">
      <c r="A188" s="29"/>
      <c r="B188" s="30"/>
      <c r="C188" s="31"/>
    </row>
    <row r="189">
      <c r="A189" s="29"/>
      <c r="B189" s="30"/>
      <c r="C189" s="31"/>
    </row>
    <row r="190">
      <c r="A190" s="29"/>
      <c r="B190" s="30"/>
      <c r="C190" s="31"/>
    </row>
    <row r="191">
      <c r="A191" s="29"/>
      <c r="B191" s="30"/>
      <c r="C191" s="31"/>
    </row>
    <row r="192">
      <c r="A192" s="29"/>
      <c r="B192" s="30"/>
      <c r="C192" s="31"/>
    </row>
    <row r="193">
      <c r="A193" s="29"/>
      <c r="B193" s="30"/>
      <c r="C193" s="31"/>
    </row>
    <row r="194">
      <c r="A194" s="29"/>
      <c r="B194" s="30"/>
      <c r="C194" s="31"/>
    </row>
    <row r="195">
      <c r="A195" s="29"/>
      <c r="B195" s="30"/>
      <c r="C195" s="31"/>
    </row>
    <row r="196">
      <c r="A196" s="29"/>
      <c r="B196" s="30"/>
      <c r="C196" s="31"/>
    </row>
    <row r="197">
      <c r="A197" s="29"/>
      <c r="B197" s="30"/>
      <c r="C197" s="31"/>
    </row>
    <row r="198">
      <c r="A198" s="29"/>
      <c r="B198" s="30"/>
      <c r="C198" s="31"/>
    </row>
    <row r="199">
      <c r="A199" s="29"/>
      <c r="B199" s="30"/>
      <c r="C199" s="31"/>
    </row>
    <row r="200">
      <c r="A200" s="29"/>
      <c r="B200" s="30"/>
      <c r="C200" s="31"/>
    </row>
    <row r="201">
      <c r="A201" s="29"/>
      <c r="B201" s="30"/>
      <c r="C201" s="31"/>
    </row>
    <row r="202">
      <c r="A202" s="29"/>
      <c r="B202" s="30"/>
      <c r="C202" s="31"/>
    </row>
    <row r="203">
      <c r="A203" s="29"/>
      <c r="B203" s="30"/>
      <c r="C203" s="31"/>
    </row>
    <row r="204">
      <c r="A204" s="29"/>
      <c r="B204" s="30"/>
      <c r="C204" s="31"/>
    </row>
    <row r="205">
      <c r="A205" s="29"/>
      <c r="B205" s="30"/>
      <c r="C205" s="31"/>
    </row>
    <row r="206">
      <c r="A206" s="29"/>
      <c r="B206" s="30"/>
      <c r="C206" s="31"/>
    </row>
    <row r="207">
      <c r="A207" s="29"/>
      <c r="B207" s="30"/>
      <c r="C207" s="31"/>
    </row>
    <row r="208">
      <c r="A208" s="29"/>
      <c r="B208" s="30"/>
      <c r="C208" s="31"/>
    </row>
    <row r="209">
      <c r="A209" s="29"/>
      <c r="B209" s="30"/>
      <c r="C209" s="31"/>
    </row>
    <row r="210">
      <c r="A210" s="29"/>
      <c r="B210" s="30"/>
      <c r="C210" s="31"/>
    </row>
    <row r="211">
      <c r="A211" s="29"/>
      <c r="B211" s="30"/>
      <c r="C211" s="31"/>
    </row>
    <row r="212">
      <c r="A212" s="29"/>
      <c r="B212" s="30"/>
      <c r="C212" s="31"/>
    </row>
    <row r="213">
      <c r="A213" s="29"/>
      <c r="B213" s="30"/>
      <c r="C213" s="31"/>
    </row>
    <row r="214">
      <c r="A214" s="29"/>
      <c r="B214" s="30"/>
      <c r="C214" s="31"/>
    </row>
    <row r="215">
      <c r="A215" s="29"/>
      <c r="B215" s="30"/>
      <c r="C215" s="31"/>
    </row>
    <row r="216">
      <c r="A216" s="29"/>
      <c r="B216" s="30"/>
      <c r="C216" s="31"/>
    </row>
    <row r="217">
      <c r="A217" s="29"/>
      <c r="B217" s="30"/>
      <c r="C217" s="31"/>
    </row>
    <row r="218">
      <c r="A218" s="29"/>
      <c r="B218" s="30"/>
      <c r="C218" s="31"/>
    </row>
    <row r="219">
      <c r="A219" s="29"/>
      <c r="B219" s="30"/>
      <c r="C219" s="31"/>
    </row>
    <row r="220">
      <c r="A220" s="29"/>
      <c r="B220" s="30"/>
      <c r="C220" s="31"/>
    </row>
    <row r="221">
      <c r="A221" s="29"/>
      <c r="B221" s="30"/>
      <c r="C221" s="31"/>
    </row>
    <row r="222">
      <c r="A222" s="29"/>
      <c r="B222" s="30"/>
      <c r="C222" s="31"/>
    </row>
    <row r="223">
      <c r="A223" s="29"/>
      <c r="B223" s="30"/>
      <c r="C223" s="31"/>
    </row>
    <row r="224">
      <c r="A224" s="29"/>
      <c r="B224" s="30"/>
      <c r="C224" s="31"/>
    </row>
    <row r="225">
      <c r="A225" s="29"/>
      <c r="B225" s="30"/>
      <c r="C225" s="31"/>
    </row>
    <row r="226">
      <c r="A226" s="29"/>
      <c r="B226" s="30"/>
      <c r="C226" s="31"/>
    </row>
    <row r="227">
      <c r="A227" s="29"/>
      <c r="B227" s="30"/>
      <c r="C227" s="31"/>
    </row>
    <row r="228">
      <c r="A228" s="29"/>
      <c r="B228" s="30"/>
      <c r="C228" s="31"/>
    </row>
    <row r="229">
      <c r="A229" s="29"/>
      <c r="B229" s="30"/>
      <c r="C229" s="31"/>
    </row>
    <row r="230">
      <c r="A230" s="29"/>
      <c r="B230" s="30"/>
      <c r="C230" s="31"/>
    </row>
    <row r="231">
      <c r="A231" s="29"/>
      <c r="B231" s="30"/>
      <c r="C231" s="31"/>
    </row>
    <row r="232">
      <c r="A232" s="29"/>
      <c r="B232" s="30"/>
      <c r="C232" s="31"/>
    </row>
    <row r="233">
      <c r="A233" s="29"/>
      <c r="B233" s="30"/>
      <c r="C233" s="31"/>
    </row>
    <row r="234">
      <c r="A234" s="29"/>
      <c r="B234" s="30"/>
      <c r="C234" s="31"/>
    </row>
    <row r="235">
      <c r="A235" s="29"/>
      <c r="B235" s="30"/>
      <c r="C235" s="31"/>
    </row>
    <row r="236">
      <c r="A236" s="29"/>
      <c r="B236" s="30"/>
      <c r="C236" s="31"/>
    </row>
    <row r="237">
      <c r="A237" s="29"/>
      <c r="B237" s="30"/>
      <c r="C237" s="31"/>
    </row>
    <row r="238">
      <c r="A238" s="29"/>
      <c r="B238" s="30"/>
      <c r="C238" s="31"/>
    </row>
    <row r="239">
      <c r="A239" s="29"/>
      <c r="B239" s="30"/>
      <c r="C239" s="31"/>
    </row>
    <row r="240">
      <c r="A240" s="29"/>
      <c r="B240" s="30"/>
      <c r="C240" s="31"/>
    </row>
    <row r="241">
      <c r="A241" s="29"/>
      <c r="B241" s="30"/>
      <c r="C241" s="31"/>
    </row>
    <row r="242">
      <c r="A242" s="29"/>
      <c r="B242" s="30"/>
      <c r="C242" s="31"/>
    </row>
    <row r="243">
      <c r="A243" s="29"/>
      <c r="B243" s="30"/>
      <c r="C243" s="31"/>
    </row>
    <row r="244">
      <c r="A244" s="29"/>
      <c r="B244" s="30"/>
      <c r="C244" s="31"/>
    </row>
    <row r="245">
      <c r="A245" s="29"/>
      <c r="B245" s="30"/>
      <c r="C245" s="31"/>
    </row>
    <row r="246">
      <c r="A246" s="29"/>
      <c r="B246" s="30"/>
      <c r="C246" s="31"/>
    </row>
    <row r="247">
      <c r="A247" s="29"/>
      <c r="B247" s="30"/>
      <c r="C247" s="31"/>
    </row>
    <row r="248">
      <c r="A248" s="29"/>
      <c r="B248" s="30"/>
      <c r="C248" s="31"/>
    </row>
    <row r="249">
      <c r="A249" s="29"/>
      <c r="B249" s="30"/>
      <c r="C249" s="31"/>
    </row>
    <row r="250">
      <c r="A250" s="29"/>
      <c r="B250" s="30"/>
      <c r="C250" s="31"/>
    </row>
    <row r="251">
      <c r="A251" s="29"/>
      <c r="B251" s="30"/>
      <c r="C251" s="31"/>
    </row>
    <row r="252">
      <c r="A252" s="29"/>
      <c r="B252" s="30"/>
      <c r="C252" s="31"/>
    </row>
    <row r="253">
      <c r="A253" s="29"/>
      <c r="B253" s="30"/>
      <c r="C253" s="31"/>
    </row>
    <row r="254">
      <c r="A254" s="29"/>
      <c r="B254" s="30"/>
      <c r="C254" s="31"/>
    </row>
    <row r="255">
      <c r="A255" s="29"/>
      <c r="B255" s="30"/>
      <c r="C255" s="31"/>
    </row>
    <row r="256">
      <c r="A256" s="29"/>
      <c r="B256" s="30"/>
      <c r="C256" s="31"/>
    </row>
    <row r="257">
      <c r="A257" s="29"/>
      <c r="B257" s="30"/>
      <c r="C257" s="31"/>
    </row>
    <row r="258">
      <c r="A258" s="29"/>
      <c r="B258" s="30"/>
      <c r="C258" s="31"/>
    </row>
    <row r="259">
      <c r="A259" s="29"/>
      <c r="B259" s="30"/>
      <c r="C259" s="31"/>
    </row>
    <row r="260">
      <c r="A260" s="29"/>
      <c r="B260" s="30"/>
      <c r="C260" s="31"/>
    </row>
    <row r="261">
      <c r="A261" s="29"/>
      <c r="B261" s="30"/>
      <c r="C261" s="31"/>
    </row>
    <row r="262">
      <c r="A262" s="29"/>
      <c r="B262" s="30"/>
      <c r="C262" s="31"/>
    </row>
    <row r="263">
      <c r="A263" s="29"/>
      <c r="B263" s="30"/>
      <c r="C263" s="31"/>
    </row>
    <row r="264">
      <c r="A264" s="29"/>
      <c r="B264" s="30"/>
      <c r="C264" s="31"/>
    </row>
    <row r="265">
      <c r="A265" s="29"/>
      <c r="B265" s="30"/>
      <c r="C265" s="31"/>
    </row>
    <row r="266">
      <c r="A266" s="29"/>
      <c r="B266" s="30"/>
      <c r="C266" s="31"/>
    </row>
    <row r="267">
      <c r="A267" s="29"/>
      <c r="B267" s="30"/>
      <c r="C267" s="31"/>
    </row>
    <row r="268">
      <c r="A268" s="29"/>
      <c r="B268" s="30"/>
      <c r="C268" s="31"/>
    </row>
    <row r="269">
      <c r="A269" s="29"/>
      <c r="B269" s="30"/>
      <c r="C269" s="31"/>
    </row>
    <row r="270">
      <c r="A270" s="29"/>
      <c r="B270" s="30"/>
      <c r="C270" s="31"/>
    </row>
    <row r="271">
      <c r="A271" s="29"/>
      <c r="B271" s="30"/>
      <c r="C271" s="31"/>
    </row>
    <row r="272">
      <c r="A272" s="29"/>
      <c r="B272" s="30"/>
      <c r="C272" s="31"/>
    </row>
    <row r="273">
      <c r="A273" s="29"/>
      <c r="B273" s="30"/>
      <c r="C273" s="31"/>
    </row>
    <row r="274">
      <c r="A274" s="29"/>
      <c r="B274" s="30"/>
      <c r="C274" s="31"/>
    </row>
    <row r="275">
      <c r="A275" s="29"/>
      <c r="B275" s="30"/>
      <c r="C275" s="31"/>
    </row>
    <row r="276">
      <c r="A276" s="29"/>
      <c r="B276" s="30"/>
      <c r="C276" s="31"/>
    </row>
    <row r="277">
      <c r="A277" s="29"/>
      <c r="B277" s="30"/>
      <c r="C277" s="31"/>
    </row>
    <row r="278">
      <c r="A278" s="29"/>
      <c r="B278" s="30"/>
      <c r="C278" s="31"/>
    </row>
    <row r="279">
      <c r="A279" s="29"/>
      <c r="B279" s="30"/>
      <c r="C279" s="31"/>
    </row>
    <row r="280">
      <c r="A280" s="29"/>
      <c r="B280" s="30"/>
      <c r="C280" s="31"/>
    </row>
    <row r="281">
      <c r="A281" s="29"/>
      <c r="B281" s="30"/>
      <c r="C281" s="31"/>
    </row>
    <row r="282">
      <c r="A282" s="29"/>
      <c r="B282" s="30"/>
      <c r="C282" s="31"/>
    </row>
    <row r="283">
      <c r="A283" s="29"/>
      <c r="B283" s="30"/>
      <c r="C283" s="31"/>
    </row>
    <row r="284">
      <c r="A284" s="29"/>
      <c r="B284" s="30"/>
      <c r="C284" s="31"/>
    </row>
    <row r="285">
      <c r="A285" s="29"/>
      <c r="B285" s="30"/>
      <c r="C285" s="31"/>
    </row>
    <row r="286">
      <c r="A286" s="29"/>
      <c r="B286" s="30"/>
      <c r="C286" s="31"/>
    </row>
    <row r="287">
      <c r="A287" s="29"/>
      <c r="B287" s="30"/>
      <c r="C287" s="31"/>
    </row>
    <row r="288">
      <c r="A288" s="29"/>
      <c r="B288" s="30"/>
      <c r="C288" s="31"/>
    </row>
    <row r="289">
      <c r="A289" s="29"/>
      <c r="B289" s="30"/>
      <c r="C289" s="31"/>
    </row>
    <row r="290">
      <c r="A290" s="29"/>
      <c r="B290" s="30"/>
      <c r="C290" s="31"/>
    </row>
    <row r="291">
      <c r="A291" s="29"/>
      <c r="B291" s="30"/>
      <c r="C291" s="31"/>
    </row>
    <row r="292">
      <c r="A292" s="29"/>
      <c r="B292" s="30"/>
      <c r="C292" s="31"/>
    </row>
    <row r="293">
      <c r="A293" s="29"/>
      <c r="B293" s="30"/>
      <c r="C293" s="31"/>
    </row>
    <row r="294">
      <c r="A294" s="29"/>
      <c r="B294" s="30"/>
      <c r="C294" s="31"/>
    </row>
    <row r="295">
      <c r="A295" s="29"/>
      <c r="B295" s="30"/>
      <c r="C295" s="31"/>
    </row>
    <row r="296">
      <c r="A296" s="29"/>
      <c r="B296" s="30"/>
      <c r="C296" s="31"/>
    </row>
    <row r="297">
      <c r="A297" s="29"/>
      <c r="B297" s="30"/>
      <c r="C297" s="31"/>
    </row>
    <row r="298">
      <c r="A298" s="29"/>
      <c r="B298" s="30"/>
      <c r="C298" s="31"/>
    </row>
    <row r="299">
      <c r="A299" s="29"/>
      <c r="B299" s="30"/>
      <c r="C299" s="31"/>
    </row>
    <row r="300">
      <c r="A300" s="29"/>
      <c r="B300" s="30"/>
      <c r="C300" s="31"/>
    </row>
    <row r="301">
      <c r="A301" s="29"/>
      <c r="B301" s="30"/>
      <c r="C301" s="31"/>
    </row>
    <row r="302">
      <c r="A302" s="29"/>
      <c r="B302" s="30"/>
      <c r="C302" s="31"/>
    </row>
    <row r="303">
      <c r="A303" s="29"/>
      <c r="B303" s="30"/>
      <c r="C303" s="31"/>
    </row>
    <row r="304">
      <c r="A304" s="29"/>
      <c r="B304" s="30"/>
      <c r="C304" s="31"/>
    </row>
    <row r="305">
      <c r="A305" s="29"/>
      <c r="B305" s="30"/>
      <c r="C305" s="31"/>
    </row>
    <row r="306">
      <c r="A306" s="29"/>
      <c r="B306" s="30"/>
      <c r="C306" s="31"/>
    </row>
    <row r="307">
      <c r="A307" s="29"/>
      <c r="B307" s="30"/>
      <c r="C307" s="31"/>
    </row>
    <row r="308">
      <c r="A308" s="29"/>
      <c r="B308" s="30"/>
      <c r="C308" s="31"/>
    </row>
    <row r="309">
      <c r="A309" s="29"/>
      <c r="B309" s="30"/>
      <c r="C309" s="31"/>
    </row>
    <row r="310">
      <c r="A310" s="29"/>
      <c r="B310" s="30"/>
      <c r="C310" s="31"/>
    </row>
    <row r="311">
      <c r="A311" s="29"/>
      <c r="B311" s="30"/>
      <c r="C311" s="31"/>
    </row>
    <row r="312">
      <c r="A312" s="29"/>
      <c r="B312" s="30"/>
      <c r="C312" s="31"/>
    </row>
    <row r="313">
      <c r="A313" s="29"/>
      <c r="B313" s="30"/>
      <c r="C313" s="31"/>
    </row>
    <row r="314">
      <c r="A314" s="29"/>
      <c r="B314" s="30"/>
      <c r="C314" s="31"/>
    </row>
    <row r="315">
      <c r="A315" s="29"/>
      <c r="B315" s="30"/>
      <c r="C315" s="31"/>
    </row>
    <row r="316">
      <c r="A316" s="29"/>
      <c r="B316" s="30"/>
      <c r="C316" s="31"/>
    </row>
    <row r="317">
      <c r="A317" s="29"/>
      <c r="B317" s="30"/>
      <c r="C317" s="31"/>
    </row>
    <row r="318">
      <c r="A318" s="29"/>
      <c r="B318" s="30"/>
      <c r="C318" s="31"/>
    </row>
    <row r="319">
      <c r="A319" s="29"/>
      <c r="B319" s="30"/>
      <c r="C319" s="31"/>
    </row>
    <row r="320">
      <c r="A320" s="29"/>
      <c r="B320" s="30"/>
      <c r="C320" s="31"/>
    </row>
    <row r="321">
      <c r="A321" s="29"/>
      <c r="B321" s="30"/>
      <c r="C321" s="31"/>
    </row>
    <row r="322">
      <c r="A322" s="29"/>
      <c r="B322" s="30"/>
      <c r="C322" s="31"/>
    </row>
    <row r="323">
      <c r="A323" s="29"/>
      <c r="B323" s="30"/>
      <c r="C323" s="31"/>
    </row>
    <row r="324">
      <c r="A324" s="29"/>
      <c r="B324" s="30"/>
      <c r="C324" s="31"/>
    </row>
    <row r="325">
      <c r="A325" s="29"/>
      <c r="B325" s="30"/>
      <c r="C325" s="31"/>
    </row>
    <row r="326">
      <c r="A326" s="29"/>
      <c r="B326" s="30"/>
      <c r="C326" s="31"/>
    </row>
    <row r="327">
      <c r="A327" s="29"/>
      <c r="B327" s="30"/>
      <c r="C327" s="31"/>
    </row>
    <row r="328">
      <c r="A328" s="29"/>
      <c r="B328" s="30"/>
      <c r="C328" s="31"/>
    </row>
    <row r="329">
      <c r="A329" s="29"/>
      <c r="B329" s="30"/>
      <c r="C329" s="31"/>
    </row>
    <row r="330">
      <c r="A330" s="29"/>
      <c r="B330" s="30"/>
      <c r="C330" s="31"/>
    </row>
    <row r="331">
      <c r="A331" s="29"/>
      <c r="B331" s="30"/>
      <c r="C331" s="31"/>
    </row>
    <row r="332">
      <c r="A332" s="29"/>
      <c r="B332" s="30"/>
      <c r="C332" s="31"/>
    </row>
    <row r="333">
      <c r="A333" s="29"/>
      <c r="B333" s="30"/>
      <c r="C333" s="31"/>
    </row>
    <row r="334">
      <c r="A334" s="29"/>
      <c r="B334" s="30"/>
      <c r="C334" s="31"/>
    </row>
    <row r="335">
      <c r="A335" s="29"/>
      <c r="B335" s="30"/>
      <c r="C335" s="31"/>
    </row>
    <row r="336">
      <c r="A336" s="29"/>
      <c r="B336" s="30"/>
      <c r="C336" s="31"/>
    </row>
    <row r="337">
      <c r="A337" s="29"/>
      <c r="B337" s="30"/>
      <c r="C337" s="31"/>
    </row>
    <row r="338">
      <c r="A338" s="29"/>
      <c r="B338" s="30"/>
      <c r="C338" s="31"/>
    </row>
    <row r="339">
      <c r="A339" s="29"/>
      <c r="B339" s="30"/>
      <c r="C339" s="31"/>
    </row>
    <row r="340">
      <c r="A340" s="29"/>
      <c r="B340" s="30"/>
      <c r="C340" s="31"/>
    </row>
    <row r="341">
      <c r="A341" s="29"/>
      <c r="B341" s="30"/>
      <c r="C341" s="31"/>
    </row>
    <row r="342">
      <c r="A342" s="29"/>
      <c r="B342" s="30"/>
      <c r="C342" s="31"/>
    </row>
    <row r="343">
      <c r="A343" s="29"/>
      <c r="B343" s="30"/>
      <c r="C343" s="31"/>
    </row>
    <row r="344">
      <c r="A344" s="29"/>
      <c r="B344" s="30"/>
      <c r="C344" s="31"/>
    </row>
    <row r="345">
      <c r="A345" s="29"/>
      <c r="B345" s="30"/>
      <c r="C345" s="31"/>
    </row>
    <row r="346">
      <c r="A346" s="29"/>
      <c r="B346" s="30"/>
      <c r="C346" s="31"/>
    </row>
    <row r="347">
      <c r="A347" s="29"/>
      <c r="B347" s="30"/>
      <c r="C347" s="31"/>
    </row>
    <row r="348">
      <c r="A348" s="29"/>
      <c r="B348" s="30"/>
      <c r="C348" s="31"/>
    </row>
    <row r="349">
      <c r="A349" s="29"/>
      <c r="B349" s="30"/>
      <c r="C349" s="31"/>
    </row>
    <row r="350">
      <c r="A350" s="29"/>
      <c r="B350" s="30"/>
      <c r="C350" s="31"/>
    </row>
    <row r="351">
      <c r="A351" s="29"/>
      <c r="B351" s="30"/>
      <c r="C351" s="31"/>
    </row>
    <row r="352">
      <c r="A352" s="29"/>
      <c r="B352" s="30"/>
      <c r="C352" s="31"/>
    </row>
    <row r="353">
      <c r="A353" s="29"/>
      <c r="B353" s="30"/>
      <c r="C353" s="31"/>
    </row>
    <row r="354">
      <c r="A354" s="29"/>
      <c r="B354" s="30"/>
      <c r="C354" s="31"/>
    </row>
    <row r="355">
      <c r="A355" s="29"/>
      <c r="B355" s="30"/>
      <c r="C355" s="31"/>
    </row>
    <row r="356">
      <c r="A356" s="29"/>
      <c r="B356" s="30"/>
      <c r="C356" s="31"/>
    </row>
    <row r="357">
      <c r="A357" s="29"/>
      <c r="B357" s="30"/>
      <c r="C357" s="31"/>
    </row>
    <row r="358">
      <c r="A358" s="29"/>
      <c r="B358" s="30"/>
      <c r="C358" s="31"/>
    </row>
    <row r="359">
      <c r="A359" s="29"/>
      <c r="B359" s="30"/>
      <c r="C359" s="31"/>
    </row>
    <row r="360">
      <c r="A360" s="29"/>
      <c r="B360" s="30"/>
      <c r="C360" s="31"/>
    </row>
    <row r="361">
      <c r="A361" s="29"/>
      <c r="B361" s="30"/>
      <c r="C361" s="31"/>
    </row>
    <row r="362">
      <c r="A362" s="29"/>
      <c r="B362" s="30"/>
      <c r="C362" s="31"/>
    </row>
    <row r="363">
      <c r="A363" s="29"/>
      <c r="B363" s="30"/>
      <c r="C363" s="31"/>
    </row>
    <row r="364">
      <c r="A364" s="29"/>
      <c r="B364" s="30"/>
      <c r="C364" s="31"/>
    </row>
    <row r="365">
      <c r="A365" s="29"/>
      <c r="B365" s="30"/>
      <c r="C365" s="31"/>
    </row>
    <row r="366">
      <c r="A366" s="29"/>
      <c r="B366" s="30"/>
      <c r="C366" s="31"/>
    </row>
    <row r="367">
      <c r="A367" s="29"/>
      <c r="B367" s="30"/>
      <c r="C367" s="31"/>
    </row>
    <row r="368">
      <c r="A368" s="29"/>
      <c r="B368" s="30"/>
      <c r="C368" s="31"/>
    </row>
    <row r="369">
      <c r="A369" s="29"/>
      <c r="B369" s="30"/>
      <c r="C369" s="31"/>
    </row>
    <row r="370">
      <c r="A370" s="29"/>
      <c r="B370" s="30"/>
      <c r="C370" s="31"/>
    </row>
    <row r="371">
      <c r="A371" s="29"/>
      <c r="B371" s="30"/>
      <c r="C371" s="31"/>
    </row>
    <row r="372">
      <c r="A372" s="29"/>
      <c r="B372" s="30"/>
      <c r="C372" s="31"/>
    </row>
    <row r="373">
      <c r="A373" s="29"/>
      <c r="B373" s="30"/>
      <c r="C373" s="31"/>
    </row>
    <row r="374">
      <c r="A374" s="29"/>
      <c r="B374" s="30"/>
      <c r="C374" s="31"/>
    </row>
    <row r="375">
      <c r="A375" s="29"/>
      <c r="B375" s="30"/>
      <c r="C375" s="31"/>
    </row>
    <row r="376">
      <c r="A376" s="29"/>
      <c r="B376" s="30"/>
      <c r="C376" s="31"/>
    </row>
    <row r="377">
      <c r="A377" s="29"/>
      <c r="B377" s="30"/>
      <c r="C377" s="31"/>
    </row>
    <row r="378">
      <c r="A378" s="29"/>
      <c r="B378" s="30"/>
      <c r="C378" s="31"/>
    </row>
    <row r="379">
      <c r="A379" s="29"/>
      <c r="B379" s="30"/>
      <c r="C379" s="31"/>
    </row>
    <row r="380">
      <c r="A380" s="29"/>
      <c r="B380" s="30"/>
      <c r="C380" s="31"/>
    </row>
    <row r="381">
      <c r="A381" s="29"/>
      <c r="B381" s="30"/>
      <c r="C381" s="31"/>
    </row>
    <row r="382">
      <c r="A382" s="29"/>
      <c r="B382" s="30"/>
      <c r="C382" s="31"/>
    </row>
    <row r="383">
      <c r="A383" s="29"/>
      <c r="B383" s="30"/>
      <c r="C383" s="31"/>
    </row>
    <row r="384">
      <c r="A384" s="29"/>
      <c r="B384" s="30"/>
      <c r="C384" s="31"/>
    </row>
    <row r="385">
      <c r="A385" s="29"/>
      <c r="B385" s="30"/>
      <c r="C385" s="31"/>
    </row>
    <row r="386">
      <c r="A386" s="29"/>
      <c r="B386" s="30"/>
      <c r="C386" s="31"/>
    </row>
    <row r="387">
      <c r="A387" s="29"/>
      <c r="B387" s="30"/>
      <c r="C387" s="31"/>
    </row>
    <row r="388">
      <c r="A388" s="29"/>
      <c r="B388" s="30"/>
      <c r="C388" s="31"/>
    </row>
    <row r="389">
      <c r="A389" s="29"/>
      <c r="B389" s="30"/>
      <c r="C389" s="31"/>
    </row>
    <row r="390">
      <c r="A390" s="29"/>
      <c r="B390" s="30"/>
      <c r="C390" s="31"/>
    </row>
    <row r="391">
      <c r="A391" s="29"/>
      <c r="B391" s="30"/>
      <c r="C391" s="31"/>
    </row>
    <row r="392">
      <c r="A392" s="29"/>
      <c r="B392" s="30"/>
      <c r="C392" s="31"/>
    </row>
    <row r="393">
      <c r="A393" s="29"/>
      <c r="B393" s="30"/>
      <c r="C393" s="31"/>
    </row>
    <row r="394">
      <c r="A394" s="29"/>
      <c r="B394" s="30"/>
      <c r="C394" s="31"/>
    </row>
    <row r="395">
      <c r="A395" s="29"/>
      <c r="B395" s="30"/>
      <c r="C395" s="31"/>
    </row>
    <row r="396">
      <c r="A396" s="29"/>
      <c r="B396" s="30"/>
      <c r="C396" s="31"/>
    </row>
    <row r="397">
      <c r="A397" s="29"/>
      <c r="B397" s="30"/>
      <c r="C397" s="31"/>
    </row>
    <row r="398">
      <c r="A398" s="29"/>
      <c r="B398" s="30"/>
      <c r="C398" s="31"/>
    </row>
    <row r="399">
      <c r="A399" s="29"/>
      <c r="B399" s="30"/>
      <c r="C399" s="31"/>
    </row>
    <row r="400">
      <c r="A400" s="29"/>
      <c r="B400" s="30"/>
      <c r="C400" s="31"/>
    </row>
    <row r="401">
      <c r="A401" s="29"/>
      <c r="B401" s="30"/>
      <c r="C401" s="31"/>
    </row>
    <row r="402">
      <c r="A402" s="29"/>
      <c r="B402" s="30"/>
      <c r="C402" s="31"/>
    </row>
    <row r="403">
      <c r="A403" s="29"/>
      <c r="B403" s="30"/>
      <c r="C403" s="31"/>
    </row>
    <row r="404">
      <c r="A404" s="29"/>
      <c r="B404" s="30"/>
      <c r="C404" s="31"/>
    </row>
    <row r="405">
      <c r="A405" s="29"/>
      <c r="B405" s="30"/>
      <c r="C405" s="31"/>
    </row>
    <row r="406">
      <c r="A406" s="29"/>
      <c r="B406" s="30"/>
      <c r="C406" s="31"/>
    </row>
    <row r="407">
      <c r="A407" s="29"/>
      <c r="B407" s="30"/>
      <c r="C407" s="31"/>
    </row>
    <row r="408">
      <c r="A408" s="29"/>
      <c r="B408" s="30"/>
      <c r="C408" s="31"/>
    </row>
    <row r="409">
      <c r="A409" s="29"/>
      <c r="B409" s="30"/>
      <c r="C409" s="31"/>
    </row>
    <row r="410">
      <c r="A410" s="29"/>
      <c r="B410" s="30"/>
      <c r="C410" s="31"/>
    </row>
    <row r="411">
      <c r="A411" s="29"/>
      <c r="B411" s="30"/>
      <c r="C411" s="31"/>
    </row>
    <row r="412">
      <c r="A412" s="29"/>
      <c r="B412" s="30"/>
      <c r="C412" s="31"/>
    </row>
    <row r="413">
      <c r="A413" s="29"/>
      <c r="B413" s="30"/>
      <c r="C413" s="31"/>
    </row>
    <row r="414">
      <c r="A414" s="29"/>
      <c r="B414" s="30"/>
      <c r="C414" s="31"/>
    </row>
    <row r="415">
      <c r="A415" s="29"/>
      <c r="B415" s="30"/>
      <c r="C415" s="31"/>
    </row>
    <row r="416">
      <c r="A416" s="29"/>
      <c r="B416" s="30"/>
      <c r="C416" s="31"/>
    </row>
    <row r="417">
      <c r="A417" s="29"/>
      <c r="B417" s="30"/>
      <c r="C417" s="31"/>
    </row>
    <row r="418">
      <c r="A418" s="29"/>
      <c r="B418" s="30"/>
      <c r="C418" s="31"/>
    </row>
    <row r="419">
      <c r="A419" s="29"/>
      <c r="B419" s="30"/>
      <c r="C419" s="31"/>
    </row>
    <row r="420">
      <c r="A420" s="29"/>
      <c r="B420" s="30"/>
      <c r="C420" s="31"/>
    </row>
    <row r="421">
      <c r="A421" s="29"/>
      <c r="B421" s="30"/>
      <c r="C421" s="31"/>
    </row>
    <row r="422">
      <c r="A422" s="29"/>
      <c r="B422" s="30"/>
      <c r="C422" s="31"/>
    </row>
    <row r="423">
      <c r="A423" s="29"/>
      <c r="B423" s="30"/>
      <c r="C423" s="31"/>
    </row>
    <row r="424">
      <c r="A424" s="29"/>
      <c r="B424" s="30"/>
      <c r="C424" s="31"/>
    </row>
    <row r="425">
      <c r="A425" s="29"/>
      <c r="B425" s="30"/>
      <c r="C425" s="31"/>
    </row>
    <row r="426">
      <c r="A426" s="29"/>
      <c r="B426" s="30"/>
      <c r="C426" s="31"/>
    </row>
    <row r="427">
      <c r="A427" s="29"/>
      <c r="B427" s="30"/>
      <c r="C427" s="31"/>
    </row>
    <row r="428">
      <c r="A428" s="29"/>
      <c r="B428" s="30"/>
      <c r="C428" s="31"/>
    </row>
    <row r="429">
      <c r="A429" s="29"/>
      <c r="B429" s="30"/>
      <c r="C429" s="31"/>
    </row>
    <row r="430">
      <c r="A430" s="29"/>
      <c r="B430" s="30"/>
      <c r="C430" s="31"/>
    </row>
    <row r="431">
      <c r="A431" s="29"/>
      <c r="B431" s="30"/>
      <c r="C431" s="31"/>
    </row>
    <row r="432">
      <c r="A432" s="29"/>
      <c r="B432" s="30"/>
      <c r="C432" s="31"/>
    </row>
    <row r="433">
      <c r="A433" s="29"/>
      <c r="B433" s="30"/>
      <c r="C433" s="31"/>
    </row>
    <row r="434">
      <c r="A434" s="29"/>
      <c r="B434" s="30"/>
      <c r="C434" s="31"/>
    </row>
    <row r="435">
      <c r="A435" s="29"/>
      <c r="B435" s="30"/>
      <c r="C435" s="31"/>
    </row>
    <row r="436">
      <c r="A436" s="29"/>
      <c r="B436" s="30"/>
      <c r="C436" s="31"/>
    </row>
    <row r="437">
      <c r="A437" s="29"/>
      <c r="B437" s="30"/>
      <c r="C437" s="31"/>
    </row>
    <row r="438">
      <c r="A438" s="29"/>
      <c r="B438" s="30"/>
      <c r="C438" s="31"/>
    </row>
    <row r="439">
      <c r="A439" s="29"/>
      <c r="B439" s="30"/>
      <c r="C439" s="31"/>
    </row>
    <row r="440">
      <c r="A440" s="29"/>
      <c r="B440" s="30"/>
      <c r="C440" s="31"/>
    </row>
    <row r="441">
      <c r="A441" s="29"/>
      <c r="B441" s="30"/>
      <c r="C441" s="31"/>
    </row>
    <row r="442">
      <c r="A442" s="29"/>
      <c r="B442" s="30"/>
      <c r="C442" s="31"/>
    </row>
    <row r="443">
      <c r="A443" s="29"/>
      <c r="B443" s="30"/>
      <c r="C443" s="31"/>
    </row>
    <row r="444">
      <c r="A444" s="29"/>
      <c r="B444" s="30"/>
      <c r="C444" s="31"/>
    </row>
    <row r="445">
      <c r="A445" s="29"/>
      <c r="B445" s="30"/>
      <c r="C445" s="31"/>
    </row>
    <row r="446">
      <c r="A446" s="29"/>
      <c r="B446" s="30"/>
      <c r="C446" s="31"/>
    </row>
    <row r="447">
      <c r="A447" s="29"/>
      <c r="B447" s="30"/>
      <c r="C447" s="31"/>
    </row>
    <row r="448">
      <c r="A448" s="29"/>
      <c r="B448" s="30"/>
      <c r="C448" s="31"/>
    </row>
    <row r="449">
      <c r="A449" s="29"/>
      <c r="B449" s="30"/>
      <c r="C449" s="31"/>
    </row>
    <row r="450">
      <c r="A450" s="29"/>
      <c r="B450" s="30"/>
      <c r="C450" s="31"/>
    </row>
    <row r="451">
      <c r="A451" s="29"/>
      <c r="B451" s="30"/>
      <c r="C451" s="31"/>
    </row>
    <row r="452">
      <c r="A452" s="29"/>
      <c r="B452" s="30"/>
      <c r="C452" s="31"/>
    </row>
    <row r="453">
      <c r="A453" s="29"/>
      <c r="B453" s="30"/>
      <c r="C453" s="31"/>
    </row>
    <row r="454">
      <c r="A454" s="29"/>
      <c r="B454" s="30"/>
      <c r="C454" s="31"/>
    </row>
    <row r="455">
      <c r="A455" s="29"/>
      <c r="B455" s="30"/>
      <c r="C455" s="31"/>
    </row>
    <row r="456">
      <c r="A456" s="29"/>
      <c r="B456" s="30"/>
      <c r="C456" s="31"/>
    </row>
    <row r="457">
      <c r="A457" s="29"/>
      <c r="B457" s="30"/>
      <c r="C457" s="31"/>
    </row>
    <row r="458">
      <c r="A458" s="29"/>
      <c r="B458" s="30"/>
      <c r="C458" s="31"/>
    </row>
    <row r="459">
      <c r="A459" s="29"/>
      <c r="B459" s="30"/>
      <c r="C459" s="31"/>
    </row>
    <row r="460">
      <c r="A460" s="29"/>
      <c r="B460" s="30"/>
      <c r="C460" s="31"/>
    </row>
    <row r="461">
      <c r="A461" s="29"/>
      <c r="B461" s="30"/>
      <c r="C461" s="31"/>
    </row>
    <row r="462">
      <c r="A462" s="29"/>
      <c r="B462" s="30"/>
      <c r="C462" s="31"/>
    </row>
    <row r="463">
      <c r="A463" s="29"/>
      <c r="B463" s="30"/>
      <c r="C463" s="31"/>
    </row>
    <row r="464">
      <c r="A464" s="29"/>
      <c r="B464" s="30"/>
      <c r="C464" s="31"/>
    </row>
    <row r="465">
      <c r="A465" s="29"/>
      <c r="B465" s="30"/>
      <c r="C465" s="31"/>
    </row>
    <row r="466">
      <c r="A466" s="29"/>
      <c r="B466" s="30"/>
      <c r="C466" s="31"/>
    </row>
    <row r="467">
      <c r="A467" s="29"/>
      <c r="B467" s="30"/>
      <c r="C467" s="31"/>
    </row>
    <row r="468">
      <c r="A468" s="29"/>
      <c r="B468" s="30"/>
      <c r="C468" s="31"/>
    </row>
    <row r="469">
      <c r="A469" s="29"/>
      <c r="B469" s="30"/>
      <c r="C469" s="31"/>
    </row>
    <row r="470">
      <c r="A470" s="29"/>
      <c r="B470" s="30"/>
      <c r="C470" s="31"/>
    </row>
    <row r="471">
      <c r="A471" s="29"/>
      <c r="B471" s="30"/>
      <c r="C471" s="31"/>
    </row>
    <row r="472">
      <c r="A472" s="29"/>
      <c r="B472" s="30"/>
      <c r="C472" s="31"/>
    </row>
    <row r="473">
      <c r="A473" s="29"/>
      <c r="B473" s="30"/>
      <c r="C473" s="31"/>
    </row>
    <row r="474">
      <c r="A474" s="29"/>
      <c r="B474" s="30"/>
      <c r="C474" s="31"/>
    </row>
    <row r="475">
      <c r="A475" s="29"/>
      <c r="B475" s="30"/>
      <c r="C475" s="31"/>
    </row>
    <row r="476">
      <c r="A476" s="29"/>
      <c r="B476" s="30"/>
      <c r="C476" s="31"/>
    </row>
    <row r="477">
      <c r="A477" s="29"/>
      <c r="B477" s="30"/>
      <c r="C477" s="31"/>
    </row>
    <row r="478">
      <c r="A478" s="29"/>
      <c r="B478" s="30"/>
      <c r="C478" s="31"/>
    </row>
    <row r="479">
      <c r="A479" s="29"/>
      <c r="B479" s="30"/>
      <c r="C479" s="31"/>
    </row>
    <row r="480">
      <c r="A480" s="29"/>
      <c r="B480" s="30"/>
      <c r="C480" s="31"/>
    </row>
    <row r="481">
      <c r="A481" s="29"/>
      <c r="B481" s="30"/>
      <c r="C481" s="31"/>
    </row>
    <row r="482">
      <c r="A482" s="29"/>
      <c r="B482" s="30"/>
      <c r="C482" s="31"/>
    </row>
    <row r="483">
      <c r="A483" s="29"/>
      <c r="B483" s="30"/>
      <c r="C483" s="31"/>
    </row>
    <row r="484">
      <c r="A484" s="29"/>
      <c r="B484" s="30"/>
      <c r="C484" s="31"/>
    </row>
    <row r="485">
      <c r="A485" s="29"/>
      <c r="B485" s="30"/>
      <c r="C485" s="31"/>
    </row>
    <row r="486">
      <c r="A486" s="29"/>
      <c r="B486" s="30"/>
      <c r="C486" s="31"/>
    </row>
    <row r="487">
      <c r="A487" s="29"/>
      <c r="B487" s="30"/>
      <c r="C487" s="31"/>
    </row>
    <row r="488">
      <c r="A488" s="29"/>
      <c r="B488" s="30"/>
      <c r="C488" s="31"/>
    </row>
    <row r="489">
      <c r="A489" s="29"/>
      <c r="B489" s="30"/>
      <c r="C489" s="31"/>
    </row>
    <row r="490">
      <c r="A490" s="29"/>
      <c r="B490" s="30"/>
      <c r="C490" s="31"/>
    </row>
    <row r="491">
      <c r="A491" s="29"/>
      <c r="B491" s="30"/>
      <c r="C491" s="31"/>
    </row>
    <row r="492">
      <c r="A492" s="29"/>
      <c r="B492" s="30"/>
      <c r="C492" s="31"/>
    </row>
    <row r="493">
      <c r="A493" s="29"/>
      <c r="B493" s="30"/>
      <c r="C493" s="31"/>
    </row>
    <row r="494">
      <c r="A494" s="29"/>
      <c r="B494" s="30"/>
      <c r="C494" s="31"/>
    </row>
    <row r="495">
      <c r="A495" s="29"/>
      <c r="B495" s="30"/>
      <c r="C495" s="31"/>
    </row>
    <row r="496">
      <c r="A496" s="29"/>
      <c r="B496" s="30"/>
      <c r="C496" s="31"/>
    </row>
    <row r="497">
      <c r="A497" s="29"/>
      <c r="B497" s="30"/>
      <c r="C497" s="31"/>
    </row>
    <row r="498">
      <c r="A498" s="29"/>
      <c r="B498" s="30"/>
      <c r="C498" s="31"/>
    </row>
    <row r="499">
      <c r="A499" s="29"/>
      <c r="B499" s="30"/>
      <c r="C499" s="31"/>
    </row>
    <row r="500">
      <c r="A500" s="29"/>
      <c r="B500" s="30"/>
      <c r="C500" s="31"/>
    </row>
    <row r="501">
      <c r="A501" s="29"/>
      <c r="B501" s="30"/>
      <c r="C501" s="31"/>
    </row>
    <row r="502">
      <c r="A502" s="29"/>
      <c r="B502" s="30"/>
      <c r="C502" s="31"/>
    </row>
    <row r="503">
      <c r="A503" s="29"/>
      <c r="B503" s="30"/>
      <c r="C503" s="31"/>
    </row>
    <row r="504">
      <c r="A504" s="29"/>
      <c r="B504" s="30"/>
      <c r="C504" s="31"/>
    </row>
    <row r="505">
      <c r="A505" s="29"/>
      <c r="B505" s="30"/>
      <c r="C505" s="31"/>
    </row>
    <row r="506">
      <c r="A506" s="29"/>
      <c r="B506" s="30"/>
      <c r="C506" s="31"/>
    </row>
    <row r="507">
      <c r="A507" s="29"/>
      <c r="B507" s="30"/>
      <c r="C507" s="31"/>
    </row>
    <row r="508">
      <c r="A508" s="29"/>
      <c r="B508" s="30"/>
      <c r="C508" s="31"/>
    </row>
    <row r="509">
      <c r="A509" s="29"/>
      <c r="B509" s="30"/>
      <c r="C509" s="31"/>
    </row>
    <row r="510">
      <c r="A510" s="29"/>
      <c r="B510" s="30"/>
      <c r="C510" s="31"/>
    </row>
    <row r="511">
      <c r="A511" s="29"/>
      <c r="B511" s="30"/>
      <c r="C511" s="31"/>
    </row>
    <row r="512">
      <c r="A512" s="29"/>
      <c r="B512" s="30"/>
      <c r="C512" s="31"/>
    </row>
    <row r="513">
      <c r="A513" s="29"/>
      <c r="B513" s="30"/>
      <c r="C513" s="31"/>
    </row>
    <row r="514">
      <c r="A514" s="29"/>
      <c r="B514" s="30"/>
      <c r="C514" s="31"/>
    </row>
    <row r="515">
      <c r="A515" s="29"/>
      <c r="B515" s="30"/>
      <c r="C515" s="31"/>
    </row>
    <row r="516">
      <c r="A516" s="29"/>
      <c r="B516" s="30"/>
      <c r="C516" s="31"/>
    </row>
    <row r="517">
      <c r="A517" s="29"/>
      <c r="B517" s="30"/>
      <c r="C517" s="31"/>
    </row>
    <row r="518">
      <c r="A518" s="29"/>
      <c r="B518" s="30"/>
      <c r="C518" s="31"/>
    </row>
    <row r="519">
      <c r="A519" s="29"/>
      <c r="B519" s="30"/>
      <c r="C519" s="31"/>
    </row>
    <row r="520">
      <c r="A520" s="29"/>
      <c r="B520" s="30"/>
      <c r="C520" s="31"/>
    </row>
    <row r="521">
      <c r="A521" s="29"/>
      <c r="B521" s="30"/>
      <c r="C521" s="31"/>
    </row>
    <row r="522">
      <c r="A522" s="29"/>
      <c r="B522" s="30"/>
      <c r="C522" s="31"/>
    </row>
    <row r="523">
      <c r="A523" s="29"/>
      <c r="B523" s="30"/>
      <c r="C523" s="31"/>
    </row>
    <row r="524">
      <c r="A524" s="29"/>
      <c r="B524" s="30"/>
      <c r="C524" s="31"/>
    </row>
    <row r="525">
      <c r="A525" s="29"/>
      <c r="B525" s="30"/>
      <c r="C525" s="31"/>
    </row>
    <row r="526">
      <c r="A526" s="29"/>
      <c r="B526" s="30"/>
      <c r="C526" s="31"/>
    </row>
    <row r="527">
      <c r="A527" s="29"/>
      <c r="B527" s="30"/>
      <c r="C527" s="31"/>
    </row>
    <row r="528">
      <c r="A528" s="29"/>
      <c r="B528" s="30"/>
      <c r="C528" s="31"/>
    </row>
    <row r="529">
      <c r="A529" s="29"/>
      <c r="B529" s="30"/>
      <c r="C529" s="31"/>
    </row>
    <row r="530">
      <c r="A530" s="29"/>
      <c r="B530" s="30"/>
      <c r="C530" s="31"/>
    </row>
    <row r="531">
      <c r="A531" s="29"/>
      <c r="B531" s="30"/>
      <c r="C531" s="31"/>
    </row>
    <row r="532">
      <c r="A532" s="29"/>
      <c r="B532" s="30"/>
      <c r="C532" s="31"/>
    </row>
    <row r="533">
      <c r="A533" s="29"/>
      <c r="B533" s="30"/>
      <c r="C533" s="31"/>
    </row>
    <row r="534">
      <c r="A534" s="29"/>
      <c r="B534" s="30"/>
      <c r="C534" s="31"/>
    </row>
    <row r="535">
      <c r="A535" s="29"/>
      <c r="B535" s="30"/>
      <c r="C535" s="31"/>
    </row>
    <row r="536">
      <c r="A536" s="29"/>
      <c r="B536" s="30"/>
      <c r="C536" s="31"/>
    </row>
    <row r="537">
      <c r="A537" s="29"/>
      <c r="B537" s="30"/>
      <c r="C537" s="31"/>
    </row>
    <row r="538">
      <c r="A538" s="29"/>
      <c r="B538" s="30"/>
      <c r="C538" s="31"/>
    </row>
    <row r="539">
      <c r="A539" s="29"/>
      <c r="B539" s="30"/>
      <c r="C539" s="31"/>
    </row>
    <row r="540">
      <c r="A540" s="29"/>
      <c r="B540" s="30"/>
      <c r="C540" s="31"/>
    </row>
    <row r="541">
      <c r="A541" s="29"/>
      <c r="B541" s="30"/>
      <c r="C541" s="31"/>
    </row>
    <row r="542">
      <c r="A542" s="29"/>
      <c r="B542" s="30"/>
      <c r="C542" s="31"/>
    </row>
    <row r="543">
      <c r="A543" s="29"/>
      <c r="B543" s="30"/>
      <c r="C543" s="31"/>
    </row>
    <row r="544">
      <c r="A544" s="29"/>
      <c r="B544" s="30"/>
      <c r="C544" s="31"/>
    </row>
    <row r="545">
      <c r="A545" s="29"/>
      <c r="B545" s="30"/>
      <c r="C545" s="31"/>
    </row>
    <row r="546">
      <c r="A546" s="29"/>
      <c r="B546" s="30"/>
      <c r="C546" s="31"/>
    </row>
    <row r="547">
      <c r="A547" s="29"/>
      <c r="B547" s="30"/>
      <c r="C547" s="31"/>
    </row>
    <row r="548">
      <c r="A548" s="29"/>
      <c r="B548" s="30"/>
      <c r="C548" s="31"/>
    </row>
    <row r="549">
      <c r="A549" s="29"/>
      <c r="B549" s="30"/>
      <c r="C549" s="31"/>
    </row>
    <row r="550">
      <c r="A550" s="29"/>
      <c r="B550" s="30"/>
      <c r="C550" s="31"/>
    </row>
    <row r="551">
      <c r="A551" s="29"/>
      <c r="B551" s="30"/>
      <c r="C551" s="31"/>
    </row>
    <row r="552">
      <c r="A552" s="29"/>
      <c r="B552" s="30"/>
      <c r="C552" s="31"/>
    </row>
    <row r="553">
      <c r="A553" s="29"/>
      <c r="B553" s="30"/>
      <c r="C553" s="31"/>
    </row>
    <row r="554">
      <c r="A554" s="29"/>
      <c r="B554" s="30"/>
      <c r="C554" s="31"/>
    </row>
    <row r="555">
      <c r="A555" s="29"/>
      <c r="B555" s="30"/>
      <c r="C555" s="31"/>
    </row>
    <row r="556">
      <c r="A556" s="29"/>
      <c r="B556" s="30"/>
      <c r="C556" s="31"/>
    </row>
    <row r="557">
      <c r="A557" s="29"/>
      <c r="B557" s="30"/>
      <c r="C557" s="31"/>
    </row>
    <row r="558">
      <c r="A558" s="29"/>
      <c r="B558" s="30"/>
      <c r="C558" s="31"/>
    </row>
    <row r="559">
      <c r="A559" s="29"/>
      <c r="B559" s="30"/>
      <c r="C559" s="31"/>
    </row>
    <row r="560">
      <c r="A560" s="29"/>
      <c r="B560" s="30"/>
      <c r="C560" s="31"/>
    </row>
    <row r="561">
      <c r="A561" s="29"/>
      <c r="B561" s="30"/>
      <c r="C561" s="31"/>
    </row>
    <row r="562">
      <c r="A562" s="29"/>
      <c r="B562" s="30"/>
      <c r="C562" s="31"/>
    </row>
    <row r="563">
      <c r="A563" s="29"/>
      <c r="B563" s="30"/>
      <c r="C563" s="31"/>
    </row>
    <row r="564">
      <c r="A564" s="29"/>
      <c r="B564" s="30"/>
      <c r="C564" s="31"/>
    </row>
    <row r="565">
      <c r="A565" s="29"/>
      <c r="B565" s="30"/>
      <c r="C565" s="31"/>
    </row>
    <row r="566">
      <c r="A566" s="29"/>
      <c r="B566" s="30"/>
      <c r="C566" s="31"/>
    </row>
    <row r="567">
      <c r="A567" s="29"/>
      <c r="B567" s="30"/>
      <c r="C567" s="31"/>
    </row>
    <row r="568">
      <c r="A568" s="29"/>
      <c r="B568" s="30"/>
      <c r="C568" s="31"/>
    </row>
    <row r="569">
      <c r="A569" s="29"/>
      <c r="B569" s="30"/>
      <c r="C569" s="31"/>
    </row>
    <row r="570">
      <c r="A570" s="29"/>
      <c r="B570" s="30"/>
      <c r="C570" s="31"/>
    </row>
    <row r="571">
      <c r="A571" s="29"/>
      <c r="B571" s="30"/>
      <c r="C571" s="31"/>
    </row>
    <row r="572">
      <c r="A572" s="29"/>
      <c r="B572" s="30"/>
      <c r="C572" s="31"/>
    </row>
    <row r="573">
      <c r="A573" s="29"/>
      <c r="B573" s="30"/>
      <c r="C573" s="31"/>
    </row>
    <row r="574">
      <c r="A574" s="29"/>
      <c r="B574" s="30"/>
      <c r="C574" s="31"/>
    </row>
    <row r="575">
      <c r="A575" s="29"/>
      <c r="B575" s="30"/>
      <c r="C575" s="31"/>
    </row>
    <row r="576">
      <c r="A576" s="29"/>
      <c r="B576" s="30"/>
      <c r="C576" s="31"/>
    </row>
    <row r="577">
      <c r="A577" s="29"/>
      <c r="B577" s="30"/>
      <c r="C577" s="31"/>
    </row>
    <row r="578">
      <c r="A578" s="29"/>
      <c r="B578" s="30"/>
      <c r="C578" s="31"/>
    </row>
    <row r="579">
      <c r="A579" s="29"/>
      <c r="B579" s="30"/>
      <c r="C579" s="31"/>
    </row>
    <row r="580">
      <c r="A580" s="29"/>
      <c r="B580" s="30"/>
      <c r="C580" s="31"/>
    </row>
    <row r="581">
      <c r="A581" s="29"/>
      <c r="B581" s="30"/>
      <c r="C581" s="31"/>
    </row>
    <row r="582">
      <c r="A582" s="29"/>
      <c r="B582" s="30"/>
      <c r="C582" s="31"/>
    </row>
    <row r="583">
      <c r="A583" s="29"/>
      <c r="B583" s="30"/>
      <c r="C583" s="31"/>
    </row>
    <row r="584">
      <c r="A584" s="29"/>
      <c r="B584" s="30"/>
      <c r="C584" s="31"/>
    </row>
    <row r="585">
      <c r="A585" s="29"/>
      <c r="B585" s="30"/>
      <c r="C585" s="31"/>
    </row>
    <row r="586">
      <c r="A586" s="29"/>
      <c r="B586" s="30"/>
      <c r="C586" s="31"/>
    </row>
    <row r="587">
      <c r="A587" s="29"/>
      <c r="B587" s="30"/>
      <c r="C587" s="31"/>
    </row>
    <row r="588">
      <c r="A588" s="29"/>
      <c r="B588" s="30"/>
      <c r="C588" s="31"/>
    </row>
    <row r="589">
      <c r="A589" s="29"/>
      <c r="B589" s="30"/>
      <c r="C589" s="31"/>
    </row>
    <row r="590">
      <c r="A590" s="29"/>
      <c r="B590" s="30"/>
      <c r="C590" s="31"/>
    </row>
    <row r="591">
      <c r="A591" s="29"/>
      <c r="B591" s="30"/>
      <c r="C591" s="31"/>
    </row>
    <row r="592">
      <c r="A592" s="29"/>
      <c r="B592" s="30"/>
      <c r="C592" s="31"/>
    </row>
    <row r="593">
      <c r="A593" s="29"/>
      <c r="B593" s="30"/>
      <c r="C593" s="31"/>
    </row>
    <row r="594">
      <c r="A594" s="29"/>
      <c r="B594" s="30"/>
      <c r="C594" s="31"/>
    </row>
    <row r="595">
      <c r="A595" s="29"/>
      <c r="B595" s="30"/>
      <c r="C595" s="31"/>
    </row>
    <row r="596">
      <c r="A596" s="29"/>
      <c r="B596" s="30"/>
      <c r="C596" s="31"/>
    </row>
    <row r="597">
      <c r="A597" s="29"/>
      <c r="B597" s="30"/>
      <c r="C597" s="31"/>
    </row>
    <row r="598">
      <c r="A598" s="29"/>
      <c r="B598" s="30"/>
      <c r="C598" s="31"/>
    </row>
    <row r="599">
      <c r="A599" s="29"/>
      <c r="B599" s="30"/>
      <c r="C599" s="31"/>
    </row>
    <row r="600">
      <c r="A600" s="29"/>
      <c r="B600" s="30"/>
      <c r="C600" s="31"/>
    </row>
    <row r="601">
      <c r="A601" s="29"/>
      <c r="B601" s="30"/>
      <c r="C601" s="31"/>
    </row>
    <row r="602">
      <c r="A602" s="29"/>
      <c r="B602" s="30"/>
      <c r="C602" s="31"/>
    </row>
    <row r="603">
      <c r="A603" s="29"/>
      <c r="B603" s="30"/>
      <c r="C603" s="31"/>
    </row>
    <row r="604">
      <c r="A604" s="29"/>
      <c r="B604" s="30"/>
      <c r="C604" s="31"/>
    </row>
    <row r="605">
      <c r="A605" s="29"/>
      <c r="B605" s="30"/>
      <c r="C605" s="31"/>
    </row>
    <row r="606">
      <c r="A606" s="29"/>
      <c r="B606" s="30"/>
      <c r="C606" s="31"/>
    </row>
    <row r="607">
      <c r="A607" s="29"/>
      <c r="B607" s="30"/>
      <c r="C607" s="31"/>
    </row>
    <row r="608">
      <c r="A608" s="29"/>
      <c r="B608" s="30"/>
      <c r="C608" s="31"/>
    </row>
    <row r="609">
      <c r="A609" s="29"/>
      <c r="B609" s="30"/>
      <c r="C609" s="31"/>
    </row>
    <row r="610">
      <c r="A610" s="29"/>
      <c r="B610" s="30"/>
      <c r="C610" s="31"/>
    </row>
    <row r="611">
      <c r="A611" s="29"/>
      <c r="B611" s="30"/>
      <c r="C611" s="31"/>
    </row>
    <row r="612">
      <c r="A612" s="29"/>
      <c r="B612" s="30"/>
      <c r="C612" s="31"/>
    </row>
    <row r="613">
      <c r="A613" s="29"/>
      <c r="B613" s="30"/>
      <c r="C613" s="31"/>
    </row>
    <row r="614">
      <c r="A614" s="29"/>
      <c r="B614" s="30"/>
      <c r="C614" s="31"/>
    </row>
    <row r="615">
      <c r="A615" s="29"/>
      <c r="B615" s="30"/>
      <c r="C615" s="31"/>
    </row>
    <row r="616">
      <c r="A616" s="29"/>
      <c r="B616" s="30"/>
      <c r="C616" s="31"/>
    </row>
    <row r="617">
      <c r="A617" s="29"/>
      <c r="B617" s="30"/>
      <c r="C617" s="31"/>
    </row>
    <row r="618">
      <c r="A618" s="29"/>
      <c r="B618" s="30"/>
      <c r="C618" s="31"/>
    </row>
    <row r="619">
      <c r="A619" s="29"/>
      <c r="B619" s="30"/>
      <c r="C619" s="31"/>
    </row>
    <row r="620">
      <c r="A620" s="29"/>
      <c r="B620" s="30"/>
      <c r="C620" s="31"/>
    </row>
    <row r="621">
      <c r="A621" s="29"/>
      <c r="B621" s="30"/>
      <c r="C621" s="31"/>
    </row>
    <row r="622">
      <c r="A622" s="29"/>
      <c r="B622" s="30"/>
      <c r="C622" s="31"/>
    </row>
    <row r="623">
      <c r="A623" s="29"/>
      <c r="B623" s="30"/>
      <c r="C623" s="31"/>
    </row>
    <row r="624">
      <c r="A624" s="29"/>
      <c r="B624" s="30"/>
      <c r="C624" s="31"/>
    </row>
    <row r="625">
      <c r="A625" s="29"/>
      <c r="B625" s="30"/>
      <c r="C625" s="31"/>
    </row>
    <row r="626">
      <c r="A626" s="29"/>
      <c r="B626" s="30"/>
      <c r="C626" s="31"/>
    </row>
    <row r="627">
      <c r="A627" s="29"/>
      <c r="B627" s="30"/>
      <c r="C627" s="31"/>
    </row>
    <row r="628">
      <c r="A628" s="29"/>
      <c r="B628" s="30"/>
      <c r="C628" s="31"/>
    </row>
    <row r="629">
      <c r="A629" s="29"/>
      <c r="B629" s="30"/>
      <c r="C629" s="31"/>
    </row>
    <row r="630">
      <c r="A630" s="29"/>
      <c r="B630" s="30"/>
      <c r="C630" s="31"/>
    </row>
    <row r="631">
      <c r="A631" s="29"/>
      <c r="B631" s="30"/>
      <c r="C631" s="31"/>
    </row>
    <row r="632">
      <c r="A632" s="29"/>
      <c r="B632" s="30"/>
      <c r="C632" s="31"/>
    </row>
    <row r="633">
      <c r="A633" s="29"/>
      <c r="B633" s="30"/>
      <c r="C633" s="31"/>
    </row>
    <row r="634">
      <c r="A634" s="29"/>
      <c r="B634" s="30"/>
      <c r="C634" s="31"/>
    </row>
    <row r="635">
      <c r="A635" s="29"/>
      <c r="B635" s="30"/>
      <c r="C635" s="31"/>
    </row>
    <row r="636">
      <c r="A636" s="29"/>
      <c r="B636" s="30"/>
      <c r="C636" s="31"/>
    </row>
    <row r="637">
      <c r="A637" s="29"/>
      <c r="B637" s="30"/>
      <c r="C637" s="31"/>
    </row>
    <row r="638">
      <c r="A638" s="29"/>
      <c r="B638" s="30"/>
      <c r="C638" s="31"/>
    </row>
    <row r="639">
      <c r="A639" s="29"/>
      <c r="B639" s="30"/>
      <c r="C639" s="31"/>
    </row>
    <row r="640">
      <c r="A640" s="29"/>
      <c r="B640" s="30"/>
      <c r="C640" s="31"/>
    </row>
    <row r="641">
      <c r="A641" s="29"/>
      <c r="B641" s="30"/>
      <c r="C641" s="31"/>
    </row>
    <row r="642">
      <c r="A642" s="29"/>
      <c r="B642" s="30"/>
      <c r="C642" s="31"/>
    </row>
    <row r="643">
      <c r="A643" s="29"/>
      <c r="B643" s="30"/>
      <c r="C643" s="31"/>
    </row>
    <row r="644">
      <c r="A644" s="29"/>
      <c r="B644" s="30"/>
      <c r="C644" s="31"/>
    </row>
    <row r="645">
      <c r="A645" s="29"/>
      <c r="B645" s="30"/>
      <c r="C645" s="31"/>
    </row>
    <row r="646">
      <c r="A646" s="29"/>
      <c r="B646" s="30"/>
      <c r="C646" s="31"/>
    </row>
    <row r="647">
      <c r="A647" s="29"/>
      <c r="B647" s="30"/>
      <c r="C647" s="31"/>
    </row>
    <row r="648">
      <c r="A648" s="29"/>
      <c r="B648" s="30"/>
      <c r="C648" s="31"/>
    </row>
    <row r="649">
      <c r="A649" s="29"/>
      <c r="B649" s="30"/>
      <c r="C649" s="31"/>
    </row>
    <row r="650">
      <c r="A650" s="29"/>
      <c r="B650" s="30"/>
      <c r="C650" s="31"/>
    </row>
    <row r="651">
      <c r="A651" s="29"/>
      <c r="B651" s="30"/>
      <c r="C651" s="31"/>
    </row>
    <row r="652">
      <c r="A652" s="29"/>
      <c r="B652" s="30"/>
      <c r="C652" s="31"/>
    </row>
    <row r="653">
      <c r="A653" s="29"/>
      <c r="B653" s="30"/>
      <c r="C653" s="31"/>
    </row>
    <row r="654">
      <c r="A654" s="29"/>
      <c r="B654" s="30"/>
      <c r="C654" s="31"/>
    </row>
    <row r="655">
      <c r="A655" s="29"/>
      <c r="B655" s="30"/>
      <c r="C655" s="31"/>
    </row>
    <row r="656">
      <c r="A656" s="29"/>
      <c r="B656" s="30"/>
      <c r="C656" s="31"/>
    </row>
    <row r="657">
      <c r="A657" s="29"/>
      <c r="B657" s="30"/>
      <c r="C657" s="31"/>
    </row>
    <row r="658">
      <c r="A658" s="29"/>
      <c r="B658" s="30"/>
      <c r="C658" s="31"/>
    </row>
    <row r="659">
      <c r="A659" s="29"/>
      <c r="B659" s="30"/>
      <c r="C659" s="31"/>
    </row>
    <row r="660">
      <c r="A660" s="29"/>
      <c r="B660" s="30"/>
      <c r="C660" s="31"/>
    </row>
    <row r="661">
      <c r="A661" s="29"/>
      <c r="B661" s="30"/>
      <c r="C661" s="31"/>
    </row>
    <row r="662">
      <c r="A662" s="29"/>
      <c r="B662" s="30"/>
      <c r="C662" s="31"/>
    </row>
    <row r="663">
      <c r="A663" s="29"/>
      <c r="B663" s="30"/>
      <c r="C663" s="31"/>
    </row>
    <row r="664">
      <c r="A664" s="29"/>
      <c r="B664" s="30"/>
      <c r="C664" s="31"/>
    </row>
    <row r="665">
      <c r="A665" s="29"/>
      <c r="B665" s="30"/>
      <c r="C665" s="31"/>
    </row>
    <row r="666">
      <c r="A666" s="29"/>
      <c r="B666" s="30"/>
      <c r="C666" s="31"/>
    </row>
    <row r="667">
      <c r="A667" s="29"/>
      <c r="B667" s="30"/>
      <c r="C667" s="31"/>
    </row>
    <row r="668">
      <c r="A668" s="29"/>
      <c r="B668" s="30"/>
      <c r="C668" s="31"/>
    </row>
    <row r="669">
      <c r="A669" s="29"/>
      <c r="B669" s="30"/>
      <c r="C669" s="31"/>
    </row>
    <row r="670">
      <c r="A670" s="29"/>
      <c r="B670" s="30"/>
      <c r="C670" s="31"/>
    </row>
    <row r="671">
      <c r="A671" s="29"/>
      <c r="B671" s="30"/>
      <c r="C671" s="31"/>
    </row>
    <row r="672">
      <c r="A672" s="29"/>
      <c r="B672" s="30"/>
      <c r="C672" s="31"/>
    </row>
    <row r="673">
      <c r="A673" s="29"/>
      <c r="B673" s="30"/>
      <c r="C673" s="31"/>
    </row>
    <row r="674">
      <c r="A674" s="29"/>
      <c r="B674" s="30"/>
      <c r="C674" s="31"/>
    </row>
    <row r="675">
      <c r="A675" s="29"/>
      <c r="B675" s="30"/>
      <c r="C675" s="31"/>
    </row>
    <row r="676">
      <c r="A676" s="29"/>
      <c r="B676" s="30"/>
      <c r="C676" s="31"/>
    </row>
    <row r="677">
      <c r="A677" s="29"/>
      <c r="B677" s="30"/>
      <c r="C677" s="31"/>
    </row>
    <row r="678">
      <c r="A678" s="29"/>
      <c r="B678" s="30"/>
      <c r="C678" s="31"/>
    </row>
    <row r="679">
      <c r="A679" s="29"/>
      <c r="B679" s="30"/>
      <c r="C679" s="31"/>
    </row>
    <row r="680">
      <c r="A680" s="29"/>
      <c r="B680" s="30"/>
      <c r="C680" s="31"/>
    </row>
    <row r="681">
      <c r="A681" s="29"/>
      <c r="B681" s="30"/>
      <c r="C681" s="31"/>
    </row>
    <row r="682">
      <c r="A682" s="29"/>
      <c r="B682" s="30"/>
      <c r="C682" s="31"/>
    </row>
    <row r="683">
      <c r="A683" s="29"/>
      <c r="B683" s="30"/>
      <c r="C683" s="31"/>
    </row>
    <row r="684">
      <c r="A684" s="29"/>
      <c r="B684" s="30"/>
      <c r="C684" s="31"/>
    </row>
    <row r="685">
      <c r="A685" s="29"/>
      <c r="B685" s="30"/>
      <c r="C685" s="31"/>
    </row>
    <row r="686">
      <c r="A686" s="29"/>
      <c r="B686" s="30"/>
      <c r="C686" s="31"/>
    </row>
    <row r="687">
      <c r="A687" s="29"/>
      <c r="B687" s="30"/>
      <c r="C687" s="31"/>
    </row>
    <row r="688">
      <c r="A688" s="29"/>
      <c r="B688" s="30"/>
      <c r="C688" s="31"/>
    </row>
    <row r="689">
      <c r="A689" s="29"/>
      <c r="B689" s="30"/>
      <c r="C689" s="31"/>
    </row>
    <row r="690">
      <c r="A690" s="29"/>
      <c r="B690" s="30"/>
      <c r="C690" s="31"/>
    </row>
    <row r="691">
      <c r="A691" s="29"/>
      <c r="B691" s="30"/>
      <c r="C691" s="31"/>
    </row>
    <row r="692">
      <c r="A692" s="29"/>
      <c r="B692" s="30"/>
      <c r="C692" s="31"/>
    </row>
    <row r="693">
      <c r="A693" s="29"/>
      <c r="B693" s="30"/>
      <c r="C693" s="31"/>
    </row>
    <row r="694">
      <c r="A694" s="29"/>
      <c r="B694" s="30"/>
      <c r="C694" s="31"/>
    </row>
    <row r="695">
      <c r="A695" s="29"/>
      <c r="B695" s="30"/>
      <c r="C695" s="31"/>
    </row>
    <row r="696">
      <c r="A696" s="29"/>
      <c r="B696" s="30"/>
      <c r="C696" s="31"/>
    </row>
    <row r="697">
      <c r="A697" s="29"/>
      <c r="B697" s="30"/>
      <c r="C697" s="31"/>
    </row>
    <row r="698">
      <c r="A698" s="29"/>
      <c r="B698" s="30"/>
      <c r="C698" s="31"/>
    </row>
    <row r="699">
      <c r="A699" s="29"/>
      <c r="B699" s="30"/>
      <c r="C699" s="31"/>
    </row>
    <row r="700">
      <c r="A700" s="29"/>
      <c r="B700" s="30"/>
      <c r="C700" s="31"/>
    </row>
    <row r="701">
      <c r="A701" s="29"/>
      <c r="B701" s="30"/>
      <c r="C701" s="31"/>
    </row>
    <row r="702">
      <c r="A702" s="29"/>
      <c r="B702" s="30"/>
      <c r="C702" s="31"/>
    </row>
    <row r="703">
      <c r="A703" s="29"/>
      <c r="B703" s="30"/>
      <c r="C703" s="31"/>
    </row>
    <row r="704">
      <c r="A704" s="29"/>
      <c r="B704" s="30"/>
      <c r="C704" s="31"/>
    </row>
    <row r="705">
      <c r="A705" s="29"/>
      <c r="B705" s="30"/>
      <c r="C705" s="31"/>
    </row>
    <row r="706">
      <c r="A706" s="29"/>
      <c r="B706" s="30"/>
      <c r="C706" s="31"/>
    </row>
    <row r="707">
      <c r="A707" s="29"/>
      <c r="B707" s="30"/>
      <c r="C707" s="31"/>
    </row>
    <row r="708">
      <c r="A708" s="29"/>
      <c r="B708" s="30"/>
      <c r="C708" s="31"/>
    </row>
    <row r="709">
      <c r="A709" s="29"/>
      <c r="B709" s="30"/>
      <c r="C709" s="31"/>
    </row>
    <row r="710">
      <c r="A710" s="29"/>
      <c r="B710" s="30"/>
      <c r="C710" s="31"/>
    </row>
    <row r="711">
      <c r="A711" s="29"/>
      <c r="B711" s="30"/>
      <c r="C711" s="31"/>
    </row>
    <row r="712">
      <c r="A712" s="29"/>
      <c r="B712" s="30"/>
      <c r="C712" s="31"/>
    </row>
    <row r="713">
      <c r="A713" s="29"/>
      <c r="B713" s="30"/>
      <c r="C713" s="31"/>
    </row>
    <row r="714">
      <c r="A714" s="29"/>
      <c r="B714" s="30"/>
      <c r="C714" s="31"/>
    </row>
    <row r="715">
      <c r="A715" s="29"/>
      <c r="B715" s="30"/>
      <c r="C715" s="31"/>
    </row>
    <row r="716">
      <c r="A716" s="29"/>
      <c r="B716" s="30"/>
      <c r="C716" s="31"/>
    </row>
    <row r="717">
      <c r="A717" s="29"/>
      <c r="B717" s="30"/>
      <c r="C717" s="31"/>
    </row>
    <row r="718">
      <c r="A718" s="29"/>
      <c r="B718" s="30"/>
      <c r="C718" s="31"/>
    </row>
    <row r="719">
      <c r="A719" s="29"/>
      <c r="B719" s="30"/>
      <c r="C719" s="31"/>
    </row>
    <row r="720">
      <c r="A720" s="29"/>
      <c r="B720" s="30"/>
      <c r="C720" s="31"/>
    </row>
    <row r="721">
      <c r="A721" s="29"/>
      <c r="B721" s="30"/>
      <c r="C721" s="31"/>
    </row>
    <row r="722">
      <c r="A722" s="29"/>
      <c r="B722" s="30"/>
      <c r="C722" s="31"/>
    </row>
    <row r="723">
      <c r="A723" s="29"/>
      <c r="B723" s="30"/>
      <c r="C723" s="31"/>
    </row>
    <row r="724">
      <c r="A724" s="29"/>
      <c r="B724" s="30"/>
      <c r="C724" s="31"/>
    </row>
    <row r="725">
      <c r="A725" s="29"/>
      <c r="B725" s="30"/>
      <c r="C725" s="31"/>
    </row>
    <row r="726">
      <c r="A726" s="29"/>
      <c r="B726" s="30"/>
      <c r="C726" s="31"/>
    </row>
    <row r="727">
      <c r="A727" s="29"/>
      <c r="B727" s="30"/>
      <c r="C727" s="31"/>
    </row>
    <row r="728">
      <c r="A728" s="29"/>
      <c r="B728" s="30"/>
      <c r="C728" s="31"/>
    </row>
    <row r="729">
      <c r="A729" s="29"/>
      <c r="B729" s="30"/>
      <c r="C729" s="31"/>
    </row>
    <row r="730">
      <c r="A730" s="29"/>
      <c r="B730" s="30"/>
      <c r="C730" s="31"/>
    </row>
    <row r="731">
      <c r="A731" s="29"/>
      <c r="B731" s="30"/>
      <c r="C731" s="31"/>
    </row>
    <row r="732">
      <c r="A732" s="29"/>
      <c r="B732" s="30"/>
      <c r="C732" s="31"/>
    </row>
    <row r="733">
      <c r="A733" s="29"/>
      <c r="B733" s="30"/>
      <c r="C733" s="31"/>
    </row>
    <row r="734">
      <c r="A734" s="29"/>
      <c r="B734" s="30"/>
      <c r="C734" s="31"/>
    </row>
    <row r="735">
      <c r="A735" s="29"/>
      <c r="B735" s="30"/>
      <c r="C735" s="31"/>
    </row>
    <row r="736">
      <c r="A736" s="29"/>
      <c r="B736" s="30"/>
      <c r="C736" s="31"/>
    </row>
    <row r="737">
      <c r="A737" s="29"/>
      <c r="B737" s="30"/>
      <c r="C737" s="31"/>
    </row>
    <row r="738">
      <c r="A738" s="29"/>
      <c r="B738" s="30"/>
      <c r="C738" s="31"/>
    </row>
    <row r="739">
      <c r="A739" s="29"/>
      <c r="B739" s="30"/>
      <c r="C739" s="31"/>
    </row>
    <row r="740">
      <c r="A740" s="29"/>
      <c r="B740" s="30"/>
      <c r="C740" s="31"/>
    </row>
    <row r="741">
      <c r="A741" s="29"/>
      <c r="B741" s="30"/>
      <c r="C741" s="31"/>
    </row>
    <row r="742">
      <c r="A742" s="29"/>
      <c r="B742" s="30"/>
      <c r="C742" s="31"/>
    </row>
    <row r="743">
      <c r="A743" s="29"/>
      <c r="B743" s="30"/>
      <c r="C743" s="31"/>
    </row>
    <row r="744">
      <c r="A744" s="29"/>
      <c r="B744" s="30"/>
      <c r="C744" s="31"/>
    </row>
    <row r="745">
      <c r="A745" s="29"/>
      <c r="B745" s="30"/>
      <c r="C745" s="31"/>
    </row>
    <row r="746">
      <c r="A746" s="29"/>
      <c r="B746" s="30"/>
      <c r="C746" s="31"/>
    </row>
    <row r="747">
      <c r="A747" s="29"/>
      <c r="B747" s="30"/>
      <c r="C747" s="31"/>
    </row>
    <row r="748">
      <c r="A748" s="29"/>
      <c r="B748" s="30"/>
      <c r="C748" s="31"/>
    </row>
    <row r="749">
      <c r="A749" s="29"/>
      <c r="B749" s="30"/>
      <c r="C749" s="31"/>
    </row>
    <row r="750">
      <c r="A750" s="29"/>
      <c r="B750" s="30"/>
      <c r="C750" s="31"/>
    </row>
    <row r="751">
      <c r="A751" s="29"/>
      <c r="B751" s="30"/>
      <c r="C751" s="31"/>
    </row>
    <row r="752">
      <c r="A752" s="29"/>
      <c r="B752" s="30"/>
      <c r="C752" s="31"/>
    </row>
    <row r="753">
      <c r="A753" s="29"/>
      <c r="B753" s="30"/>
      <c r="C753" s="31"/>
    </row>
    <row r="754">
      <c r="A754" s="29"/>
      <c r="B754" s="30"/>
      <c r="C754" s="31"/>
    </row>
    <row r="755">
      <c r="A755" s="29"/>
      <c r="B755" s="30"/>
      <c r="C755" s="31"/>
    </row>
    <row r="756">
      <c r="A756" s="29"/>
      <c r="B756" s="30"/>
      <c r="C756" s="31"/>
    </row>
    <row r="757">
      <c r="A757" s="29"/>
      <c r="B757" s="30"/>
      <c r="C757" s="31"/>
    </row>
    <row r="758">
      <c r="A758" s="29"/>
      <c r="B758" s="30"/>
      <c r="C758" s="31"/>
    </row>
    <row r="759">
      <c r="A759" s="29"/>
      <c r="B759" s="30"/>
      <c r="C759" s="31"/>
    </row>
    <row r="760">
      <c r="A760" s="29"/>
      <c r="B760" s="30"/>
      <c r="C760" s="31"/>
    </row>
    <row r="761">
      <c r="A761" s="29"/>
      <c r="B761" s="30"/>
      <c r="C761" s="31"/>
    </row>
    <row r="762">
      <c r="A762" s="29"/>
      <c r="B762" s="30"/>
      <c r="C762" s="31"/>
    </row>
    <row r="763">
      <c r="A763" s="29"/>
      <c r="B763" s="30"/>
      <c r="C763" s="31"/>
    </row>
    <row r="764">
      <c r="A764" s="29"/>
      <c r="B764" s="30"/>
      <c r="C764" s="31"/>
    </row>
    <row r="765">
      <c r="A765" s="29"/>
      <c r="B765" s="30"/>
      <c r="C765" s="31"/>
    </row>
    <row r="766">
      <c r="A766" s="29"/>
      <c r="B766" s="30"/>
      <c r="C766" s="31"/>
    </row>
    <row r="767">
      <c r="A767" s="29"/>
      <c r="B767" s="30"/>
      <c r="C767" s="31"/>
    </row>
    <row r="768">
      <c r="A768" s="29"/>
      <c r="B768" s="30"/>
      <c r="C768" s="31"/>
    </row>
    <row r="769">
      <c r="A769" s="29"/>
      <c r="B769" s="30"/>
      <c r="C769" s="31"/>
    </row>
    <row r="770">
      <c r="A770" s="29"/>
      <c r="B770" s="30"/>
      <c r="C770" s="31"/>
    </row>
    <row r="771">
      <c r="A771" s="29"/>
      <c r="B771" s="30"/>
      <c r="C771" s="31"/>
    </row>
    <row r="772">
      <c r="A772" s="29"/>
      <c r="B772" s="30"/>
      <c r="C772" s="31"/>
    </row>
    <row r="773">
      <c r="A773" s="29"/>
      <c r="B773" s="30"/>
      <c r="C773" s="31"/>
    </row>
    <row r="774">
      <c r="A774" s="29"/>
      <c r="B774" s="30"/>
      <c r="C774" s="31"/>
    </row>
    <row r="775">
      <c r="A775" s="29"/>
      <c r="B775" s="30"/>
      <c r="C775" s="31"/>
    </row>
    <row r="776">
      <c r="A776" s="29"/>
      <c r="B776" s="30"/>
      <c r="C776" s="31"/>
    </row>
    <row r="777">
      <c r="A777" s="29"/>
      <c r="B777" s="30"/>
      <c r="C777" s="31"/>
    </row>
    <row r="778">
      <c r="A778" s="29"/>
      <c r="B778" s="30"/>
      <c r="C778" s="31"/>
    </row>
    <row r="779">
      <c r="A779" s="29"/>
      <c r="B779" s="30"/>
      <c r="C779" s="31"/>
    </row>
    <row r="780">
      <c r="A780" s="29"/>
      <c r="B780" s="30"/>
      <c r="C780" s="31"/>
    </row>
    <row r="781">
      <c r="A781" s="29"/>
      <c r="B781" s="30"/>
      <c r="C781" s="31"/>
    </row>
    <row r="782">
      <c r="A782" s="29"/>
      <c r="B782" s="30"/>
      <c r="C782" s="31"/>
    </row>
    <row r="783">
      <c r="A783" s="29"/>
      <c r="B783" s="30"/>
      <c r="C783" s="31"/>
    </row>
    <row r="784">
      <c r="A784" s="29"/>
      <c r="B784" s="30"/>
      <c r="C784" s="31"/>
    </row>
    <row r="785">
      <c r="A785" s="29"/>
      <c r="B785" s="30"/>
      <c r="C785" s="31"/>
    </row>
    <row r="786">
      <c r="A786" s="29"/>
      <c r="B786" s="30"/>
      <c r="C786" s="31"/>
    </row>
    <row r="787">
      <c r="A787" s="29"/>
      <c r="B787" s="30"/>
      <c r="C787" s="31"/>
    </row>
    <row r="788">
      <c r="A788" s="29"/>
      <c r="B788" s="30"/>
      <c r="C788" s="31"/>
    </row>
    <row r="789">
      <c r="A789" s="29"/>
      <c r="B789" s="30"/>
      <c r="C789" s="31"/>
    </row>
    <row r="790">
      <c r="A790" s="29"/>
      <c r="B790" s="30"/>
      <c r="C790" s="31"/>
    </row>
    <row r="791">
      <c r="A791" s="29"/>
      <c r="B791" s="30"/>
      <c r="C791" s="31"/>
    </row>
    <row r="792">
      <c r="A792" s="29"/>
      <c r="B792" s="30"/>
      <c r="C792" s="31"/>
    </row>
    <row r="793">
      <c r="A793" s="29"/>
      <c r="B793" s="30"/>
      <c r="C793" s="31"/>
    </row>
    <row r="794">
      <c r="A794" s="29"/>
      <c r="B794" s="30"/>
      <c r="C794" s="31"/>
    </row>
    <row r="795">
      <c r="A795" s="29"/>
      <c r="B795" s="30"/>
      <c r="C795" s="31"/>
    </row>
    <row r="796">
      <c r="A796" s="29"/>
      <c r="B796" s="30"/>
      <c r="C796" s="31"/>
    </row>
    <row r="797">
      <c r="A797" s="29"/>
      <c r="B797" s="30"/>
      <c r="C797" s="31"/>
    </row>
    <row r="798">
      <c r="A798" s="29"/>
      <c r="B798" s="30"/>
      <c r="C798" s="31"/>
    </row>
    <row r="799">
      <c r="A799" s="29"/>
      <c r="B799" s="30"/>
      <c r="C799" s="31"/>
    </row>
    <row r="800">
      <c r="A800" s="29"/>
      <c r="B800" s="30"/>
      <c r="C800" s="31"/>
    </row>
    <row r="801">
      <c r="A801" s="29"/>
      <c r="B801" s="30"/>
      <c r="C801" s="31"/>
    </row>
    <row r="802">
      <c r="A802" s="29"/>
      <c r="B802" s="30"/>
      <c r="C802" s="31"/>
    </row>
    <row r="803">
      <c r="A803" s="29"/>
      <c r="B803" s="30"/>
      <c r="C803" s="31"/>
    </row>
    <row r="804">
      <c r="A804" s="29"/>
      <c r="B804" s="30"/>
      <c r="C804" s="31"/>
    </row>
    <row r="805">
      <c r="A805" s="29"/>
      <c r="B805" s="30"/>
      <c r="C805" s="31"/>
    </row>
    <row r="806">
      <c r="A806" s="29"/>
      <c r="B806" s="30"/>
      <c r="C806" s="31"/>
    </row>
    <row r="807">
      <c r="A807" s="29"/>
      <c r="B807" s="30"/>
      <c r="C807" s="31"/>
    </row>
    <row r="808">
      <c r="A808" s="29"/>
      <c r="B808" s="30"/>
      <c r="C808" s="31"/>
    </row>
    <row r="809">
      <c r="A809" s="29"/>
      <c r="B809" s="30"/>
      <c r="C809" s="31"/>
    </row>
    <row r="810">
      <c r="A810" s="29"/>
      <c r="B810" s="30"/>
      <c r="C810" s="31"/>
    </row>
    <row r="811">
      <c r="A811" s="29"/>
      <c r="B811" s="30"/>
      <c r="C811" s="31"/>
    </row>
    <row r="812">
      <c r="A812" s="29"/>
      <c r="B812" s="30"/>
      <c r="C812" s="31"/>
    </row>
    <row r="813">
      <c r="A813" s="29"/>
      <c r="B813" s="30"/>
      <c r="C813" s="31"/>
    </row>
    <row r="814">
      <c r="A814" s="29"/>
      <c r="B814" s="30"/>
      <c r="C814" s="31"/>
    </row>
    <row r="815">
      <c r="A815" s="29"/>
      <c r="B815" s="30"/>
      <c r="C815" s="31"/>
    </row>
    <row r="816">
      <c r="A816" s="29"/>
      <c r="B816" s="30"/>
      <c r="C816" s="31"/>
    </row>
    <row r="817">
      <c r="A817" s="29"/>
      <c r="B817" s="30"/>
      <c r="C817" s="31"/>
    </row>
    <row r="818">
      <c r="A818" s="29"/>
      <c r="B818" s="30"/>
      <c r="C818" s="31"/>
    </row>
    <row r="819">
      <c r="A819" s="29"/>
      <c r="B819" s="30"/>
      <c r="C819" s="31"/>
    </row>
    <row r="820">
      <c r="A820" s="29"/>
      <c r="B820" s="30"/>
      <c r="C820" s="31"/>
    </row>
    <row r="821">
      <c r="A821" s="29"/>
      <c r="B821" s="30"/>
      <c r="C821" s="31"/>
    </row>
    <row r="822">
      <c r="A822" s="29"/>
      <c r="B822" s="30"/>
      <c r="C822" s="31"/>
    </row>
    <row r="823">
      <c r="A823" s="29"/>
      <c r="B823" s="30"/>
      <c r="C823" s="31"/>
    </row>
    <row r="824">
      <c r="A824" s="29"/>
      <c r="B824" s="30"/>
      <c r="C824" s="31"/>
    </row>
    <row r="825">
      <c r="A825" s="29"/>
      <c r="B825" s="30"/>
      <c r="C825" s="31"/>
    </row>
    <row r="826">
      <c r="A826" s="29"/>
      <c r="B826" s="30"/>
      <c r="C826" s="31"/>
    </row>
    <row r="827">
      <c r="A827" s="29"/>
      <c r="B827" s="30"/>
      <c r="C827" s="31"/>
    </row>
    <row r="828">
      <c r="A828" s="29"/>
      <c r="B828" s="30"/>
      <c r="C828" s="31"/>
    </row>
    <row r="829">
      <c r="A829" s="29"/>
      <c r="B829" s="30"/>
      <c r="C829" s="31"/>
    </row>
    <row r="830">
      <c r="A830" s="29"/>
      <c r="B830" s="30"/>
      <c r="C830" s="31"/>
    </row>
    <row r="831">
      <c r="A831" s="29"/>
      <c r="B831" s="30"/>
      <c r="C831" s="31"/>
    </row>
    <row r="832">
      <c r="A832" s="29"/>
      <c r="B832" s="30"/>
      <c r="C832" s="31"/>
    </row>
    <row r="833">
      <c r="A833" s="29"/>
      <c r="B833" s="30"/>
      <c r="C833" s="31"/>
    </row>
    <row r="834">
      <c r="A834" s="29"/>
      <c r="B834" s="30"/>
      <c r="C834" s="31"/>
    </row>
    <row r="835">
      <c r="A835" s="29"/>
      <c r="B835" s="30"/>
      <c r="C835" s="31"/>
    </row>
    <row r="836">
      <c r="A836" s="29"/>
      <c r="B836" s="30"/>
      <c r="C836" s="31"/>
    </row>
    <row r="837">
      <c r="A837" s="29"/>
      <c r="B837" s="30"/>
      <c r="C837" s="31"/>
    </row>
    <row r="838">
      <c r="A838" s="29"/>
      <c r="B838" s="30"/>
      <c r="C838" s="31"/>
    </row>
    <row r="839">
      <c r="A839" s="29"/>
      <c r="B839" s="30"/>
      <c r="C839" s="31"/>
    </row>
    <row r="840">
      <c r="A840" s="29"/>
      <c r="B840" s="30"/>
      <c r="C840" s="31"/>
    </row>
    <row r="841">
      <c r="A841" s="29"/>
      <c r="B841" s="30"/>
      <c r="C841" s="31"/>
    </row>
    <row r="842">
      <c r="A842" s="29"/>
      <c r="B842" s="30"/>
      <c r="C842" s="31"/>
    </row>
    <row r="843">
      <c r="A843" s="29"/>
      <c r="B843" s="30"/>
      <c r="C843" s="31"/>
    </row>
    <row r="844">
      <c r="A844" s="29"/>
      <c r="B844" s="30"/>
      <c r="C844" s="31"/>
    </row>
    <row r="845">
      <c r="A845" s="29"/>
      <c r="B845" s="30"/>
      <c r="C845" s="31"/>
    </row>
    <row r="846">
      <c r="A846" s="29"/>
      <c r="B846" s="30"/>
      <c r="C846" s="31"/>
    </row>
    <row r="847">
      <c r="A847" s="29"/>
      <c r="B847" s="30"/>
      <c r="C847" s="31"/>
    </row>
    <row r="848">
      <c r="A848" s="29"/>
      <c r="B848" s="30"/>
      <c r="C848" s="31"/>
    </row>
    <row r="849">
      <c r="A849" s="29"/>
      <c r="B849" s="30"/>
      <c r="C849" s="31"/>
    </row>
    <row r="850">
      <c r="A850" s="29"/>
      <c r="B850" s="30"/>
      <c r="C850" s="31"/>
    </row>
    <row r="851">
      <c r="A851" s="29"/>
      <c r="B851" s="30"/>
      <c r="C851" s="31"/>
    </row>
    <row r="852">
      <c r="A852" s="29"/>
      <c r="B852" s="30"/>
      <c r="C852" s="31"/>
    </row>
    <row r="853">
      <c r="A853" s="29"/>
      <c r="B853" s="30"/>
      <c r="C853" s="31"/>
    </row>
    <row r="854">
      <c r="A854" s="29"/>
      <c r="B854" s="30"/>
      <c r="C854" s="31"/>
    </row>
    <row r="855">
      <c r="A855" s="29"/>
      <c r="B855" s="30"/>
      <c r="C855" s="31"/>
    </row>
    <row r="856">
      <c r="A856" s="29"/>
      <c r="B856" s="30"/>
      <c r="C856" s="31"/>
    </row>
    <row r="857">
      <c r="A857" s="29"/>
      <c r="B857" s="30"/>
      <c r="C857" s="31"/>
    </row>
    <row r="858">
      <c r="A858" s="29"/>
      <c r="B858" s="30"/>
      <c r="C858" s="31"/>
    </row>
    <row r="859">
      <c r="A859" s="29"/>
      <c r="B859" s="30"/>
      <c r="C859" s="31"/>
    </row>
    <row r="860">
      <c r="A860" s="29"/>
      <c r="B860" s="30"/>
      <c r="C860" s="31"/>
    </row>
    <row r="861">
      <c r="A861" s="29"/>
      <c r="B861" s="30"/>
      <c r="C861" s="31"/>
    </row>
    <row r="862">
      <c r="A862" s="29"/>
      <c r="B862" s="30"/>
      <c r="C862" s="31"/>
    </row>
    <row r="863">
      <c r="A863" s="29"/>
      <c r="B863" s="30"/>
      <c r="C863" s="31"/>
    </row>
    <row r="864">
      <c r="A864" s="29"/>
      <c r="B864" s="30"/>
      <c r="C864" s="31"/>
    </row>
    <row r="865">
      <c r="A865" s="29"/>
      <c r="B865" s="30"/>
      <c r="C865" s="31"/>
    </row>
    <row r="866">
      <c r="A866" s="29"/>
      <c r="B866" s="30"/>
      <c r="C866" s="31"/>
    </row>
    <row r="867">
      <c r="A867" s="29"/>
      <c r="B867" s="30"/>
      <c r="C867" s="31"/>
    </row>
    <row r="868">
      <c r="A868" s="29"/>
      <c r="B868" s="30"/>
      <c r="C868" s="31"/>
    </row>
    <row r="869">
      <c r="A869" s="29"/>
      <c r="B869" s="30"/>
      <c r="C869" s="31"/>
    </row>
    <row r="870">
      <c r="A870" s="29"/>
      <c r="B870" s="30"/>
      <c r="C870" s="31"/>
    </row>
    <row r="871">
      <c r="A871" s="29"/>
      <c r="B871" s="30"/>
      <c r="C871" s="31"/>
    </row>
    <row r="872">
      <c r="A872" s="29"/>
      <c r="B872" s="30"/>
      <c r="C872" s="31"/>
    </row>
    <row r="873">
      <c r="A873" s="29"/>
      <c r="B873" s="30"/>
      <c r="C873" s="31"/>
    </row>
    <row r="874">
      <c r="A874" s="29"/>
      <c r="B874" s="30"/>
      <c r="C874" s="31"/>
    </row>
    <row r="875">
      <c r="A875" s="29"/>
      <c r="B875" s="30"/>
      <c r="C875" s="31"/>
    </row>
    <row r="876">
      <c r="A876" s="29"/>
      <c r="B876" s="30"/>
      <c r="C876" s="31"/>
    </row>
    <row r="877">
      <c r="A877" s="29"/>
      <c r="B877" s="30"/>
      <c r="C877" s="31"/>
    </row>
    <row r="878">
      <c r="A878" s="29"/>
      <c r="B878" s="30"/>
      <c r="C878" s="31"/>
    </row>
    <row r="879">
      <c r="A879" s="29"/>
      <c r="B879" s="30"/>
      <c r="C879" s="31"/>
    </row>
    <row r="880">
      <c r="A880" s="29"/>
      <c r="B880" s="30"/>
      <c r="C880" s="31"/>
    </row>
    <row r="881">
      <c r="A881" s="29"/>
      <c r="B881" s="30"/>
      <c r="C881" s="31"/>
    </row>
    <row r="882">
      <c r="A882" s="29"/>
      <c r="B882" s="30"/>
      <c r="C882" s="31"/>
    </row>
    <row r="883">
      <c r="A883" s="29"/>
      <c r="B883" s="30"/>
      <c r="C883" s="31"/>
    </row>
    <row r="884">
      <c r="A884" s="29"/>
      <c r="B884" s="30"/>
      <c r="C884" s="31"/>
    </row>
    <row r="885">
      <c r="A885" s="29"/>
      <c r="B885" s="30"/>
      <c r="C885" s="31"/>
    </row>
    <row r="886">
      <c r="A886" s="29"/>
      <c r="B886" s="30"/>
      <c r="C886" s="31"/>
    </row>
    <row r="887">
      <c r="A887" s="29"/>
      <c r="B887" s="30"/>
      <c r="C887" s="31"/>
    </row>
    <row r="888">
      <c r="A888" s="29"/>
      <c r="B888" s="30"/>
      <c r="C888" s="31"/>
    </row>
    <row r="889">
      <c r="A889" s="29"/>
      <c r="B889" s="30"/>
      <c r="C889" s="31"/>
    </row>
    <row r="890">
      <c r="A890" s="29"/>
      <c r="B890" s="30"/>
      <c r="C890" s="31"/>
    </row>
    <row r="891">
      <c r="A891" s="29"/>
      <c r="B891" s="30"/>
      <c r="C891" s="31"/>
    </row>
    <row r="892">
      <c r="A892" s="29"/>
      <c r="B892" s="30"/>
      <c r="C892" s="31"/>
    </row>
    <row r="893">
      <c r="A893" s="29"/>
      <c r="B893" s="30"/>
      <c r="C893" s="31"/>
    </row>
    <row r="894">
      <c r="A894" s="29"/>
      <c r="B894" s="30"/>
      <c r="C894" s="31"/>
    </row>
    <row r="895">
      <c r="A895" s="29"/>
      <c r="B895" s="30"/>
      <c r="C895" s="31"/>
    </row>
    <row r="896">
      <c r="A896" s="29"/>
      <c r="B896" s="30"/>
      <c r="C896" s="31"/>
    </row>
    <row r="897">
      <c r="A897" s="29"/>
      <c r="B897" s="30"/>
      <c r="C897" s="31"/>
    </row>
    <row r="898">
      <c r="A898" s="29"/>
      <c r="B898" s="30"/>
      <c r="C898" s="31"/>
    </row>
    <row r="899">
      <c r="A899" s="29"/>
      <c r="B899" s="30"/>
      <c r="C899" s="31"/>
    </row>
    <row r="900">
      <c r="A900" s="29"/>
      <c r="B900" s="30"/>
      <c r="C900" s="31"/>
    </row>
    <row r="901">
      <c r="A901" s="29"/>
      <c r="B901" s="30"/>
      <c r="C901" s="31"/>
    </row>
    <row r="902">
      <c r="A902" s="29"/>
      <c r="B902" s="30"/>
      <c r="C902" s="31"/>
    </row>
    <row r="903">
      <c r="A903" s="29"/>
      <c r="B903" s="30"/>
      <c r="C903" s="31"/>
    </row>
    <row r="904">
      <c r="A904" s="29"/>
      <c r="B904" s="30"/>
      <c r="C904" s="31"/>
    </row>
    <row r="905">
      <c r="A905" s="29"/>
      <c r="B905" s="30"/>
      <c r="C905" s="31"/>
    </row>
    <row r="906">
      <c r="A906" s="29"/>
      <c r="B906" s="30"/>
      <c r="C906" s="31"/>
    </row>
    <row r="907">
      <c r="A907" s="29"/>
      <c r="B907" s="30"/>
      <c r="C907" s="31"/>
    </row>
    <row r="908">
      <c r="A908" s="29"/>
      <c r="B908" s="30"/>
      <c r="C908" s="31"/>
    </row>
    <row r="909">
      <c r="A909" s="29"/>
      <c r="B909" s="30"/>
      <c r="C909" s="31"/>
    </row>
    <row r="910">
      <c r="A910" s="29"/>
      <c r="B910" s="30"/>
      <c r="C910" s="31"/>
    </row>
    <row r="911">
      <c r="A911" s="29"/>
      <c r="B911" s="30"/>
      <c r="C911" s="31"/>
    </row>
    <row r="912">
      <c r="A912" s="29"/>
      <c r="B912" s="30"/>
      <c r="C912" s="31"/>
    </row>
    <row r="913">
      <c r="A913" s="29"/>
      <c r="B913" s="30"/>
      <c r="C913" s="31"/>
    </row>
    <row r="914">
      <c r="A914" s="29"/>
      <c r="B914" s="30"/>
      <c r="C914" s="31"/>
    </row>
    <row r="915">
      <c r="A915" s="29"/>
      <c r="B915" s="30"/>
      <c r="C915" s="31"/>
    </row>
    <row r="916">
      <c r="A916" s="29"/>
      <c r="B916" s="30"/>
      <c r="C916" s="31"/>
    </row>
    <row r="917">
      <c r="A917" s="29"/>
      <c r="B917" s="30"/>
      <c r="C917" s="31"/>
    </row>
    <row r="918">
      <c r="A918" s="29"/>
      <c r="B918" s="30"/>
      <c r="C918" s="31"/>
    </row>
    <row r="919">
      <c r="A919" s="29"/>
      <c r="B919" s="30"/>
      <c r="C919" s="31"/>
    </row>
    <row r="920">
      <c r="A920" s="29"/>
      <c r="B920" s="30"/>
      <c r="C920" s="31"/>
    </row>
    <row r="921">
      <c r="A921" s="29"/>
      <c r="B921" s="30"/>
      <c r="C921" s="31"/>
    </row>
    <row r="922">
      <c r="A922" s="29"/>
      <c r="B922" s="30"/>
      <c r="C922" s="31"/>
    </row>
    <row r="923">
      <c r="A923" s="29"/>
      <c r="B923" s="30"/>
      <c r="C923" s="31"/>
    </row>
    <row r="924">
      <c r="A924" s="29"/>
      <c r="B924" s="30"/>
      <c r="C924" s="31"/>
    </row>
    <row r="925">
      <c r="A925" s="29"/>
      <c r="B925" s="30"/>
      <c r="C925" s="31"/>
    </row>
    <row r="926">
      <c r="A926" s="29"/>
      <c r="B926" s="30"/>
      <c r="C926" s="31"/>
    </row>
    <row r="927">
      <c r="A927" s="29"/>
      <c r="B927" s="30"/>
      <c r="C927" s="31"/>
    </row>
    <row r="928">
      <c r="A928" s="29"/>
      <c r="B928" s="30"/>
      <c r="C928" s="31"/>
    </row>
    <row r="929">
      <c r="A929" s="29"/>
      <c r="B929" s="30"/>
      <c r="C929" s="31"/>
    </row>
    <row r="930">
      <c r="A930" s="29"/>
      <c r="B930" s="30"/>
      <c r="C930" s="31"/>
    </row>
    <row r="931">
      <c r="A931" s="29"/>
      <c r="B931" s="30"/>
      <c r="C931" s="31"/>
    </row>
    <row r="932">
      <c r="A932" s="29"/>
      <c r="B932" s="30"/>
      <c r="C932" s="31"/>
    </row>
    <row r="933">
      <c r="A933" s="29"/>
      <c r="B933" s="30"/>
      <c r="C933" s="31"/>
    </row>
    <row r="934">
      <c r="A934" s="29"/>
      <c r="B934" s="30"/>
      <c r="C934" s="31"/>
    </row>
    <row r="935">
      <c r="A935" s="29"/>
      <c r="B935" s="30"/>
      <c r="C935" s="31"/>
    </row>
    <row r="936">
      <c r="A936" s="29"/>
      <c r="B936" s="30"/>
      <c r="C936" s="31"/>
    </row>
    <row r="937">
      <c r="A937" s="29"/>
      <c r="B937" s="30"/>
      <c r="C937" s="31"/>
    </row>
    <row r="938">
      <c r="A938" s="29"/>
      <c r="B938" s="30"/>
      <c r="C938" s="31"/>
    </row>
    <row r="939">
      <c r="A939" s="29"/>
      <c r="B939" s="30"/>
      <c r="C939" s="31"/>
    </row>
    <row r="940">
      <c r="A940" s="29"/>
      <c r="B940" s="30"/>
      <c r="C940" s="31"/>
    </row>
    <row r="941">
      <c r="A941" s="29"/>
      <c r="B941" s="30"/>
      <c r="C941" s="31"/>
    </row>
    <row r="942">
      <c r="A942" s="29"/>
      <c r="B942" s="30"/>
      <c r="C942" s="31"/>
    </row>
    <row r="943">
      <c r="A943" s="29"/>
      <c r="B943" s="30"/>
      <c r="C943" s="31"/>
    </row>
    <row r="944">
      <c r="A944" s="29"/>
      <c r="B944" s="30"/>
      <c r="C944" s="31"/>
    </row>
    <row r="945">
      <c r="A945" s="29"/>
      <c r="B945" s="30"/>
      <c r="C945" s="31"/>
    </row>
    <row r="946">
      <c r="A946" s="29"/>
      <c r="B946" s="30"/>
      <c r="C946" s="31"/>
    </row>
    <row r="947">
      <c r="A947" s="29"/>
      <c r="B947" s="30"/>
      <c r="C947" s="31"/>
    </row>
    <row r="948">
      <c r="A948" s="29"/>
      <c r="B948" s="30"/>
      <c r="C948" s="31"/>
    </row>
    <row r="949">
      <c r="A949" s="29"/>
      <c r="B949" s="30"/>
      <c r="C949" s="31"/>
    </row>
    <row r="950">
      <c r="A950" s="29"/>
      <c r="B950" s="30"/>
      <c r="C950" s="31"/>
    </row>
    <row r="951">
      <c r="A951" s="29"/>
      <c r="B951" s="30"/>
      <c r="C951" s="31"/>
    </row>
    <row r="952">
      <c r="A952" s="29"/>
      <c r="B952" s="30"/>
      <c r="C952" s="31"/>
    </row>
    <row r="953">
      <c r="A953" s="29"/>
      <c r="B953" s="30"/>
      <c r="C953" s="31"/>
    </row>
    <row r="954">
      <c r="A954" s="29"/>
      <c r="B954" s="30"/>
      <c r="C954" s="31"/>
    </row>
    <row r="955">
      <c r="A955" s="29"/>
      <c r="B955" s="30"/>
      <c r="C955" s="31"/>
    </row>
    <row r="956">
      <c r="A956" s="29"/>
      <c r="B956" s="30"/>
      <c r="C956" s="31"/>
    </row>
    <row r="957">
      <c r="A957" s="29"/>
      <c r="B957" s="30"/>
      <c r="C957" s="31"/>
    </row>
    <row r="958">
      <c r="A958" s="29"/>
      <c r="B958" s="30"/>
      <c r="C958" s="31"/>
    </row>
    <row r="959">
      <c r="A959" s="29"/>
      <c r="B959" s="30"/>
      <c r="C959" s="31"/>
    </row>
    <row r="960">
      <c r="A960" s="29"/>
      <c r="B960" s="30"/>
      <c r="C960" s="31"/>
    </row>
    <row r="961">
      <c r="A961" s="29"/>
      <c r="B961" s="30"/>
      <c r="C961" s="31"/>
    </row>
    <row r="962">
      <c r="A962" s="29"/>
      <c r="B962" s="30"/>
      <c r="C962" s="31"/>
    </row>
    <row r="963">
      <c r="A963" s="29"/>
      <c r="B963" s="30"/>
      <c r="C963" s="31"/>
    </row>
    <row r="964">
      <c r="A964" s="29"/>
      <c r="B964" s="30"/>
      <c r="C964" s="31"/>
    </row>
    <row r="965">
      <c r="A965" s="29"/>
      <c r="B965" s="30"/>
      <c r="C965" s="31"/>
    </row>
    <row r="966">
      <c r="A966" s="29"/>
      <c r="B966" s="30"/>
      <c r="C966" s="31"/>
    </row>
    <row r="967">
      <c r="A967" s="29"/>
      <c r="B967" s="30"/>
      <c r="C967" s="31"/>
    </row>
    <row r="968">
      <c r="A968" s="29"/>
      <c r="B968" s="30"/>
      <c r="C968" s="31"/>
    </row>
    <row r="969">
      <c r="A969" s="29"/>
      <c r="B969" s="30"/>
      <c r="C969" s="31"/>
    </row>
    <row r="970">
      <c r="A970" s="29"/>
      <c r="B970" s="30"/>
      <c r="C970" s="31"/>
    </row>
    <row r="971">
      <c r="A971" s="29"/>
      <c r="B971" s="30"/>
      <c r="C971" s="31"/>
    </row>
    <row r="972">
      <c r="A972" s="29"/>
      <c r="B972" s="30"/>
      <c r="C972" s="31"/>
    </row>
    <row r="973">
      <c r="A973" s="29"/>
      <c r="B973" s="30"/>
      <c r="C973" s="31"/>
    </row>
    <row r="974">
      <c r="A974" s="29"/>
      <c r="B974" s="30"/>
      <c r="C974" s="31"/>
    </row>
    <row r="975">
      <c r="A975" s="29"/>
      <c r="B975" s="30"/>
      <c r="C975" s="31"/>
    </row>
    <row r="976">
      <c r="A976" s="29"/>
      <c r="B976" s="30"/>
      <c r="C976" s="31"/>
    </row>
    <row r="977">
      <c r="A977" s="29"/>
      <c r="B977" s="30"/>
      <c r="C977" s="31"/>
    </row>
    <row r="978">
      <c r="A978" s="29"/>
      <c r="B978" s="30"/>
      <c r="C978" s="31"/>
    </row>
    <row r="979">
      <c r="A979" s="29"/>
      <c r="B979" s="30"/>
      <c r="C979" s="31"/>
    </row>
    <row r="980">
      <c r="A980" s="29"/>
      <c r="B980" s="30"/>
      <c r="C980" s="31"/>
    </row>
    <row r="981">
      <c r="A981" s="29"/>
      <c r="B981" s="30"/>
      <c r="C981" s="31"/>
    </row>
    <row r="982">
      <c r="A982" s="29"/>
      <c r="B982" s="30"/>
      <c r="C982" s="31"/>
    </row>
    <row r="983">
      <c r="A983" s="29"/>
      <c r="B983" s="30"/>
      <c r="C983" s="31"/>
    </row>
    <row r="984">
      <c r="A984" s="29"/>
      <c r="B984" s="30"/>
      <c r="C984" s="31"/>
    </row>
    <row r="985">
      <c r="A985" s="29"/>
      <c r="B985" s="30"/>
      <c r="C985" s="31"/>
    </row>
    <row r="986">
      <c r="A986" s="29"/>
      <c r="B986" s="30"/>
      <c r="C986" s="31"/>
    </row>
    <row r="987">
      <c r="A987" s="29"/>
      <c r="B987" s="30"/>
      <c r="C987" s="31"/>
    </row>
    <row r="988">
      <c r="A988" s="29"/>
      <c r="B988" s="30"/>
      <c r="C988" s="31"/>
    </row>
    <row r="989">
      <c r="A989" s="29"/>
      <c r="B989" s="30"/>
      <c r="C989" s="31"/>
    </row>
    <row r="990">
      <c r="A990" s="29"/>
      <c r="B990" s="30"/>
      <c r="C990" s="31"/>
    </row>
    <row r="991">
      <c r="A991" s="29"/>
      <c r="B991" s="30"/>
      <c r="C991" s="31"/>
    </row>
    <row r="992">
      <c r="A992" s="29"/>
      <c r="B992" s="30"/>
      <c r="C992" s="31"/>
    </row>
    <row r="993">
      <c r="A993" s="29"/>
      <c r="B993" s="30"/>
      <c r="C993" s="31"/>
    </row>
    <row r="994">
      <c r="A994" s="29"/>
      <c r="B994" s="30"/>
      <c r="C994" s="31"/>
    </row>
    <row r="995">
      <c r="A995" s="29"/>
      <c r="B995" s="30"/>
      <c r="C995" s="31"/>
    </row>
    <row r="996">
      <c r="A996" s="29"/>
      <c r="B996" s="30"/>
      <c r="C996" s="31"/>
    </row>
    <row r="997">
      <c r="A997" s="29"/>
      <c r="B997" s="30"/>
      <c r="C997" s="31"/>
    </row>
    <row r="998">
      <c r="A998" s="29"/>
      <c r="B998" s="30"/>
      <c r="C998" s="31"/>
    </row>
    <row r="999">
      <c r="A999" s="29"/>
      <c r="B999" s="30"/>
      <c r="C999" s="31"/>
    </row>
    <row r="1000">
      <c r="A1000" s="29"/>
      <c r="B1000" s="30"/>
      <c r="C1000" s="31"/>
    </row>
  </sheetData>
  <autoFilter ref="$A$1:$Y$4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23" t="s">
        <v>0</v>
      </c>
      <c r="B1" s="24" t="s">
        <v>1</v>
      </c>
      <c r="C1" s="23" t="s">
        <v>35</v>
      </c>
      <c r="D1" s="23" t="s">
        <v>6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32" t="s">
        <v>36</v>
      </c>
      <c r="B2" s="33">
        <v>17903.0</v>
      </c>
      <c r="C2" s="34">
        <v>58430.0</v>
      </c>
      <c r="D2" s="26" t="s">
        <v>8</v>
      </c>
    </row>
    <row r="3">
      <c r="A3" s="32" t="s">
        <v>37</v>
      </c>
      <c r="B3" s="33">
        <v>1150.0</v>
      </c>
      <c r="C3" s="34">
        <v>51498.0</v>
      </c>
      <c r="D3" s="26" t="s">
        <v>10</v>
      </c>
    </row>
    <row r="4">
      <c r="A4" s="32" t="s">
        <v>38</v>
      </c>
      <c r="B4" s="35">
        <v>260.0</v>
      </c>
      <c r="C4" s="26"/>
      <c r="D4" s="26" t="s">
        <v>10</v>
      </c>
    </row>
    <row r="5">
      <c r="A5" s="32" t="s">
        <v>39</v>
      </c>
      <c r="B5" s="33">
        <v>3400.0</v>
      </c>
      <c r="C5" s="34"/>
      <c r="D5" s="26" t="s">
        <v>8</v>
      </c>
    </row>
    <row r="6">
      <c r="A6" s="32" t="s">
        <v>40</v>
      </c>
      <c r="B6" s="33">
        <v>500.0</v>
      </c>
      <c r="C6" s="26"/>
      <c r="D6" s="26" t="s">
        <v>10</v>
      </c>
    </row>
    <row r="7">
      <c r="A7" s="32" t="s">
        <v>41</v>
      </c>
      <c r="B7" s="33">
        <v>400.0</v>
      </c>
      <c r="C7" s="26"/>
      <c r="D7" s="26" t="s">
        <v>8</v>
      </c>
    </row>
    <row r="8">
      <c r="A8" s="32" t="s">
        <v>42</v>
      </c>
      <c r="B8" s="33">
        <v>150.0</v>
      </c>
      <c r="C8" s="26"/>
      <c r="D8" s="26" t="s">
        <v>8</v>
      </c>
    </row>
    <row r="9">
      <c r="A9" s="32" t="s">
        <v>43</v>
      </c>
      <c r="B9" s="33">
        <v>400.0</v>
      </c>
      <c r="C9" s="26"/>
      <c r="D9" s="26" t="s">
        <v>8</v>
      </c>
    </row>
    <row r="10">
      <c r="A10" s="32" t="s">
        <v>44</v>
      </c>
      <c r="B10" s="35">
        <v>500.0</v>
      </c>
      <c r="C10" s="26"/>
      <c r="D10" s="26" t="s">
        <v>8</v>
      </c>
    </row>
    <row r="11">
      <c r="A11" s="26" t="s">
        <v>45</v>
      </c>
      <c r="B11" s="36">
        <v>250.0</v>
      </c>
      <c r="C11" s="26"/>
      <c r="D11" s="26" t="s">
        <v>8</v>
      </c>
    </row>
    <row r="12">
      <c r="A12" s="26" t="s">
        <v>46</v>
      </c>
      <c r="B12" s="36">
        <v>8000.0</v>
      </c>
      <c r="C12" s="29"/>
      <c r="D12" s="26" t="s">
        <v>8</v>
      </c>
    </row>
    <row r="13">
      <c r="A13" s="26" t="s">
        <v>47</v>
      </c>
      <c r="B13" s="36">
        <v>500.0</v>
      </c>
      <c r="C13" s="29"/>
      <c r="D13" s="26" t="s">
        <v>10</v>
      </c>
    </row>
    <row r="14">
      <c r="A14" s="26" t="s">
        <v>48</v>
      </c>
      <c r="B14" s="36">
        <v>600.0</v>
      </c>
      <c r="C14" s="29"/>
      <c r="D14" s="26" t="s">
        <v>10</v>
      </c>
    </row>
    <row r="15">
      <c r="A15" s="29"/>
      <c r="B15" s="37"/>
      <c r="C15" s="29"/>
      <c r="D15" s="29"/>
    </row>
    <row r="16">
      <c r="A16" s="29"/>
      <c r="B16" s="37"/>
      <c r="C16" s="29"/>
      <c r="D16" s="29"/>
    </row>
    <row r="17">
      <c r="A17" s="29"/>
      <c r="B17" s="37"/>
      <c r="C17" s="29"/>
      <c r="D17" s="29"/>
    </row>
    <row r="18">
      <c r="A18" s="29"/>
      <c r="B18" s="37"/>
      <c r="C18" s="29"/>
      <c r="D18" s="29"/>
    </row>
    <row r="19">
      <c r="A19" s="29"/>
      <c r="B19" s="37"/>
      <c r="C19" s="29"/>
      <c r="D19" s="29"/>
    </row>
    <row r="20">
      <c r="A20" s="29"/>
      <c r="B20" s="37"/>
      <c r="C20" s="29"/>
      <c r="D20" s="29"/>
    </row>
    <row r="21">
      <c r="A21" s="29"/>
      <c r="B21" s="37"/>
      <c r="C21" s="29"/>
      <c r="D21" s="29"/>
    </row>
    <row r="22">
      <c r="A22" s="29"/>
      <c r="B22" s="37"/>
      <c r="C22" s="29"/>
      <c r="D22" s="29"/>
    </row>
    <row r="23">
      <c r="A23" s="29"/>
      <c r="B23" s="37"/>
      <c r="C23" s="29"/>
      <c r="D23" s="29"/>
    </row>
    <row r="24">
      <c r="A24" s="29"/>
      <c r="B24" s="37"/>
      <c r="C24" s="29"/>
      <c r="D24" s="29"/>
    </row>
    <row r="25">
      <c r="A25" s="29"/>
      <c r="B25" s="37"/>
      <c r="C25" s="29"/>
      <c r="D25" s="29"/>
    </row>
    <row r="26">
      <c r="A26" s="29"/>
      <c r="B26" s="37"/>
      <c r="C26" s="29"/>
      <c r="D26" s="29"/>
    </row>
    <row r="27">
      <c r="A27" s="29"/>
      <c r="B27" s="37"/>
      <c r="C27" s="29"/>
      <c r="D27" s="29"/>
    </row>
    <row r="28">
      <c r="A28" s="29"/>
      <c r="B28" s="37"/>
      <c r="C28" s="29"/>
      <c r="D28" s="29"/>
    </row>
    <row r="29">
      <c r="A29" s="29"/>
      <c r="B29" s="37"/>
      <c r="C29" s="29"/>
      <c r="D29" s="29"/>
    </row>
    <row r="30">
      <c r="A30" s="29"/>
      <c r="B30" s="37"/>
      <c r="C30" s="29"/>
      <c r="D30" s="29"/>
    </row>
    <row r="31">
      <c r="A31" s="29"/>
      <c r="B31" s="37"/>
      <c r="C31" s="29"/>
      <c r="D31" s="29"/>
    </row>
    <row r="32">
      <c r="A32" s="29"/>
      <c r="B32" s="37"/>
      <c r="C32" s="29"/>
      <c r="D32" s="29"/>
    </row>
    <row r="33">
      <c r="A33" s="29"/>
      <c r="B33" s="37"/>
      <c r="C33" s="29"/>
      <c r="D33" s="29"/>
    </row>
    <row r="34">
      <c r="A34" s="29"/>
      <c r="B34" s="37"/>
      <c r="C34" s="29"/>
      <c r="D34" s="29"/>
    </row>
    <row r="35">
      <c r="A35" s="29"/>
      <c r="B35" s="37"/>
      <c r="C35" s="29"/>
      <c r="D35" s="29"/>
    </row>
    <row r="36">
      <c r="A36" s="29"/>
      <c r="B36" s="37"/>
      <c r="C36" s="29"/>
      <c r="D36" s="29"/>
    </row>
    <row r="37">
      <c r="A37" s="29"/>
      <c r="B37" s="37"/>
      <c r="C37" s="29"/>
      <c r="D37" s="29"/>
    </row>
    <row r="38">
      <c r="A38" s="29"/>
      <c r="B38" s="37"/>
      <c r="C38" s="29"/>
      <c r="D38" s="29"/>
    </row>
    <row r="39">
      <c r="A39" s="29"/>
      <c r="B39" s="37"/>
      <c r="C39" s="29"/>
      <c r="D39" s="29"/>
    </row>
    <row r="40">
      <c r="A40" s="29"/>
      <c r="B40" s="37"/>
      <c r="C40" s="29"/>
      <c r="D40" s="29"/>
    </row>
    <row r="41">
      <c r="A41" s="29"/>
      <c r="B41" s="37"/>
      <c r="C41" s="29"/>
      <c r="D41" s="29"/>
    </row>
    <row r="42">
      <c r="A42" s="29"/>
      <c r="B42" s="37"/>
      <c r="C42" s="29"/>
      <c r="D42" s="29"/>
    </row>
    <row r="43">
      <c r="A43" s="29"/>
      <c r="B43" s="37"/>
      <c r="C43" s="29"/>
      <c r="D43" s="29"/>
    </row>
    <row r="44">
      <c r="A44" s="29"/>
      <c r="B44" s="37"/>
      <c r="C44" s="29"/>
      <c r="D44" s="29"/>
    </row>
    <row r="45">
      <c r="A45" s="29"/>
      <c r="B45" s="37"/>
      <c r="C45" s="29"/>
      <c r="D45" s="29"/>
    </row>
    <row r="46">
      <c r="A46" s="29"/>
      <c r="B46" s="37"/>
      <c r="C46" s="29"/>
      <c r="D46" s="29"/>
    </row>
    <row r="47">
      <c r="A47" s="29"/>
      <c r="B47" s="37"/>
      <c r="C47" s="29"/>
      <c r="D47" s="29"/>
    </row>
    <row r="48">
      <c r="A48" s="29"/>
      <c r="B48" s="37"/>
      <c r="C48" s="29"/>
      <c r="D48" s="29"/>
    </row>
    <row r="49">
      <c r="A49" s="29"/>
      <c r="B49" s="37"/>
      <c r="C49" s="29"/>
      <c r="D49" s="29"/>
    </row>
    <row r="50">
      <c r="A50" s="29"/>
      <c r="B50" s="37"/>
      <c r="C50" s="29"/>
      <c r="D50" s="29"/>
    </row>
    <row r="51">
      <c r="A51" s="29"/>
      <c r="B51" s="37"/>
      <c r="C51" s="29"/>
      <c r="D51" s="29"/>
    </row>
    <row r="52">
      <c r="A52" s="29"/>
      <c r="B52" s="37"/>
      <c r="C52" s="29"/>
      <c r="D52" s="29"/>
    </row>
    <row r="53">
      <c r="A53" s="29"/>
      <c r="B53" s="37"/>
      <c r="C53" s="29"/>
      <c r="D53" s="29"/>
    </row>
    <row r="54">
      <c r="A54" s="29"/>
      <c r="B54" s="37"/>
      <c r="C54" s="29"/>
      <c r="D54" s="29"/>
    </row>
    <row r="55">
      <c r="A55" s="29"/>
      <c r="B55" s="37"/>
      <c r="C55" s="29"/>
      <c r="D55" s="29"/>
    </row>
    <row r="56">
      <c r="A56" s="29"/>
      <c r="B56" s="37"/>
      <c r="C56" s="29"/>
      <c r="D56" s="29"/>
    </row>
    <row r="57">
      <c r="A57" s="29"/>
      <c r="B57" s="37"/>
      <c r="C57" s="29"/>
      <c r="D57" s="29"/>
    </row>
    <row r="58">
      <c r="A58" s="29"/>
      <c r="B58" s="37"/>
      <c r="C58" s="29"/>
      <c r="D58" s="29"/>
    </row>
    <row r="59">
      <c r="A59" s="29"/>
      <c r="B59" s="37"/>
      <c r="C59" s="29"/>
      <c r="D59" s="29"/>
    </row>
    <row r="60">
      <c r="A60" s="29"/>
      <c r="B60" s="37"/>
      <c r="C60" s="29"/>
      <c r="D60" s="29"/>
    </row>
    <row r="61">
      <c r="A61" s="29"/>
      <c r="B61" s="37"/>
      <c r="C61" s="29"/>
      <c r="D61" s="29"/>
    </row>
    <row r="62">
      <c r="A62" s="29"/>
      <c r="B62" s="37"/>
      <c r="C62" s="29"/>
      <c r="D62" s="29"/>
    </row>
    <row r="63">
      <c r="A63" s="29"/>
      <c r="B63" s="37"/>
      <c r="C63" s="29"/>
      <c r="D63" s="29"/>
    </row>
    <row r="64">
      <c r="A64" s="29"/>
      <c r="B64" s="37"/>
      <c r="C64" s="29"/>
      <c r="D64" s="29"/>
    </row>
    <row r="65">
      <c r="A65" s="29"/>
      <c r="B65" s="37"/>
      <c r="C65" s="29"/>
      <c r="D65" s="29"/>
    </row>
    <row r="66">
      <c r="A66" s="29"/>
      <c r="B66" s="37"/>
      <c r="C66" s="29"/>
      <c r="D66" s="29"/>
    </row>
    <row r="67">
      <c r="A67" s="29"/>
      <c r="B67" s="37"/>
      <c r="C67" s="29"/>
      <c r="D67" s="29"/>
    </row>
    <row r="68">
      <c r="A68" s="29"/>
      <c r="B68" s="37"/>
      <c r="C68" s="29"/>
      <c r="D68" s="29"/>
    </row>
    <row r="69">
      <c r="A69" s="29"/>
      <c r="B69" s="37"/>
      <c r="C69" s="29"/>
      <c r="D69" s="29"/>
    </row>
    <row r="70">
      <c r="A70" s="29"/>
      <c r="B70" s="37"/>
      <c r="C70" s="29"/>
      <c r="D70" s="29"/>
    </row>
    <row r="71">
      <c r="A71" s="29"/>
      <c r="B71" s="37"/>
      <c r="C71" s="29"/>
      <c r="D71" s="29"/>
    </row>
    <row r="72">
      <c r="A72" s="29"/>
      <c r="B72" s="37"/>
      <c r="C72" s="29"/>
      <c r="D72" s="29"/>
    </row>
    <row r="73">
      <c r="A73" s="29"/>
      <c r="B73" s="37"/>
      <c r="C73" s="29"/>
      <c r="D73" s="29"/>
    </row>
    <row r="74">
      <c r="A74" s="29"/>
      <c r="B74" s="37"/>
      <c r="C74" s="29"/>
      <c r="D74" s="29"/>
    </row>
    <row r="75">
      <c r="A75" s="29"/>
      <c r="B75" s="37"/>
      <c r="C75" s="29"/>
      <c r="D75" s="29"/>
    </row>
    <row r="76">
      <c r="A76" s="29"/>
      <c r="B76" s="37"/>
      <c r="C76" s="29"/>
      <c r="D76" s="29"/>
    </row>
    <row r="77">
      <c r="A77" s="29"/>
      <c r="B77" s="37"/>
      <c r="C77" s="29"/>
      <c r="D77" s="29"/>
    </row>
    <row r="78">
      <c r="A78" s="29"/>
      <c r="B78" s="37"/>
      <c r="C78" s="29"/>
      <c r="D78" s="29"/>
    </row>
    <row r="79">
      <c r="A79" s="29"/>
      <c r="B79" s="37"/>
      <c r="C79" s="29"/>
      <c r="D79" s="29"/>
    </row>
    <row r="80">
      <c r="A80" s="29"/>
      <c r="B80" s="37"/>
      <c r="C80" s="29"/>
      <c r="D80" s="29"/>
    </row>
    <row r="81">
      <c r="A81" s="29"/>
      <c r="B81" s="37"/>
      <c r="C81" s="29"/>
      <c r="D81" s="29"/>
    </row>
    <row r="82">
      <c r="A82" s="29"/>
      <c r="B82" s="37"/>
      <c r="C82" s="29"/>
      <c r="D82" s="29"/>
    </row>
    <row r="83">
      <c r="A83" s="29"/>
      <c r="B83" s="37"/>
      <c r="C83" s="29"/>
      <c r="D83" s="29"/>
    </row>
    <row r="84">
      <c r="A84" s="29"/>
      <c r="B84" s="37"/>
      <c r="C84" s="29"/>
      <c r="D84" s="29"/>
    </row>
    <row r="85">
      <c r="A85" s="29"/>
      <c r="B85" s="37"/>
      <c r="C85" s="29"/>
      <c r="D85" s="29"/>
    </row>
    <row r="86">
      <c r="A86" s="29"/>
      <c r="B86" s="37"/>
      <c r="C86" s="29"/>
      <c r="D86" s="29"/>
    </row>
    <row r="87">
      <c r="A87" s="29"/>
      <c r="B87" s="37"/>
      <c r="C87" s="29"/>
      <c r="D87" s="29"/>
    </row>
    <row r="88">
      <c r="A88" s="29"/>
      <c r="B88" s="37"/>
      <c r="C88" s="29"/>
      <c r="D88" s="29"/>
    </row>
    <row r="89">
      <c r="A89" s="29"/>
      <c r="B89" s="37"/>
      <c r="C89" s="29"/>
      <c r="D89" s="29"/>
    </row>
    <row r="90">
      <c r="A90" s="29"/>
      <c r="B90" s="37"/>
      <c r="C90" s="29"/>
      <c r="D90" s="29"/>
    </row>
    <row r="91">
      <c r="A91" s="29"/>
      <c r="B91" s="37"/>
      <c r="C91" s="29"/>
      <c r="D91" s="29"/>
    </row>
    <row r="92">
      <c r="A92" s="29"/>
      <c r="B92" s="37"/>
      <c r="C92" s="29"/>
      <c r="D92" s="29"/>
    </row>
    <row r="93">
      <c r="A93" s="29"/>
      <c r="B93" s="37"/>
      <c r="C93" s="29"/>
      <c r="D93" s="29"/>
    </row>
    <row r="94">
      <c r="A94" s="29"/>
      <c r="B94" s="37"/>
      <c r="C94" s="29"/>
      <c r="D94" s="29"/>
    </row>
    <row r="95">
      <c r="A95" s="29"/>
      <c r="B95" s="37"/>
      <c r="C95" s="29"/>
      <c r="D95" s="29"/>
    </row>
    <row r="96">
      <c r="A96" s="29"/>
      <c r="B96" s="37"/>
      <c r="C96" s="29"/>
      <c r="D96" s="29"/>
    </row>
    <row r="97">
      <c r="A97" s="29"/>
      <c r="B97" s="37"/>
      <c r="C97" s="29"/>
      <c r="D97" s="29"/>
    </row>
    <row r="98">
      <c r="A98" s="29"/>
      <c r="B98" s="37"/>
      <c r="C98" s="29"/>
      <c r="D98" s="29"/>
    </row>
    <row r="99">
      <c r="A99" s="29"/>
      <c r="B99" s="37"/>
      <c r="C99" s="29"/>
      <c r="D99" s="29"/>
    </row>
    <row r="100">
      <c r="A100" s="29"/>
      <c r="B100" s="37"/>
      <c r="C100" s="29"/>
      <c r="D100" s="29"/>
    </row>
    <row r="101">
      <c r="A101" s="29"/>
      <c r="B101" s="37"/>
      <c r="C101" s="29"/>
      <c r="D101" s="29"/>
    </row>
    <row r="102">
      <c r="A102" s="29"/>
      <c r="B102" s="37"/>
      <c r="C102" s="29"/>
      <c r="D102" s="29"/>
    </row>
    <row r="103">
      <c r="A103" s="29"/>
      <c r="B103" s="37"/>
      <c r="C103" s="29"/>
      <c r="D103" s="29"/>
    </row>
    <row r="104">
      <c r="A104" s="29"/>
      <c r="B104" s="37"/>
      <c r="C104" s="29"/>
      <c r="D104" s="29"/>
    </row>
    <row r="105">
      <c r="A105" s="29"/>
      <c r="B105" s="37"/>
      <c r="C105" s="29"/>
      <c r="D105" s="29"/>
    </row>
    <row r="106">
      <c r="A106" s="29"/>
      <c r="B106" s="37"/>
      <c r="C106" s="29"/>
      <c r="D106" s="29"/>
    </row>
    <row r="107">
      <c r="A107" s="29"/>
      <c r="B107" s="37"/>
      <c r="C107" s="29"/>
      <c r="D107" s="29"/>
    </row>
    <row r="108">
      <c r="A108" s="29"/>
      <c r="B108" s="37"/>
      <c r="C108" s="29"/>
      <c r="D108" s="29"/>
    </row>
    <row r="109">
      <c r="A109" s="29"/>
      <c r="B109" s="37"/>
      <c r="C109" s="29"/>
      <c r="D109" s="29"/>
    </row>
    <row r="110">
      <c r="A110" s="29"/>
      <c r="B110" s="37"/>
      <c r="C110" s="29"/>
      <c r="D110" s="29"/>
    </row>
    <row r="111">
      <c r="A111" s="29"/>
      <c r="B111" s="37"/>
      <c r="C111" s="29"/>
      <c r="D111" s="29"/>
    </row>
    <row r="112">
      <c r="A112" s="29"/>
      <c r="B112" s="37"/>
      <c r="C112" s="29"/>
      <c r="D112" s="29"/>
    </row>
    <row r="113">
      <c r="A113" s="29"/>
      <c r="B113" s="37"/>
      <c r="C113" s="29"/>
      <c r="D113" s="29"/>
    </row>
    <row r="114">
      <c r="A114" s="29"/>
      <c r="B114" s="37"/>
      <c r="C114" s="29"/>
      <c r="D114" s="29"/>
    </row>
    <row r="115">
      <c r="A115" s="29"/>
      <c r="B115" s="37"/>
      <c r="C115" s="29"/>
      <c r="D115" s="29"/>
    </row>
    <row r="116">
      <c r="A116" s="29"/>
      <c r="B116" s="37"/>
      <c r="C116" s="29"/>
      <c r="D116" s="29"/>
    </row>
    <row r="117">
      <c r="A117" s="29"/>
      <c r="B117" s="37"/>
      <c r="C117" s="29"/>
      <c r="D117" s="29"/>
    </row>
    <row r="118">
      <c r="A118" s="29"/>
      <c r="B118" s="37"/>
      <c r="C118" s="29"/>
      <c r="D118" s="29"/>
    </row>
    <row r="119">
      <c r="A119" s="29"/>
      <c r="B119" s="37"/>
      <c r="C119" s="29"/>
      <c r="D119" s="29"/>
    </row>
    <row r="120">
      <c r="A120" s="29"/>
      <c r="B120" s="37"/>
      <c r="C120" s="29"/>
      <c r="D120" s="29"/>
    </row>
    <row r="121">
      <c r="A121" s="29"/>
      <c r="B121" s="37"/>
      <c r="C121" s="29"/>
      <c r="D121" s="29"/>
    </row>
    <row r="122">
      <c r="A122" s="29"/>
      <c r="B122" s="37"/>
      <c r="C122" s="29"/>
      <c r="D122" s="29"/>
    </row>
    <row r="123">
      <c r="A123" s="29"/>
      <c r="B123" s="37"/>
      <c r="C123" s="29"/>
      <c r="D123" s="29"/>
    </row>
    <row r="124">
      <c r="A124" s="29"/>
      <c r="B124" s="37"/>
      <c r="C124" s="29"/>
      <c r="D124" s="29"/>
    </row>
    <row r="125">
      <c r="A125" s="29"/>
      <c r="B125" s="37"/>
      <c r="C125" s="29"/>
      <c r="D125" s="29"/>
    </row>
    <row r="126">
      <c r="A126" s="29"/>
      <c r="B126" s="37"/>
      <c r="C126" s="29"/>
      <c r="D126" s="29"/>
    </row>
    <row r="127">
      <c r="A127" s="29"/>
      <c r="B127" s="37"/>
      <c r="C127" s="29"/>
      <c r="D127" s="29"/>
    </row>
    <row r="128">
      <c r="A128" s="29"/>
      <c r="B128" s="37"/>
      <c r="C128" s="29"/>
      <c r="D128" s="29"/>
    </row>
    <row r="129">
      <c r="A129" s="29"/>
      <c r="B129" s="37"/>
      <c r="C129" s="29"/>
      <c r="D129" s="29"/>
    </row>
    <row r="130">
      <c r="A130" s="29"/>
      <c r="B130" s="37"/>
      <c r="C130" s="29"/>
      <c r="D130" s="29"/>
    </row>
    <row r="131">
      <c r="A131" s="29"/>
      <c r="B131" s="37"/>
      <c r="C131" s="29"/>
      <c r="D131" s="29"/>
    </row>
    <row r="132">
      <c r="A132" s="29"/>
      <c r="B132" s="37"/>
      <c r="C132" s="29"/>
      <c r="D132" s="29"/>
    </row>
    <row r="133">
      <c r="A133" s="29"/>
      <c r="B133" s="37"/>
      <c r="C133" s="29"/>
      <c r="D133" s="29"/>
    </row>
    <row r="134">
      <c r="A134" s="29"/>
      <c r="B134" s="37"/>
      <c r="C134" s="29"/>
      <c r="D134" s="29"/>
    </row>
    <row r="135">
      <c r="A135" s="29"/>
      <c r="B135" s="37"/>
      <c r="C135" s="29"/>
      <c r="D135" s="29"/>
    </row>
    <row r="136">
      <c r="A136" s="29"/>
      <c r="B136" s="37"/>
      <c r="C136" s="29"/>
      <c r="D136" s="29"/>
    </row>
    <row r="137">
      <c r="A137" s="29"/>
      <c r="B137" s="37"/>
      <c r="C137" s="29"/>
      <c r="D137" s="29"/>
    </row>
    <row r="138">
      <c r="A138" s="29"/>
      <c r="B138" s="37"/>
      <c r="C138" s="29"/>
      <c r="D138" s="29"/>
    </row>
    <row r="139">
      <c r="A139" s="29"/>
      <c r="B139" s="37"/>
      <c r="C139" s="29"/>
      <c r="D139" s="29"/>
    </row>
    <row r="140">
      <c r="A140" s="29"/>
      <c r="B140" s="37"/>
      <c r="C140" s="29"/>
      <c r="D140" s="29"/>
    </row>
    <row r="141">
      <c r="A141" s="29"/>
      <c r="B141" s="37"/>
      <c r="C141" s="29"/>
      <c r="D141" s="29"/>
    </row>
    <row r="142">
      <c r="A142" s="29"/>
      <c r="B142" s="37"/>
      <c r="C142" s="29"/>
      <c r="D142" s="29"/>
    </row>
    <row r="143">
      <c r="A143" s="29"/>
      <c r="B143" s="37"/>
      <c r="C143" s="29"/>
      <c r="D143" s="29"/>
    </row>
    <row r="144">
      <c r="A144" s="29"/>
      <c r="B144" s="37"/>
      <c r="C144" s="29"/>
      <c r="D144" s="29"/>
    </row>
    <row r="145">
      <c r="A145" s="29"/>
      <c r="B145" s="37"/>
      <c r="C145" s="29"/>
      <c r="D145" s="29"/>
    </row>
    <row r="146">
      <c r="A146" s="29"/>
      <c r="B146" s="37"/>
      <c r="C146" s="29"/>
      <c r="D146" s="29"/>
    </row>
    <row r="147">
      <c r="A147" s="29"/>
      <c r="B147" s="37"/>
      <c r="C147" s="29"/>
      <c r="D147" s="29"/>
    </row>
    <row r="148">
      <c r="A148" s="29"/>
      <c r="B148" s="37"/>
      <c r="C148" s="29"/>
      <c r="D148" s="29"/>
    </row>
    <row r="149">
      <c r="A149" s="29"/>
      <c r="B149" s="37"/>
      <c r="C149" s="29"/>
      <c r="D149" s="29"/>
    </row>
    <row r="150">
      <c r="A150" s="29"/>
      <c r="B150" s="37"/>
      <c r="C150" s="29"/>
      <c r="D150" s="29"/>
    </row>
    <row r="151">
      <c r="A151" s="29"/>
      <c r="B151" s="37"/>
      <c r="C151" s="29"/>
      <c r="D151" s="29"/>
    </row>
    <row r="152">
      <c r="A152" s="29"/>
      <c r="B152" s="37"/>
      <c r="C152" s="29"/>
      <c r="D152" s="29"/>
    </row>
    <row r="153">
      <c r="A153" s="29"/>
      <c r="B153" s="37"/>
      <c r="C153" s="29"/>
      <c r="D153" s="29"/>
    </row>
    <row r="154">
      <c r="A154" s="29"/>
      <c r="B154" s="37"/>
      <c r="C154" s="29"/>
      <c r="D154" s="29"/>
    </row>
    <row r="155">
      <c r="A155" s="29"/>
      <c r="B155" s="37"/>
      <c r="C155" s="29"/>
      <c r="D155" s="29"/>
    </row>
    <row r="156">
      <c r="A156" s="29"/>
      <c r="B156" s="37"/>
      <c r="C156" s="29"/>
      <c r="D156" s="29"/>
    </row>
    <row r="157">
      <c r="A157" s="29"/>
      <c r="B157" s="37"/>
      <c r="C157" s="29"/>
      <c r="D157" s="29"/>
    </row>
    <row r="158">
      <c r="A158" s="29"/>
      <c r="B158" s="37"/>
      <c r="C158" s="29"/>
      <c r="D158" s="29"/>
    </row>
    <row r="159">
      <c r="A159" s="29"/>
      <c r="B159" s="37"/>
      <c r="C159" s="29"/>
      <c r="D159" s="29"/>
    </row>
    <row r="160">
      <c r="A160" s="29"/>
      <c r="B160" s="37"/>
      <c r="C160" s="29"/>
      <c r="D160" s="29"/>
    </row>
    <row r="161">
      <c r="A161" s="29"/>
      <c r="B161" s="37"/>
      <c r="C161" s="29"/>
      <c r="D161" s="29"/>
    </row>
    <row r="162">
      <c r="A162" s="29"/>
      <c r="B162" s="37"/>
      <c r="C162" s="29"/>
      <c r="D162" s="29"/>
    </row>
    <row r="163">
      <c r="A163" s="29"/>
      <c r="B163" s="37"/>
      <c r="C163" s="29"/>
      <c r="D163" s="29"/>
    </row>
    <row r="164">
      <c r="A164" s="29"/>
      <c r="B164" s="37"/>
      <c r="C164" s="29"/>
      <c r="D164" s="29"/>
    </row>
    <row r="165">
      <c r="A165" s="29"/>
      <c r="B165" s="37"/>
      <c r="C165" s="29"/>
      <c r="D165" s="29"/>
    </row>
    <row r="166">
      <c r="A166" s="29"/>
      <c r="B166" s="37"/>
      <c r="C166" s="29"/>
      <c r="D166" s="29"/>
    </row>
    <row r="167">
      <c r="A167" s="29"/>
      <c r="B167" s="37"/>
      <c r="C167" s="29"/>
      <c r="D167" s="29"/>
    </row>
    <row r="168">
      <c r="A168" s="29"/>
      <c r="B168" s="37"/>
      <c r="C168" s="29"/>
      <c r="D168" s="29"/>
    </row>
    <row r="169">
      <c r="A169" s="29"/>
      <c r="B169" s="37"/>
      <c r="C169" s="29"/>
      <c r="D169" s="29"/>
    </row>
    <row r="170">
      <c r="A170" s="29"/>
      <c r="B170" s="37"/>
      <c r="C170" s="29"/>
      <c r="D170" s="29"/>
    </row>
    <row r="171">
      <c r="A171" s="29"/>
      <c r="B171" s="37"/>
      <c r="C171" s="29"/>
      <c r="D171" s="29"/>
    </row>
    <row r="172">
      <c r="A172" s="29"/>
      <c r="B172" s="37"/>
      <c r="C172" s="29"/>
      <c r="D172" s="29"/>
    </row>
    <row r="173">
      <c r="A173" s="29"/>
      <c r="B173" s="37"/>
      <c r="C173" s="29"/>
      <c r="D173" s="29"/>
    </row>
    <row r="174">
      <c r="A174" s="29"/>
      <c r="B174" s="37"/>
      <c r="C174" s="29"/>
      <c r="D174" s="29"/>
    </row>
    <row r="175">
      <c r="A175" s="29"/>
      <c r="B175" s="37"/>
      <c r="C175" s="29"/>
      <c r="D175" s="29"/>
    </row>
    <row r="176">
      <c r="A176" s="29"/>
      <c r="B176" s="37"/>
      <c r="C176" s="29"/>
      <c r="D176" s="29"/>
    </row>
    <row r="177">
      <c r="A177" s="29"/>
      <c r="B177" s="37"/>
      <c r="C177" s="29"/>
      <c r="D177" s="29"/>
    </row>
    <row r="178">
      <c r="A178" s="29"/>
      <c r="B178" s="37"/>
      <c r="C178" s="29"/>
      <c r="D178" s="29"/>
    </row>
    <row r="179">
      <c r="A179" s="29"/>
      <c r="B179" s="37"/>
      <c r="C179" s="29"/>
      <c r="D179" s="29"/>
    </row>
    <row r="180">
      <c r="A180" s="29"/>
      <c r="B180" s="37"/>
      <c r="C180" s="29"/>
      <c r="D180" s="29"/>
    </row>
    <row r="181">
      <c r="A181" s="29"/>
      <c r="B181" s="37"/>
      <c r="C181" s="29"/>
      <c r="D181" s="29"/>
    </row>
    <row r="182">
      <c r="A182" s="29"/>
      <c r="B182" s="37"/>
      <c r="C182" s="29"/>
      <c r="D182" s="29"/>
    </row>
    <row r="183">
      <c r="A183" s="29"/>
      <c r="B183" s="37"/>
      <c r="C183" s="29"/>
      <c r="D183" s="29"/>
    </row>
    <row r="184">
      <c r="A184" s="29"/>
      <c r="B184" s="37"/>
      <c r="C184" s="29"/>
      <c r="D184" s="29"/>
    </row>
    <row r="185">
      <c r="A185" s="29"/>
      <c r="B185" s="37"/>
      <c r="C185" s="29"/>
      <c r="D185" s="29"/>
    </row>
    <row r="186">
      <c r="A186" s="29"/>
      <c r="B186" s="37"/>
      <c r="C186" s="29"/>
      <c r="D186" s="29"/>
    </row>
    <row r="187">
      <c r="A187" s="29"/>
      <c r="B187" s="37"/>
      <c r="C187" s="29"/>
      <c r="D187" s="29"/>
    </row>
    <row r="188">
      <c r="A188" s="29"/>
      <c r="B188" s="37"/>
      <c r="C188" s="29"/>
      <c r="D188" s="29"/>
    </row>
    <row r="189">
      <c r="A189" s="29"/>
      <c r="B189" s="37"/>
      <c r="C189" s="29"/>
      <c r="D189" s="29"/>
    </row>
    <row r="190">
      <c r="A190" s="29"/>
      <c r="B190" s="37"/>
      <c r="C190" s="29"/>
      <c r="D190" s="29"/>
    </row>
    <row r="191">
      <c r="A191" s="29"/>
      <c r="B191" s="37"/>
      <c r="C191" s="29"/>
      <c r="D191" s="29"/>
    </row>
    <row r="192">
      <c r="A192" s="29"/>
      <c r="B192" s="37"/>
      <c r="C192" s="29"/>
      <c r="D192" s="29"/>
    </row>
    <row r="193">
      <c r="A193" s="29"/>
      <c r="B193" s="37"/>
      <c r="C193" s="29"/>
      <c r="D193" s="29"/>
    </row>
    <row r="194">
      <c r="A194" s="29"/>
      <c r="B194" s="37"/>
      <c r="C194" s="29"/>
      <c r="D194" s="29"/>
    </row>
    <row r="195">
      <c r="A195" s="29"/>
      <c r="B195" s="37"/>
      <c r="C195" s="29"/>
      <c r="D195" s="29"/>
    </row>
    <row r="196">
      <c r="A196" s="29"/>
      <c r="B196" s="37"/>
      <c r="C196" s="29"/>
      <c r="D196" s="29"/>
    </row>
    <row r="197">
      <c r="A197" s="29"/>
      <c r="B197" s="37"/>
      <c r="C197" s="29"/>
      <c r="D197" s="29"/>
    </row>
    <row r="198">
      <c r="A198" s="29"/>
      <c r="B198" s="37"/>
      <c r="C198" s="29"/>
      <c r="D198" s="29"/>
    </row>
    <row r="199">
      <c r="A199" s="29"/>
      <c r="B199" s="37"/>
      <c r="C199" s="29"/>
      <c r="D199" s="29"/>
    </row>
    <row r="200">
      <c r="A200" s="29"/>
      <c r="B200" s="37"/>
      <c r="C200" s="29"/>
      <c r="D200" s="29"/>
    </row>
    <row r="201">
      <c r="A201" s="29"/>
      <c r="B201" s="37"/>
      <c r="C201" s="29"/>
      <c r="D201" s="29"/>
    </row>
    <row r="202">
      <c r="A202" s="29"/>
      <c r="B202" s="37"/>
      <c r="C202" s="29"/>
      <c r="D202" s="29"/>
    </row>
    <row r="203">
      <c r="A203" s="29"/>
      <c r="B203" s="37"/>
      <c r="C203" s="29"/>
      <c r="D203" s="29"/>
    </row>
    <row r="204">
      <c r="A204" s="29"/>
      <c r="B204" s="37"/>
      <c r="C204" s="29"/>
      <c r="D204" s="29"/>
    </row>
    <row r="205">
      <c r="A205" s="29"/>
      <c r="B205" s="37"/>
      <c r="C205" s="29"/>
      <c r="D205" s="29"/>
    </row>
    <row r="206">
      <c r="A206" s="29"/>
      <c r="B206" s="37"/>
      <c r="C206" s="29"/>
      <c r="D206" s="29"/>
    </row>
    <row r="207">
      <c r="A207" s="29"/>
      <c r="B207" s="37"/>
      <c r="C207" s="29"/>
      <c r="D207" s="29"/>
    </row>
    <row r="208">
      <c r="A208" s="29"/>
      <c r="B208" s="37"/>
      <c r="C208" s="29"/>
      <c r="D208" s="29"/>
    </row>
    <row r="209">
      <c r="A209" s="29"/>
      <c r="B209" s="37"/>
      <c r="C209" s="29"/>
      <c r="D209" s="29"/>
    </row>
    <row r="210">
      <c r="A210" s="29"/>
      <c r="B210" s="37"/>
      <c r="C210" s="29"/>
      <c r="D210" s="29"/>
    </row>
    <row r="211">
      <c r="A211" s="29"/>
      <c r="B211" s="37"/>
      <c r="C211" s="29"/>
      <c r="D211" s="29"/>
    </row>
    <row r="212">
      <c r="A212" s="29"/>
      <c r="B212" s="37"/>
      <c r="C212" s="29"/>
      <c r="D212" s="29"/>
    </row>
    <row r="213">
      <c r="A213" s="29"/>
      <c r="B213" s="37"/>
      <c r="C213" s="29"/>
      <c r="D213" s="29"/>
    </row>
    <row r="214">
      <c r="A214" s="29"/>
      <c r="B214" s="37"/>
      <c r="C214" s="29"/>
      <c r="D214" s="29"/>
    </row>
    <row r="215">
      <c r="A215" s="29"/>
      <c r="B215" s="37"/>
      <c r="C215" s="29"/>
      <c r="D215" s="29"/>
    </row>
    <row r="216">
      <c r="A216" s="29"/>
      <c r="B216" s="37"/>
      <c r="C216" s="29"/>
      <c r="D216" s="29"/>
    </row>
    <row r="217">
      <c r="A217" s="29"/>
      <c r="B217" s="37"/>
      <c r="C217" s="29"/>
      <c r="D217" s="29"/>
    </row>
    <row r="218">
      <c r="A218" s="29"/>
      <c r="B218" s="37"/>
      <c r="C218" s="29"/>
      <c r="D218" s="29"/>
    </row>
    <row r="219">
      <c r="A219" s="29"/>
      <c r="B219" s="37"/>
      <c r="C219" s="29"/>
      <c r="D219" s="29"/>
    </row>
    <row r="220">
      <c r="A220" s="29"/>
      <c r="B220" s="37"/>
      <c r="C220" s="29"/>
      <c r="D220" s="29"/>
    </row>
    <row r="221">
      <c r="A221" s="29"/>
      <c r="B221" s="37"/>
      <c r="C221" s="29"/>
      <c r="D221" s="29"/>
    </row>
    <row r="222">
      <c r="A222" s="29"/>
      <c r="B222" s="37"/>
      <c r="C222" s="29"/>
      <c r="D222" s="29"/>
    </row>
    <row r="223">
      <c r="A223" s="29"/>
      <c r="B223" s="37"/>
      <c r="C223" s="29"/>
      <c r="D223" s="29"/>
    </row>
    <row r="224">
      <c r="A224" s="29"/>
      <c r="B224" s="37"/>
      <c r="C224" s="29"/>
      <c r="D224" s="29"/>
    </row>
    <row r="225">
      <c r="A225" s="29"/>
      <c r="B225" s="37"/>
      <c r="C225" s="29"/>
      <c r="D225" s="29"/>
    </row>
    <row r="226">
      <c r="A226" s="29"/>
      <c r="B226" s="37"/>
      <c r="C226" s="29"/>
      <c r="D226" s="29"/>
    </row>
    <row r="227">
      <c r="A227" s="29"/>
      <c r="B227" s="37"/>
      <c r="C227" s="29"/>
      <c r="D227" s="29"/>
    </row>
    <row r="228">
      <c r="A228" s="29"/>
      <c r="B228" s="37"/>
      <c r="C228" s="29"/>
      <c r="D228" s="29"/>
    </row>
    <row r="229">
      <c r="A229" s="29"/>
      <c r="B229" s="37"/>
      <c r="C229" s="29"/>
      <c r="D229" s="29"/>
    </row>
    <row r="230">
      <c r="A230" s="29"/>
      <c r="B230" s="37"/>
      <c r="C230" s="29"/>
      <c r="D230" s="29"/>
    </row>
    <row r="231">
      <c r="A231" s="29"/>
      <c r="B231" s="37"/>
      <c r="C231" s="29"/>
      <c r="D231" s="29"/>
    </row>
    <row r="232">
      <c r="A232" s="29"/>
      <c r="B232" s="37"/>
      <c r="C232" s="29"/>
      <c r="D232" s="29"/>
    </row>
    <row r="233">
      <c r="A233" s="29"/>
      <c r="B233" s="37"/>
      <c r="C233" s="29"/>
      <c r="D233" s="29"/>
    </row>
    <row r="234">
      <c r="A234" s="29"/>
      <c r="B234" s="37"/>
      <c r="C234" s="29"/>
      <c r="D234" s="29"/>
    </row>
    <row r="235">
      <c r="A235" s="29"/>
      <c r="B235" s="37"/>
      <c r="C235" s="29"/>
      <c r="D235" s="29"/>
    </row>
    <row r="236">
      <c r="A236" s="29"/>
      <c r="B236" s="37"/>
      <c r="C236" s="29"/>
      <c r="D236" s="29"/>
    </row>
    <row r="237">
      <c r="A237" s="29"/>
      <c r="B237" s="37"/>
      <c r="C237" s="29"/>
      <c r="D237" s="29"/>
    </row>
    <row r="238">
      <c r="A238" s="29"/>
      <c r="B238" s="37"/>
      <c r="C238" s="29"/>
      <c r="D238" s="29"/>
    </row>
    <row r="239">
      <c r="A239" s="29"/>
      <c r="B239" s="37"/>
      <c r="C239" s="29"/>
      <c r="D239" s="29"/>
    </row>
    <row r="240">
      <c r="A240" s="29"/>
      <c r="B240" s="37"/>
      <c r="C240" s="29"/>
      <c r="D240" s="29"/>
    </row>
    <row r="241">
      <c r="A241" s="29"/>
      <c r="B241" s="37"/>
      <c r="C241" s="29"/>
      <c r="D241" s="29"/>
    </row>
    <row r="242">
      <c r="A242" s="29"/>
      <c r="B242" s="37"/>
      <c r="C242" s="29"/>
      <c r="D242" s="29"/>
    </row>
    <row r="243">
      <c r="A243" s="29"/>
      <c r="B243" s="37"/>
      <c r="C243" s="29"/>
      <c r="D243" s="29"/>
    </row>
    <row r="244">
      <c r="A244" s="29"/>
      <c r="B244" s="37"/>
      <c r="C244" s="29"/>
      <c r="D244" s="29"/>
    </row>
    <row r="245">
      <c r="A245" s="29"/>
      <c r="B245" s="37"/>
      <c r="C245" s="29"/>
      <c r="D245" s="29"/>
    </row>
    <row r="246">
      <c r="A246" s="29"/>
      <c r="B246" s="37"/>
      <c r="C246" s="29"/>
      <c r="D246" s="29"/>
    </row>
    <row r="247">
      <c r="A247" s="29"/>
      <c r="B247" s="37"/>
      <c r="C247" s="29"/>
      <c r="D247" s="29"/>
    </row>
    <row r="248">
      <c r="A248" s="29"/>
      <c r="B248" s="37"/>
      <c r="C248" s="29"/>
      <c r="D248" s="29"/>
    </row>
    <row r="249">
      <c r="A249" s="29"/>
      <c r="B249" s="37"/>
      <c r="C249" s="29"/>
      <c r="D249" s="29"/>
    </row>
    <row r="250">
      <c r="A250" s="29"/>
      <c r="B250" s="37"/>
      <c r="C250" s="29"/>
      <c r="D250" s="29"/>
    </row>
    <row r="251">
      <c r="A251" s="29"/>
      <c r="B251" s="37"/>
      <c r="C251" s="29"/>
      <c r="D251" s="29"/>
    </row>
    <row r="252">
      <c r="A252" s="29"/>
      <c r="B252" s="37"/>
      <c r="C252" s="29"/>
      <c r="D252" s="29"/>
    </row>
    <row r="253">
      <c r="A253" s="29"/>
      <c r="B253" s="37"/>
      <c r="C253" s="29"/>
      <c r="D253" s="29"/>
    </row>
    <row r="254">
      <c r="A254" s="29"/>
      <c r="B254" s="37"/>
      <c r="C254" s="29"/>
      <c r="D254" s="29"/>
    </row>
    <row r="255">
      <c r="A255" s="29"/>
      <c r="B255" s="37"/>
      <c r="C255" s="29"/>
      <c r="D255" s="29"/>
    </row>
    <row r="256">
      <c r="A256" s="29"/>
      <c r="B256" s="37"/>
      <c r="C256" s="29"/>
      <c r="D256" s="29"/>
    </row>
    <row r="257">
      <c r="A257" s="29"/>
      <c r="B257" s="37"/>
      <c r="C257" s="29"/>
      <c r="D257" s="29"/>
    </row>
    <row r="258">
      <c r="A258" s="29"/>
      <c r="B258" s="37"/>
      <c r="C258" s="29"/>
      <c r="D258" s="29"/>
    </row>
    <row r="259">
      <c r="A259" s="29"/>
      <c r="B259" s="37"/>
      <c r="C259" s="29"/>
      <c r="D259" s="29"/>
    </row>
    <row r="260">
      <c r="A260" s="29"/>
      <c r="B260" s="37"/>
      <c r="C260" s="29"/>
      <c r="D260" s="29"/>
    </row>
    <row r="261">
      <c r="A261" s="29"/>
      <c r="B261" s="37"/>
      <c r="C261" s="29"/>
      <c r="D261" s="29"/>
    </row>
    <row r="262">
      <c r="A262" s="29"/>
      <c r="B262" s="37"/>
      <c r="C262" s="29"/>
      <c r="D262" s="29"/>
    </row>
    <row r="263">
      <c r="A263" s="29"/>
      <c r="B263" s="37"/>
      <c r="C263" s="29"/>
      <c r="D263" s="29"/>
    </row>
    <row r="264">
      <c r="A264" s="29"/>
      <c r="B264" s="37"/>
      <c r="C264" s="29"/>
      <c r="D264" s="29"/>
    </row>
    <row r="265">
      <c r="A265" s="29"/>
      <c r="B265" s="37"/>
      <c r="C265" s="29"/>
      <c r="D265" s="29"/>
    </row>
    <row r="266">
      <c r="A266" s="29"/>
      <c r="B266" s="37"/>
      <c r="C266" s="29"/>
      <c r="D266" s="29"/>
    </row>
    <row r="267">
      <c r="A267" s="29"/>
      <c r="B267" s="37"/>
      <c r="C267" s="29"/>
      <c r="D267" s="29"/>
    </row>
    <row r="268">
      <c r="A268" s="29"/>
      <c r="B268" s="37"/>
      <c r="C268" s="29"/>
      <c r="D268" s="29"/>
    </row>
    <row r="269">
      <c r="A269" s="29"/>
      <c r="B269" s="37"/>
      <c r="C269" s="29"/>
      <c r="D269" s="29"/>
    </row>
    <row r="270">
      <c r="A270" s="29"/>
      <c r="B270" s="37"/>
      <c r="C270" s="29"/>
      <c r="D270" s="29"/>
    </row>
    <row r="271">
      <c r="A271" s="29"/>
      <c r="B271" s="37"/>
      <c r="C271" s="29"/>
      <c r="D271" s="29"/>
    </row>
    <row r="272">
      <c r="A272" s="29"/>
      <c r="B272" s="37"/>
      <c r="C272" s="29"/>
      <c r="D272" s="29"/>
    </row>
    <row r="273">
      <c r="A273" s="29"/>
      <c r="B273" s="37"/>
      <c r="C273" s="29"/>
      <c r="D273" s="29"/>
    </row>
    <row r="274">
      <c r="A274" s="29"/>
      <c r="B274" s="37"/>
      <c r="C274" s="29"/>
      <c r="D274" s="29"/>
    </row>
    <row r="275">
      <c r="A275" s="29"/>
      <c r="B275" s="37"/>
      <c r="C275" s="29"/>
      <c r="D275" s="29"/>
    </row>
    <row r="276">
      <c r="A276" s="29"/>
      <c r="B276" s="37"/>
      <c r="C276" s="29"/>
      <c r="D276" s="29"/>
    </row>
    <row r="277">
      <c r="A277" s="29"/>
      <c r="B277" s="37"/>
      <c r="C277" s="29"/>
      <c r="D277" s="29"/>
    </row>
    <row r="278">
      <c r="A278" s="29"/>
      <c r="B278" s="37"/>
      <c r="C278" s="29"/>
      <c r="D278" s="29"/>
    </row>
    <row r="279">
      <c r="A279" s="29"/>
      <c r="B279" s="37"/>
      <c r="C279" s="29"/>
      <c r="D279" s="29"/>
    </row>
    <row r="280">
      <c r="A280" s="29"/>
      <c r="B280" s="37"/>
      <c r="C280" s="29"/>
      <c r="D280" s="29"/>
    </row>
    <row r="281">
      <c r="A281" s="29"/>
      <c r="B281" s="37"/>
      <c r="C281" s="29"/>
      <c r="D281" s="29"/>
    </row>
    <row r="282">
      <c r="A282" s="29"/>
      <c r="B282" s="37"/>
      <c r="C282" s="29"/>
      <c r="D282" s="29"/>
    </row>
    <row r="283">
      <c r="A283" s="29"/>
      <c r="B283" s="37"/>
      <c r="C283" s="29"/>
      <c r="D283" s="29"/>
    </row>
    <row r="284">
      <c r="A284" s="29"/>
      <c r="B284" s="37"/>
      <c r="C284" s="29"/>
      <c r="D284" s="29"/>
    </row>
    <row r="285">
      <c r="A285" s="29"/>
      <c r="B285" s="37"/>
      <c r="C285" s="29"/>
      <c r="D285" s="29"/>
    </row>
    <row r="286">
      <c r="A286" s="29"/>
      <c r="B286" s="37"/>
      <c r="C286" s="29"/>
      <c r="D286" s="29"/>
    </row>
    <row r="287">
      <c r="A287" s="29"/>
      <c r="B287" s="37"/>
      <c r="C287" s="29"/>
      <c r="D287" s="29"/>
    </row>
    <row r="288">
      <c r="A288" s="29"/>
      <c r="B288" s="37"/>
      <c r="C288" s="29"/>
      <c r="D288" s="29"/>
    </row>
    <row r="289">
      <c r="A289" s="29"/>
      <c r="B289" s="37"/>
      <c r="C289" s="29"/>
      <c r="D289" s="29"/>
    </row>
    <row r="290">
      <c r="A290" s="29"/>
      <c r="B290" s="37"/>
      <c r="C290" s="29"/>
      <c r="D290" s="29"/>
    </row>
    <row r="291">
      <c r="A291" s="29"/>
      <c r="B291" s="37"/>
      <c r="C291" s="29"/>
      <c r="D291" s="29"/>
    </row>
    <row r="292">
      <c r="A292" s="29"/>
      <c r="B292" s="37"/>
      <c r="C292" s="29"/>
      <c r="D292" s="29"/>
    </row>
    <row r="293">
      <c r="A293" s="29"/>
      <c r="B293" s="37"/>
      <c r="C293" s="29"/>
      <c r="D293" s="29"/>
    </row>
    <row r="294">
      <c r="A294" s="29"/>
      <c r="B294" s="37"/>
      <c r="C294" s="29"/>
      <c r="D294" s="29"/>
    </row>
    <row r="295">
      <c r="A295" s="29"/>
      <c r="B295" s="37"/>
      <c r="C295" s="29"/>
      <c r="D295" s="29"/>
    </row>
    <row r="296">
      <c r="A296" s="29"/>
      <c r="B296" s="37"/>
      <c r="C296" s="29"/>
      <c r="D296" s="29"/>
    </row>
    <row r="297">
      <c r="A297" s="29"/>
      <c r="B297" s="37"/>
      <c r="C297" s="29"/>
      <c r="D297" s="29"/>
    </row>
    <row r="298">
      <c r="A298" s="29"/>
      <c r="B298" s="37"/>
      <c r="C298" s="29"/>
      <c r="D298" s="29"/>
    </row>
    <row r="299">
      <c r="A299" s="29"/>
      <c r="B299" s="37"/>
      <c r="C299" s="29"/>
      <c r="D299" s="29"/>
    </row>
    <row r="300">
      <c r="A300" s="29"/>
      <c r="B300" s="37"/>
      <c r="C300" s="29"/>
      <c r="D300" s="29"/>
    </row>
    <row r="301">
      <c r="A301" s="29"/>
      <c r="B301" s="37"/>
      <c r="C301" s="29"/>
      <c r="D301" s="29"/>
    </row>
    <row r="302">
      <c r="A302" s="29"/>
      <c r="B302" s="37"/>
      <c r="C302" s="29"/>
      <c r="D302" s="29"/>
    </row>
    <row r="303">
      <c r="A303" s="29"/>
      <c r="B303" s="37"/>
      <c r="C303" s="29"/>
      <c r="D303" s="29"/>
    </row>
    <row r="304">
      <c r="A304" s="29"/>
      <c r="B304" s="37"/>
      <c r="C304" s="29"/>
      <c r="D304" s="29"/>
    </row>
    <row r="305">
      <c r="A305" s="29"/>
      <c r="B305" s="37"/>
      <c r="C305" s="29"/>
      <c r="D305" s="29"/>
    </row>
    <row r="306">
      <c r="A306" s="29"/>
      <c r="B306" s="37"/>
      <c r="C306" s="29"/>
      <c r="D306" s="29"/>
    </row>
    <row r="307">
      <c r="A307" s="29"/>
      <c r="B307" s="37"/>
      <c r="C307" s="29"/>
      <c r="D307" s="29"/>
    </row>
    <row r="308">
      <c r="A308" s="29"/>
      <c r="B308" s="37"/>
      <c r="C308" s="29"/>
      <c r="D308" s="29"/>
    </row>
    <row r="309">
      <c r="A309" s="29"/>
      <c r="B309" s="37"/>
      <c r="C309" s="29"/>
      <c r="D309" s="29"/>
    </row>
    <row r="310">
      <c r="A310" s="29"/>
      <c r="B310" s="37"/>
      <c r="C310" s="29"/>
      <c r="D310" s="29"/>
    </row>
    <row r="311">
      <c r="A311" s="29"/>
      <c r="B311" s="37"/>
      <c r="C311" s="29"/>
      <c r="D311" s="29"/>
    </row>
    <row r="312">
      <c r="A312" s="29"/>
      <c r="B312" s="37"/>
      <c r="C312" s="29"/>
      <c r="D312" s="29"/>
    </row>
    <row r="313">
      <c r="A313" s="29"/>
      <c r="B313" s="37"/>
      <c r="C313" s="29"/>
      <c r="D313" s="29"/>
    </row>
    <row r="314">
      <c r="A314" s="29"/>
      <c r="B314" s="37"/>
      <c r="C314" s="29"/>
      <c r="D314" s="29"/>
    </row>
    <row r="315">
      <c r="A315" s="29"/>
      <c r="B315" s="37"/>
      <c r="C315" s="29"/>
      <c r="D315" s="29"/>
    </row>
    <row r="316">
      <c r="A316" s="29"/>
      <c r="B316" s="37"/>
      <c r="C316" s="29"/>
      <c r="D316" s="29"/>
    </row>
    <row r="317">
      <c r="A317" s="29"/>
      <c r="B317" s="37"/>
      <c r="C317" s="29"/>
      <c r="D317" s="29"/>
    </row>
    <row r="318">
      <c r="A318" s="29"/>
      <c r="B318" s="37"/>
      <c r="C318" s="29"/>
      <c r="D318" s="29"/>
    </row>
    <row r="319">
      <c r="A319" s="29"/>
      <c r="B319" s="37"/>
      <c r="C319" s="29"/>
      <c r="D319" s="29"/>
    </row>
    <row r="320">
      <c r="A320" s="29"/>
      <c r="B320" s="37"/>
      <c r="C320" s="29"/>
      <c r="D320" s="29"/>
    </row>
    <row r="321">
      <c r="A321" s="29"/>
      <c r="B321" s="37"/>
      <c r="C321" s="29"/>
      <c r="D321" s="29"/>
    </row>
    <row r="322">
      <c r="A322" s="29"/>
      <c r="B322" s="37"/>
      <c r="C322" s="29"/>
      <c r="D322" s="29"/>
    </row>
    <row r="323">
      <c r="A323" s="29"/>
      <c r="B323" s="37"/>
      <c r="C323" s="29"/>
      <c r="D323" s="29"/>
    </row>
    <row r="324">
      <c r="A324" s="29"/>
      <c r="B324" s="37"/>
      <c r="C324" s="29"/>
      <c r="D324" s="29"/>
    </row>
    <row r="325">
      <c r="A325" s="29"/>
      <c r="B325" s="37"/>
      <c r="C325" s="29"/>
      <c r="D325" s="29"/>
    </row>
    <row r="326">
      <c r="A326" s="29"/>
      <c r="B326" s="37"/>
      <c r="C326" s="29"/>
      <c r="D326" s="29"/>
    </row>
    <row r="327">
      <c r="A327" s="29"/>
      <c r="B327" s="37"/>
      <c r="C327" s="29"/>
      <c r="D327" s="29"/>
    </row>
    <row r="328">
      <c r="A328" s="29"/>
      <c r="B328" s="37"/>
      <c r="C328" s="29"/>
      <c r="D328" s="29"/>
    </row>
    <row r="329">
      <c r="A329" s="29"/>
      <c r="B329" s="37"/>
      <c r="C329" s="29"/>
      <c r="D329" s="29"/>
    </row>
    <row r="330">
      <c r="A330" s="29"/>
      <c r="B330" s="37"/>
      <c r="C330" s="29"/>
      <c r="D330" s="29"/>
    </row>
    <row r="331">
      <c r="A331" s="29"/>
      <c r="B331" s="37"/>
      <c r="C331" s="29"/>
      <c r="D331" s="29"/>
    </row>
    <row r="332">
      <c r="A332" s="29"/>
      <c r="B332" s="37"/>
      <c r="C332" s="29"/>
      <c r="D332" s="29"/>
    </row>
    <row r="333">
      <c r="A333" s="29"/>
      <c r="B333" s="37"/>
      <c r="C333" s="29"/>
      <c r="D333" s="29"/>
    </row>
    <row r="334">
      <c r="A334" s="29"/>
      <c r="B334" s="37"/>
      <c r="C334" s="29"/>
      <c r="D334" s="29"/>
    </row>
    <row r="335">
      <c r="A335" s="29"/>
      <c r="B335" s="37"/>
      <c r="C335" s="29"/>
      <c r="D335" s="29"/>
    </row>
    <row r="336">
      <c r="A336" s="29"/>
      <c r="B336" s="37"/>
      <c r="C336" s="29"/>
      <c r="D336" s="29"/>
    </row>
    <row r="337">
      <c r="A337" s="29"/>
      <c r="B337" s="37"/>
      <c r="C337" s="29"/>
      <c r="D337" s="29"/>
    </row>
    <row r="338">
      <c r="A338" s="29"/>
      <c r="B338" s="37"/>
      <c r="C338" s="29"/>
      <c r="D338" s="29"/>
    </row>
    <row r="339">
      <c r="A339" s="29"/>
      <c r="B339" s="37"/>
      <c r="C339" s="29"/>
      <c r="D339" s="29"/>
    </row>
    <row r="340">
      <c r="A340" s="29"/>
      <c r="B340" s="37"/>
      <c r="C340" s="29"/>
      <c r="D340" s="29"/>
    </row>
    <row r="341">
      <c r="A341" s="29"/>
      <c r="B341" s="37"/>
      <c r="C341" s="29"/>
      <c r="D341" s="29"/>
    </row>
    <row r="342">
      <c r="A342" s="29"/>
      <c r="B342" s="37"/>
      <c r="C342" s="29"/>
      <c r="D342" s="29"/>
    </row>
    <row r="343">
      <c r="A343" s="29"/>
      <c r="B343" s="37"/>
      <c r="C343" s="29"/>
      <c r="D343" s="29"/>
    </row>
    <row r="344">
      <c r="A344" s="29"/>
      <c r="B344" s="37"/>
      <c r="C344" s="29"/>
      <c r="D344" s="29"/>
    </row>
    <row r="345">
      <c r="A345" s="29"/>
      <c r="B345" s="37"/>
      <c r="C345" s="29"/>
      <c r="D345" s="29"/>
    </row>
    <row r="346">
      <c r="A346" s="29"/>
      <c r="B346" s="37"/>
      <c r="C346" s="29"/>
      <c r="D346" s="29"/>
    </row>
    <row r="347">
      <c r="A347" s="29"/>
      <c r="B347" s="37"/>
      <c r="C347" s="29"/>
      <c r="D347" s="29"/>
    </row>
    <row r="348">
      <c r="A348" s="29"/>
      <c r="B348" s="37"/>
      <c r="C348" s="29"/>
      <c r="D348" s="29"/>
    </row>
    <row r="349">
      <c r="A349" s="29"/>
      <c r="B349" s="37"/>
      <c r="C349" s="29"/>
      <c r="D349" s="29"/>
    </row>
    <row r="350">
      <c r="A350" s="29"/>
      <c r="B350" s="37"/>
      <c r="C350" s="29"/>
      <c r="D350" s="29"/>
    </row>
    <row r="351">
      <c r="A351" s="29"/>
      <c r="B351" s="37"/>
      <c r="C351" s="29"/>
      <c r="D351" s="29"/>
    </row>
    <row r="352">
      <c r="A352" s="29"/>
      <c r="B352" s="37"/>
      <c r="C352" s="29"/>
      <c r="D352" s="29"/>
    </row>
    <row r="353">
      <c r="A353" s="29"/>
      <c r="B353" s="37"/>
      <c r="C353" s="29"/>
      <c r="D353" s="29"/>
    </row>
    <row r="354">
      <c r="A354" s="29"/>
      <c r="B354" s="37"/>
      <c r="C354" s="29"/>
      <c r="D354" s="29"/>
    </row>
    <row r="355">
      <c r="A355" s="29"/>
      <c r="B355" s="37"/>
      <c r="C355" s="29"/>
      <c r="D355" s="29"/>
    </row>
    <row r="356">
      <c r="A356" s="29"/>
      <c r="B356" s="37"/>
      <c r="C356" s="29"/>
      <c r="D356" s="29"/>
    </row>
    <row r="357">
      <c r="A357" s="29"/>
      <c r="B357" s="37"/>
      <c r="C357" s="29"/>
      <c r="D357" s="29"/>
    </row>
    <row r="358">
      <c r="A358" s="29"/>
      <c r="B358" s="37"/>
      <c r="C358" s="29"/>
      <c r="D358" s="29"/>
    </row>
    <row r="359">
      <c r="A359" s="29"/>
      <c r="B359" s="37"/>
      <c r="C359" s="29"/>
      <c r="D359" s="29"/>
    </row>
    <row r="360">
      <c r="A360" s="29"/>
      <c r="B360" s="37"/>
      <c r="C360" s="29"/>
      <c r="D360" s="29"/>
    </row>
    <row r="361">
      <c r="A361" s="29"/>
      <c r="B361" s="37"/>
      <c r="C361" s="29"/>
      <c r="D361" s="29"/>
    </row>
    <row r="362">
      <c r="A362" s="29"/>
      <c r="B362" s="37"/>
      <c r="C362" s="29"/>
      <c r="D362" s="29"/>
    </row>
    <row r="363">
      <c r="A363" s="29"/>
      <c r="B363" s="37"/>
      <c r="C363" s="29"/>
      <c r="D363" s="29"/>
    </row>
    <row r="364">
      <c r="A364" s="29"/>
      <c r="B364" s="37"/>
      <c r="C364" s="29"/>
      <c r="D364" s="29"/>
    </row>
    <row r="365">
      <c r="A365" s="29"/>
      <c r="B365" s="37"/>
      <c r="C365" s="29"/>
      <c r="D365" s="29"/>
    </row>
    <row r="366">
      <c r="A366" s="29"/>
      <c r="B366" s="37"/>
      <c r="C366" s="29"/>
      <c r="D366" s="29"/>
    </row>
    <row r="367">
      <c r="A367" s="29"/>
      <c r="B367" s="37"/>
      <c r="C367" s="29"/>
      <c r="D367" s="29"/>
    </row>
    <row r="368">
      <c r="A368" s="29"/>
      <c r="B368" s="37"/>
      <c r="C368" s="29"/>
      <c r="D368" s="29"/>
    </row>
    <row r="369">
      <c r="A369" s="29"/>
      <c r="B369" s="37"/>
      <c r="C369" s="29"/>
      <c r="D369" s="29"/>
    </row>
    <row r="370">
      <c r="A370" s="29"/>
      <c r="B370" s="37"/>
      <c r="C370" s="29"/>
      <c r="D370" s="29"/>
    </row>
    <row r="371">
      <c r="A371" s="29"/>
      <c r="B371" s="37"/>
      <c r="C371" s="29"/>
      <c r="D371" s="29"/>
    </row>
    <row r="372">
      <c r="A372" s="29"/>
      <c r="B372" s="37"/>
      <c r="C372" s="29"/>
      <c r="D372" s="29"/>
    </row>
    <row r="373">
      <c r="A373" s="29"/>
      <c r="B373" s="37"/>
      <c r="C373" s="29"/>
      <c r="D373" s="29"/>
    </row>
    <row r="374">
      <c r="A374" s="29"/>
      <c r="B374" s="37"/>
      <c r="C374" s="29"/>
      <c r="D374" s="29"/>
    </row>
    <row r="375">
      <c r="A375" s="29"/>
      <c r="B375" s="37"/>
      <c r="C375" s="29"/>
      <c r="D375" s="29"/>
    </row>
    <row r="376">
      <c r="A376" s="29"/>
      <c r="B376" s="37"/>
      <c r="C376" s="29"/>
      <c r="D376" s="29"/>
    </row>
    <row r="377">
      <c r="A377" s="29"/>
      <c r="B377" s="37"/>
      <c r="C377" s="29"/>
      <c r="D377" s="29"/>
    </row>
    <row r="378">
      <c r="A378" s="29"/>
      <c r="B378" s="37"/>
      <c r="C378" s="29"/>
      <c r="D378" s="29"/>
    </row>
    <row r="379">
      <c r="A379" s="29"/>
      <c r="B379" s="37"/>
      <c r="C379" s="29"/>
      <c r="D379" s="29"/>
    </row>
    <row r="380">
      <c r="A380" s="29"/>
      <c r="B380" s="37"/>
      <c r="C380" s="29"/>
      <c r="D380" s="29"/>
    </row>
    <row r="381">
      <c r="A381" s="29"/>
      <c r="B381" s="37"/>
      <c r="C381" s="29"/>
      <c r="D381" s="29"/>
    </row>
    <row r="382">
      <c r="A382" s="29"/>
      <c r="B382" s="37"/>
      <c r="C382" s="29"/>
      <c r="D382" s="29"/>
    </row>
    <row r="383">
      <c r="A383" s="29"/>
      <c r="B383" s="37"/>
      <c r="C383" s="29"/>
      <c r="D383" s="29"/>
    </row>
    <row r="384">
      <c r="A384" s="29"/>
      <c r="B384" s="37"/>
      <c r="C384" s="29"/>
      <c r="D384" s="29"/>
    </row>
    <row r="385">
      <c r="A385" s="29"/>
      <c r="B385" s="37"/>
      <c r="C385" s="29"/>
      <c r="D385" s="29"/>
    </row>
    <row r="386">
      <c r="A386" s="29"/>
      <c r="B386" s="37"/>
      <c r="C386" s="29"/>
      <c r="D386" s="29"/>
    </row>
    <row r="387">
      <c r="A387" s="29"/>
      <c r="B387" s="37"/>
      <c r="C387" s="29"/>
      <c r="D387" s="29"/>
    </row>
    <row r="388">
      <c r="A388" s="29"/>
      <c r="B388" s="37"/>
      <c r="C388" s="29"/>
      <c r="D388" s="29"/>
    </row>
    <row r="389">
      <c r="A389" s="29"/>
      <c r="B389" s="37"/>
      <c r="C389" s="29"/>
      <c r="D389" s="29"/>
    </row>
    <row r="390">
      <c r="A390" s="29"/>
      <c r="B390" s="37"/>
      <c r="C390" s="29"/>
      <c r="D390" s="29"/>
    </row>
    <row r="391">
      <c r="A391" s="29"/>
      <c r="B391" s="37"/>
      <c r="C391" s="29"/>
      <c r="D391" s="29"/>
    </row>
    <row r="392">
      <c r="A392" s="29"/>
      <c r="B392" s="37"/>
      <c r="C392" s="29"/>
      <c r="D392" s="29"/>
    </row>
    <row r="393">
      <c r="A393" s="29"/>
      <c r="B393" s="37"/>
      <c r="C393" s="29"/>
      <c r="D393" s="29"/>
    </row>
    <row r="394">
      <c r="A394" s="29"/>
      <c r="B394" s="37"/>
      <c r="C394" s="29"/>
      <c r="D394" s="29"/>
    </row>
    <row r="395">
      <c r="A395" s="29"/>
      <c r="B395" s="37"/>
      <c r="C395" s="29"/>
      <c r="D395" s="29"/>
    </row>
    <row r="396">
      <c r="A396" s="29"/>
      <c r="B396" s="37"/>
      <c r="C396" s="29"/>
      <c r="D396" s="29"/>
    </row>
    <row r="397">
      <c r="A397" s="29"/>
      <c r="B397" s="37"/>
      <c r="C397" s="29"/>
      <c r="D397" s="29"/>
    </row>
    <row r="398">
      <c r="A398" s="29"/>
      <c r="B398" s="37"/>
      <c r="C398" s="29"/>
      <c r="D398" s="29"/>
    </row>
    <row r="399">
      <c r="A399" s="29"/>
      <c r="B399" s="37"/>
      <c r="C399" s="29"/>
      <c r="D399" s="29"/>
    </row>
    <row r="400">
      <c r="A400" s="29"/>
      <c r="B400" s="37"/>
      <c r="C400" s="29"/>
      <c r="D400" s="29"/>
    </row>
    <row r="401">
      <c r="A401" s="29"/>
      <c r="B401" s="37"/>
      <c r="C401" s="29"/>
      <c r="D401" s="29"/>
    </row>
    <row r="402">
      <c r="A402" s="29"/>
      <c r="B402" s="37"/>
      <c r="C402" s="29"/>
      <c r="D402" s="29"/>
    </row>
    <row r="403">
      <c r="A403" s="29"/>
      <c r="B403" s="37"/>
      <c r="C403" s="29"/>
      <c r="D403" s="29"/>
    </row>
    <row r="404">
      <c r="A404" s="29"/>
      <c r="B404" s="37"/>
      <c r="C404" s="29"/>
      <c r="D404" s="29"/>
    </row>
    <row r="405">
      <c r="A405" s="29"/>
      <c r="B405" s="37"/>
      <c r="C405" s="29"/>
      <c r="D405" s="29"/>
    </row>
    <row r="406">
      <c r="A406" s="29"/>
      <c r="B406" s="37"/>
      <c r="C406" s="29"/>
      <c r="D406" s="29"/>
    </row>
    <row r="407">
      <c r="A407" s="29"/>
      <c r="B407" s="37"/>
      <c r="C407" s="29"/>
      <c r="D407" s="29"/>
    </row>
    <row r="408">
      <c r="A408" s="29"/>
      <c r="B408" s="37"/>
      <c r="C408" s="29"/>
      <c r="D408" s="29"/>
    </row>
    <row r="409">
      <c r="A409" s="29"/>
      <c r="B409" s="37"/>
      <c r="C409" s="29"/>
      <c r="D409" s="29"/>
    </row>
    <row r="410">
      <c r="A410" s="29"/>
      <c r="B410" s="37"/>
      <c r="C410" s="29"/>
      <c r="D410" s="29"/>
    </row>
    <row r="411">
      <c r="A411" s="29"/>
      <c r="B411" s="37"/>
      <c r="C411" s="29"/>
      <c r="D411" s="29"/>
    </row>
    <row r="412">
      <c r="A412" s="29"/>
      <c r="B412" s="37"/>
      <c r="C412" s="29"/>
      <c r="D412" s="29"/>
    </row>
    <row r="413">
      <c r="A413" s="29"/>
      <c r="B413" s="37"/>
      <c r="C413" s="29"/>
      <c r="D413" s="29"/>
    </row>
    <row r="414">
      <c r="A414" s="29"/>
      <c r="B414" s="37"/>
      <c r="C414" s="29"/>
      <c r="D414" s="29"/>
    </row>
    <row r="415">
      <c r="A415" s="29"/>
      <c r="B415" s="37"/>
      <c r="C415" s="29"/>
      <c r="D415" s="29"/>
    </row>
    <row r="416">
      <c r="A416" s="29"/>
      <c r="B416" s="37"/>
      <c r="C416" s="29"/>
      <c r="D416" s="29"/>
    </row>
    <row r="417">
      <c r="A417" s="29"/>
      <c r="B417" s="37"/>
      <c r="C417" s="29"/>
      <c r="D417" s="29"/>
    </row>
    <row r="418">
      <c r="A418" s="29"/>
      <c r="B418" s="37"/>
      <c r="C418" s="29"/>
      <c r="D418" s="29"/>
    </row>
    <row r="419">
      <c r="A419" s="29"/>
      <c r="B419" s="37"/>
      <c r="C419" s="29"/>
      <c r="D419" s="29"/>
    </row>
    <row r="420">
      <c r="A420" s="29"/>
      <c r="B420" s="37"/>
      <c r="C420" s="29"/>
      <c r="D420" s="29"/>
    </row>
    <row r="421">
      <c r="A421" s="29"/>
      <c r="B421" s="37"/>
      <c r="C421" s="29"/>
      <c r="D421" s="29"/>
    </row>
    <row r="422">
      <c r="A422" s="29"/>
      <c r="B422" s="37"/>
      <c r="C422" s="29"/>
      <c r="D422" s="29"/>
    </row>
    <row r="423">
      <c r="A423" s="29"/>
      <c r="B423" s="37"/>
      <c r="C423" s="29"/>
      <c r="D423" s="29"/>
    </row>
    <row r="424">
      <c r="A424" s="29"/>
      <c r="B424" s="37"/>
      <c r="C424" s="29"/>
      <c r="D424" s="29"/>
    </row>
    <row r="425">
      <c r="A425" s="29"/>
      <c r="B425" s="37"/>
      <c r="C425" s="29"/>
      <c r="D425" s="29"/>
    </row>
    <row r="426">
      <c r="A426" s="29"/>
      <c r="B426" s="37"/>
      <c r="C426" s="29"/>
      <c r="D426" s="29"/>
    </row>
    <row r="427">
      <c r="A427" s="29"/>
      <c r="B427" s="37"/>
      <c r="C427" s="29"/>
      <c r="D427" s="29"/>
    </row>
    <row r="428">
      <c r="A428" s="29"/>
      <c r="B428" s="37"/>
      <c r="C428" s="29"/>
      <c r="D428" s="29"/>
    </row>
    <row r="429">
      <c r="A429" s="29"/>
      <c r="B429" s="37"/>
      <c r="C429" s="29"/>
      <c r="D429" s="29"/>
    </row>
    <row r="430">
      <c r="A430" s="29"/>
      <c r="B430" s="37"/>
      <c r="C430" s="29"/>
      <c r="D430" s="29"/>
    </row>
    <row r="431">
      <c r="A431" s="29"/>
      <c r="B431" s="37"/>
      <c r="C431" s="29"/>
      <c r="D431" s="29"/>
    </row>
    <row r="432">
      <c r="A432" s="29"/>
      <c r="B432" s="37"/>
      <c r="C432" s="29"/>
      <c r="D432" s="29"/>
    </row>
    <row r="433">
      <c r="A433" s="29"/>
      <c r="B433" s="37"/>
      <c r="C433" s="29"/>
      <c r="D433" s="29"/>
    </row>
    <row r="434">
      <c r="A434" s="29"/>
      <c r="B434" s="37"/>
      <c r="C434" s="29"/>
      <c r="D434" s="29"/>
    </row>
    <row r="435">
      <c r="A435" s="29"/>
      <c r="B435" s="37"/>
      <c r="C435" s="29"/>
      <c r="D435" s="29"/>
    </row>
    <row r="436">
      <c r="A436" s="29"/>
      <c r="B436" s="37"/>
      <c r="C436" s="29"/>
      <c r="D436" s="29"/>
    </row>
    <row r="437">
      <c r="A437" s="29"/>
      <c r="B437" s="37"/>
      <c r="C437" s="29"/>
      <c r="D437" s="29"/>
    </row>
    <row r="438">
      <c r="A438" s="29"/>
      <c r="B438" s="37"/>
      <c r="C438" s="29"/>
      <c r="D438" s="29"/>
    </row>
    <row r="439">
      <c r="A439" s="29"/>
      <c r="B439" s="37"/>
      <c r="C439" s="29"/>
      <c r="D439" s="29"/>
    </row>
    <row r="440">
      <c r="A440" s="29"/>
      <c r="B440" s="37"/>
      <c r="C440" s="29"/>
      <c r="D440" s="29"/>
    </row>
    <row r="441">
      <c r="A441" s="29"/>
      <c r="B441" s="37"/>
      <c r="C441" s="29"/>
      <c r="D441" s="29"/>
    </row>
    <row r="442">
      <c r="A442" s="29"/>
      <c r="B442" s="37"/>
      <c r="C442" s="29"/>
      <c r="D442" s="29"/>
    </row>
    <row r="443">
      <c r="A443" s="29"/>
      <c r="B443" s="37"/>
      <c r="C443" s="29"/>
      <c r="D443" s="29"/>
    </row>
    <row r="444">
      <c r="A444" s="29"/>
      <c r="B444" s="37"/>
      <c r="C444" s="29"/>
      <c r="D444" s="29"/>
    </row>
    <row r="445">
      <c r="A445" s="29"/>
      <c r="B445" s="37"/>
      <c r="C445" s="29"/>
      <c r="D445" s="29"/>
    </row>
    <row r="446">
      <c r="A446" s="29"/>
      <c r="B446" s="37"/>
      <c r="C446" s="29"/>
      <c r="D446" s="29"/>
    </row>
    <row r="447">
      <c r="A447" s="29"/>
      <c r="B447" s="37"/>
      <c r="C447" s="29"/>
      <c r="D447" s="29"/>
    </row>
    <row r="448">
      <c r="A448" s="29"/>
      <c r="B448" s="37"/>
      <c r="C448" s="29"/>
      <c r="D448" s="29"/>
    </row>
    <row r="449">
      <c r="A449" s="29"/>
      <c r="B449" s="37"/>
      <c r="C449" s="29"/>
      <c r="D449" s="29"/>
    </row>
    <row r="450">
      <c r="A450" s="29"/>
      <c r="B450" s="37"/>
      <c r="C450" s="29"/>
      <c r="D450" s="29"/>
    </row>
    <row r="451">
      <c r="A451" s="29"/>
      <c r="B451" s="37"/>
      <c r="C451" s="29"/>
      <c r="D451" s="29"/>
    </row>
    <row r="452">
      <c r="A452" s="29"/>
      <c r="B452" s="37"/>
      <c r="C452" s="29"/>
      <c r="D452" s="29"/>
    </row>
    <row r="453">
      <c r="A453" s="29"/>
      <c r="B453" s="37"/>
      <c r="C453" s="29"/>
      <c r="D453" s="29"/>
    </row>
    <row r="454">
      <c r="A454" s="29"/>
      <c r="B454" s="37"/>
      <c r="C454" s="29"/>
      <c r="D454" s="29"/>
    </row>
    <row r="455">
      <c r="A455" s="29"/>
      <c r="B455" s="37"/>
      <c r="C455" s="29"/>
      <c r="D455" s="29"/>
    </row>
    <row r="456">
      <c r="A456" s="29"/>
      <c r="B456" s="37"/>
      <c r="C456" s="29"/>
      <c r="D456" s="29"/>
    </row>
    <row r="457">
      <c r="A457" s="29"/>
      <c r="B457" s="37"/>
      <c r="C457" s="29"/>
      <c r="D457" s="29"/>
    </row>
    <row r="458">
      <c r="A458" s="29"/>
      <c r="B458" s="37"/>
      <c r="C458" s="29"/>
      <c r="D458" s="29"/>
    </row>
    <row r="459">
      <c r="A459" s="29"/>
      <c r="B459" s="37"/>
      <c r="C459" s="29"/>
      <c r="D459" s="29"/>
    </row>
    <row r="460">
      <c r="A460" s="29"/>
      <c r="B460" s="37"/>
      <c r="C460" s="29"/>
      <c r="D460" s="29"/>
    </row>
    <row r="461">
      <c r="A461" s="29"/>
      <c r="B461" s="37"/>
      <c r="C461" s="29"/>
      <c r="D461" s="29"/>
    </row>
    <row r="462">
      <c r="A462" s="29"/>
      <c r="B462" s="37"/>
      <c r="C462" s="29"/>
      <c r="D462" s="29"/>
    </row>
    <row r="463">
      <c r="A463" s="29"/>
      <c r="B463" s="37"/>
      <c r="C463" s="29"/>
      <c r="D463" s="29"/>
    </row>
    <row r="464">
      <c r="A464" s="29"/>
      <c r="B464" s="37"/>
      <c r="C464" s="29"/>
      <c r="D464" s="29"/>
    </row>
    <row r="465">
      <c r="A465" s="29"/>
      <c r="B465" s="37"/>
      <c r="C465" s="29"/>
      <c r="D465" s="29"/>
    </row>
    <row r="466">
      <c r="A466" s="29"/>
      <c r="B466" s="37"/>
      <c r="C466" s="29"/>
      <c r="D466" s="29"/>
    </row>
    <row r="467">
      <c r="A467" s="29"/>
      <c r="B467" s="37"/>
      <c r="C467" s="29"/>
      <c r="D467" s="29"/>
    </row>
    <row r="468">
      <c r="A468" s="29"/>
      <c r="B468" s="37"/>
      <c r="C468" s="29"/>
      <c r="D468" s="29"/>
    </row>
    <row r="469">
      <c r="A469" s="29"/>
      <c r="B469" s="37"/>
      <c r="C469" s="29"/>
      <c r="D469" s="29"/>
    </row>
    <row r="470">
      <c r="A470" s="29"/>
      <c r="B470" s="37"/>
      <c r="C470" s="29"/>
      <c r="D470" s="29"/>
    </row>
    <row r="471">
      <c r="A471" s="29"/>
      <c r="B471" s="37"/>
      <c r="C471" s="29"/>
      <c r="D471" s="29"/>
    </row>
    <row r="472">
      <c r="A472" s="29"/>
      <c r="B472" s="37"/>
      <c r="C472" s="29"/>
      <c r="D472" s="29"/>
    </row>
    <row r="473">
      <c r="A473" s="29"/>
      <c r="B473" s="37"/>
      <c r="C473" s="29"/>
      <c r="D473" s="29"/>
    </row>
    <row r="474">
      <c r="A474" s="29"/>
      <c r="B474" s="37"/>
      <c r="C474" s="29"/>
      <c r="D474" s="29"/>
    </row>
    <row r="475">
      <c r="A475" s="29"/>
      <c r="B475" s="37"/>
      <c r="C475" s="29"/>
      <c r="D475" s="29"/>
    </row>
    <row r="476">
      <c r="A476" s="29"/>
      <c r="B476" s="37"/>
      <c r="C476" s="29"/>
      <c r="D476" s="29"/>
    </row>
    <row r="477">
      <c r="A477" s="29"/>
      <c r="B477" s="37"/>
      <c r="C477" s="29"/>
      <c r="D477" s="29"/>
    </row>
    <row r="478">
      <c r="A478" s="29"/>
      <c r="B478" s="37"/>
      <c r="C478" s="29"/>
      <c r="D478" s="29"/>
    </row>
    <row r="479">
      <c r="A479" s="29"/>
      <c r="B479" s="37"/>
      <c r="C479" s="29"/>
      <c r="D479" s="29"/>
    </row>
    <row r="480">
      <c r="A480" s="29"/>
      <c r="B480" s="37"/>
      <c r="C480" s="29"/>
      <c r="D480" s="29"/>
    </row>
    <row r="481">
      <c r="A481" s="29"/>
      <c r="B481" s="37"/>
      <c r="C481" s="29"/>
      <c r="D481" s="29"/>
    </row>
    <row r="482">
      <c r="A482" s="29"/>
      <c r="B482" s="37"/>
      <c r="C482" s="29"/>
      <c r="D482" s="29"/>
    </row>
    <row r="483">
      <c r="A483" s="29"/>
      <c r="B483" s="37"/>
      <c r="C483" s="29"/>
      <c r="D483" s="29"/>
    </row>
    <row r="484">
      <c r="A484" s="29"/>
      <c r="B484" s="37"/>
      <c r="C484" s="29"/>
      <c r="D484" s="29"/>
    </row>
    <row r="485">
      <c r="A485" s="29"/>
      <c r="B485" s="37"/>
      <c r="C485" s="29"/>
      <c r="D485" s="29"/>
    </row>
    <row r="486">
      <c r="A486" s="29"/>
      <c r="B486" s="37"/>
      <c r="C486" s="29"/>
      <c r="D486" s="29"/>
    </row>
    <row r="487">
      <c r="A487" s="29"/>
      <c r="B487" s="37"/>
      <c r="C487" s="29"/>
      <c r="D487" s="29"/>
    </row>
    <row r="488">
      <c r="A488" s="29"/>
      <c r="B488" s="37"/>
      <c r="C488" s="29"/>
      <c r="D488" s="29"/>
    </row>
    <row r="489">
      <c r="A489" s="29"/>
      <c r="B489" s="37"/>
      <c r="C489" s="29"/>
      <c r="D489" s="29"/>
    </row>
    <row r="490">
      <c r="A490" s="29"/>
      <c r="B490" s="37"/>
      <c r="C490" s="29"/>
      <c r="D490" s="29"/>
    </row>
    <row r="491">
      <c r="A491" s="29"/>
      <c r="B491" s="37"/>
      <c r="C491" s="29"/>
      <c r="D491" s="29"/>
    </row>
    <row r="492">
      <c r="A492" s="29"/>
      <c r="B492" s="37"/>
      <c r="C492" s="29"/>
      <c r="D492" s="29"/>
    </row>
    <row r="493">
      <c r="A493" s="29"/>
      <c r="B493" s="37"/>
      <c r="C493" s="29"/>
      <c r="D493" s="29"/>
    </row>
    <row r="494">
      <c r="A494" s="29"/>
      <c r="B494" s="37"/>
      <c r="C494" s="29"/>
      <c r="D494" s="29"/>
    </row>
    <row r="495">
      <c r="A495" s="29"/>
      <c r="B495" s="37"/>
      <c r="C495" s="29"/>
      <c r="D495" s="29"/>
    </row>
    <row r="496">
      <c r="A496" s="29"/>
      <c r="B496" s="37"/>
      <c r="C496" s="29"/>
      <c r="D496" s="29"/>
    </row>
    <row r="497">
      <c r="A497" s="29"/>
      <c r="B497" s="37"/>
      <c r="C497" s="29"/>
      <c r="D497" s="29"/>
    </row>
    <row r="498">
      <c r="A498" s="29"/>
      <c r="B498" s="37"/>
      <c r="C498" s="29"/>
      <c r="D498" s="29"/>
    </row>
    <row r="499">
      <c r="A499" s="29"/>
      <c r="B499" s="37"/>
      <c r="C499" s="29"/>
      <c r="D499" s="29"/>
    </row>
    <row r="500">
      <c r="A500" s="29"/>
      <c r="B500" s="37"/>
      <c r="C500" s="29"/>
      <c r="D500" s="29"/>
    </row>
    <row r="501">
      <c r="A501" s="29"/>
      <c r="B501" s="37"/>
      <c r="C501" s="29"/>
      <c r="D501" s="29"/>
    </row>
    <row r="502">
      <c r="A502" s="29"/>
      <c r="B502" s="37"/>
      <c r="C502" s="29"/>
      <c r="D502" s="29"/>
    </row>
    <row r="503">
      <c r="A503" s="29"/>
      <c r="B503" s="37"/>
      <c r="C503" s="29"/>
      <c r="D503" s="29"/>
    </row>
    <row r="504">
      <c r="A504" s="29"/>
      <c r="B504" s="37"/>
      <c r="C504" s="29"/>
      <c r="D504" s="29"/>
    </row>
    <row r="505">
      <c r="A505" s="29"/>
      <c r="B505" s="37"/>
      <c r="C505" s="29"/>
      <c r="D505" s="29"/>
    </row>
    <row r="506">
      <c r="A506" s="29"/>
      <c r="B506" s="37"/>
      <c r="C506" s="29"/>
      <c r="D506" s="29"/>
    </row>
    <row r="507">
      <c r="A507" s="29"/>
      <c r="B507" s="37"/>
      <c r="C507" s="29"/>
      <c r="D507" s="29"/>
    </row>
    <row r="508">
      <c r="A508" s="29"/>
      <c r="B508" s="37"/>
      <c r="C508" s="29"/>
      <c r="D508" s="29"/>
    </row>
    <row r="509">
      <c r="A509" s="29"/>
      <c r="B509" s="37"/>
      <c r="C509" s="29"/>
      <c r="D509" s="29"/>
    </row>
    <row r="510">
      <c r="A510" s="29"/>
      <c r="B510" s="37"/>
      <c r="C510" s="29"/>
      <c r="D510" s="29"/>
    </row>
    <row r="511">
      <c r="A511" s="29"/>
      <c r="B511" s="37"/>
      <c r="C511" s="29"/>
      <c r="D511" s="29"/>
    </row>
    <row r="512">
      <c r="A512" s="29"/>
      <c r="B512" s="37"/>
      <c r="C512" s="29"/>
      <c r="D512" s="29"/>
    </row>
    <row r="513">
      <c r="A513" s="29"/>
      <c r="B513" s="37"/>
      <c r="C513" s="29"/>
      <c r="D513" s="29"/>
    </row>
    <row r="514">
      <c r="A514" s="29"/>
      <c r="B514" s="37"/>
      <c r="C514" s="29"/>
      <c r="D514" s="29"/>
    </row>
    <row r="515">
      <c r="A515" s="29"/>
      <c r="B515" s="37"/>
      <c r="C515" s="29"/>
      <c r="D515" s="29"/>
    </row>
    <row r="516">
      <c r="A516" s="29"/>
      <c r="B516" s="37"/>
      <c r="C516" s="29"/>
      <c r="D516" s="29"/>
    </row>
    <row r="517">
      <c r="A517" s="29"/>
      <c r="B517" s="37"/>
      <c r="C517" s="29"/>
      <c r="D517" s="29"/>
    </row>
    <row r="518">
      <c r="A518" s="29"/>
      <c r="B518" s="37"/>
      <c r="C518" s="29"/>
      <c r="D518" s="29"/>
    </row>
    <row r="519">
      <c r="A519" s="29"/>
      <c r="B519" s="37"/>
      <c r="C519" s="29"/>
      <c r="D519" s="29"/>
    </row>
    <row r="520">
      <c r="A520" s="29"/>
      <c r="B520" s="37"/>
      <c r="C520" s="29"/>
      <c r="D520" s="29"/>
    </row>
    <row r="521">
      <c r="A521" s="29"/>
      <c r="B521" s="37"/>
      <c r="C521" s="29"/>
      <c r="D521" s="29"/>
    </row>
    <row r="522">
      <c r="A522" s="29"/>
      <c r="B522" s="37"/>
      <c r="C522" s="29"/>
      <c r="D522" s="29"/>
    </row>
    <row r="523">
      <c r="A523" s="29"/>
      <c r="B523" s="37"/>
      <c r="C523" s="29"/>
      <c r="D523" s="29"/>
    </row>
    <row r="524">
      <c r="A524" s="29"/>
      <c r="B524" s="37"/>
      <c r="C524" s="29"/>
      <c r="D524" s="29"/>
    </row>
    <row r="525">
      <c r="A525" s="29"/>
      <c r="B525" s="37"/>
      <c r="C525" s="29"/>
      <c r="D525" s="29"/>
    </row>
    <row r="526">
      <c r="A526" s="29"/>
      <c r="B526" s="37"/>
      <c r="C526" s="29"/>
      <c r="D526" s="29"/>
    </row>
    <row r="527">
      <c r="A527" s="29"/>
      <c r="B527" s="37"/>
      <c r="C527" s="29"/>
      <c r="D527" s="29"/>
    </row>
    <row r="528">
      <c r="A528" s="29"/>
      <c r="B528" s="37"/>
      <c r="C528" s="29"/>
      <c r="D528" s="29"/>
    </row>
    <row r="529">
      <c r="A529" s="29"/>
      <c r="B529" s="37"/>
      <c r="C529" s="29"/>
      <c r="D529" s="29"/>
    </row>
    <row r="530">
      <c r="A530" s="29"/>
      <c r="B530" s="37"/>
      <c r="C530" s="29"/>
      <c r="D530" s="29"/>
    </row>
    <row r="531">
      <c r="A531" s="29"/>
      <c r="B531" s="37"/>
      <c r="C531" s="29"/>
      <c r="D531" s="29"/>
    </row>
    <row r="532">
      <c r="A532" s="29"/>
      <c r="B532" s="37"/>
      <c r="C532" s="29"/>
      <c r="D532" s="29"/>
    </row>
    <row r="533">
      <c r="A533" s="29"/>
      <c r="B533" s="37"/>
      <c r="C533" s="29"/>
      <c r="D533" s="29"/>
    </row>
    <row r="534">
      <c r="A534" s="29"/>
      <c r="B534" s="37"/>
      <c r="C534" s="29"/>
      <c r="D534" s="29"/>
    </row>
    <row r="535">
      <c r="A535" s="29"/>
      <c r="B535" s="37"/>
      <c r="C535" s="29"/>
      <c r="D535" s="29"/>
    </row>
    <row r="536">
      <c r="A536" s="29"/>
      <c r="B536" s="37"/>
      <c r="C536" s="29"/>
      <c r="D536" s="29"/>
    </row>
    <row r="537">
      <c r="A537" s="29"/>
      <c r="B537" s="37"/>
      <c r="C537" s="29"/>
      <c r="D537" s="29"/>
    </row>
    <row r="538">
      <c r="A538" s="29"/>
      <c r="B538" s="37"/>
      <c r="C538" s="29"/>
      <c r="D538" s="29"/>
    </row>
    <row r="539">
      <c r="A539" s="29"/>
      <c r="B539" s="37"/>
      <c r="C539" s="29"/>
      <c r="D539" s="29"/>
    </row>
    <row r="540">
      <c r="A540" s="29"/>
      <c r="B540" s="37"/>
      <c r="C540" s="29"/>
      <c r="D540" s="29"/>
    </row>
    <row r="541">
      <c r="A541" s="29"/>
      <c r="B541" s="37"/>
      <c r="C541" s="29"/>
      <c r="D541" s="29"/>
    </row>
    <row r="542">
      <c r="A542" s="29"/>
      <c r="B542" s="37"/>
      <c r="C542" s="29"/>
      <c r="D542" s="29"/>
    </row>
    <row r="543">
      <c r="A543" s="29"/>
      <c r="B543" s="37"/>
      <c r="C543" s="29"/>
      <c r="D543" s="29"/>
    </row>
    <row r="544">
      <c r="A544" s="29"/>
      <c r="B544" s="37"/>
      <c r="C544" s="29"/>
      <c r="D544" s="29"/>
    </row>
    <row r="545">
      <c r="A545" s="29"/>
      <c r="B545" s="37"/>
      <c r="C545" s="29"/>
      <c r="D545" s="29"/>
    </row>
    <row r="546">
      <c r="A546" s="29"/>
      <c r="B546" s="37"/>
      <c r="C546" s="29"/>
      <c r="D546" s="29"/>
    </row>
    <row r="547">
      <c r="A547" s="29"/>
      <c r="B547" s="37"/>
      <c r="C547" s="29"/>
      <c r="D547" s="29"/>
    </row>
    <row r="548">
      <c r="A548" s="29"/>
      <c r="B548" s="37"/>
      <c r="C548" s="29"/>
      <c r="D548" s="29"/>
    </row>
    <row r="549">
      <c r="A549" s="29"/>
      <c r="B549" s="37"/>
      <c r="C549" s="29"/>
      <c r="D549" s="29"/>
    </row>
    <row r="550">
      <c r="A550" s="29"/>
      <c r="B550" s="37"/>
      <c r="C550" s="29"/>
      <c r="D550" s="29"/>
    </row>
    <row r="551">
      <c r="A551" s="29"/>
      <c r="B551" s="37"/>
      <c r="C551" s="29"/>
      <c r="D551" s="29"/>
    </row>
    <row r="552">
      <c r="A552" s="29"/>
      <c r="B552" s="37"/>
      <c r="C552" s="29"/>
      <c r="D552" s="29"/>
    </row>
    <row r="553">
      <c r="A553" s="29"/>
      <c r="B553" s="37"/>
      <c r="C553" s="29"/>
      <c r="D553" s="29"/>
    </row>
    <row r="554">
      <c r="A554" s="29"/>
      <c r="B554" s="37"/>
      <c r="C554" s="29"/>
      <c r="D554" s="29"/>
    </row>
    <row r="555">
      <c r="A555" s="29"/>
      <c r="B555" s="37"/>
      <c r="C555" s="29"/>
      <c r="D555" s="29"/>
    </row>
    <row r="556">
      <c r="A556" s="29"/>
      <c r="B556" s="37"/>
      <c r="C556" s="29"/>
      <c r="D556" s="29"/>
    </row>
    <row r="557">
      <c r="A557" s="29"/>
      <c r="B557" s="37"/>
      <c r="C557" s="29"/>
      <c r="D557" s="29"/>
    </row>
    <row r="558">
      <c r="A558" s="29"/>
      <c r="B558" s="37"/>
      <c r="C558" s="29"/>
      <c r="D558" s="29"/>
    </row>
    <row r="559">
      <c r="A559" s="29"/>
      <c r="B559" s="37"/>
      <c r="C559" s="29"/>
      <c r="D559" s="29"/>
    </row>
    <row r="560">
      <c r="A560" s="29"/>
      <c r="B560" s="37"/>
      <c r="C560" s="29"/>
      <c r="D560" s="29"/>
    </row>
    <row r="561">
      <c r="A561" s="29"/>
      <c r="B561" s="37"/>
      <c r="C561" s="29"/>
      <c r="D561" s="29"/>
    </row>
    <row r="562">
      <c r="A562" s="29"/>
      <c r="B562" s="37"/>
      <c r="C562" s="29"/>
      <c r="D562" s="29"/>
    </row>
    <row r="563">
      <c r="A563" s="29"/>
      <c r="B563" s="37"/>
      <c r="C563" s="29"/>
      <c r="D563" s="29"/>
    </row>
    <row r="564">
      <c r="A564" s="29"/>
      <c r="B564" s="37"/>
      <c r="C564" s="29"/>
      <c r="D564" s="29"/>
    </row>
    <row r="565">
      <c r="A565" s="29"/>
      <c r="B565" s="37"/>
      <c r="C565" s="29"/>
      <c r="D565" s="29"/>
    </row>
    <row r="566">
      <c r="A566" s="29"/>
      <c r="B566" s="37"/>
      <c r="C566" s="29"/>
      <c r="D566" s="29"/>
    </row>
    <row r="567">
      <c r="A567" s="29"/>
      <c r="B567" s="37"/>
      <c r="C567" s="29"/>
      <c r="D567" s="29"/>
    </row>
    <row r="568">
      <c r="A568" s="29"/>
      <c r="B568" s="37"/>
      <c r="C568" s="29"/>
      <c r="D568" s="29"/>
    </row>
    <row r="569">
      <c r="A569" s="29"/>
      <c r="B569" s="37"/>
      <c r="C569" s="29"/>
      <c r="D569" s="29"/>
    </row>
    <row r="570">
      <c r="A570" s="29"/>
      <c r="B570" s="37"/>
      <c r="C570" s="29"/>
      <c r="D570" s="29"/>
    </row>
    <row r="571">
      <c r="A571" s="29"/>
      <c r="B571" s="37"/>
      <c r="C571" s="29"/>
      <c r="D571" s="29"/>
    </row>
    <row r="572">
      <c r="A572" s="29"/>
      <c r="B572" s="37"/>
      <c r="C572" s="29"/>
      <c r="D572" s="29"/>
    </row>
    <row r="573">
      <c r="A573" s="29"/>
      <c r="B573" s="37"/>
      <c r="C573" s="29"/>
      <c r="D573" s="29"/>
    </row>
    <row r="574">
      <c r="A574" s="29"/>
      <c r="B574" s="37"/>
      <c r="C574" s="29"/>
      <c r="D574" s="29"/>
    </row>
    <row r="575">
      <c r="A575" s="29"/>
      <c r="B575" s="37"/>
      <c r="C575" s="29"/>
      <c r="D575" s="29"/>
    </row>
    <row r="576">
      <c r="A576" s="29"/>
      <c r="B576" s="37"/>
      <c r="C576" s="29"/>
      <c r="D576" s="29"/>
    </row>
    <row r="577">
      <c r="A577" s="29"/>
      <c r="B577" s="37"/>
      <c r="C577" s="29"/>
      <c r="D577" s="29"/>
    </row>
    <row r="578">
      <c r="A578" s="29"/>
      <c r="B578" s="37"/>
      <c r="C578" s="29"/>
      <c r="D578" s="29"/>
    </row>
    <row r="579">
      <c r="A579" s="29"/>
      <c r="B579" s="37"/>
      <c r="C579" s="29"/>
      <c r="D579" s="29"/>
    </row>
    <row r="580">
      <c r="A580" s="29"/>
      <c r="B580" s="37"/>
      <c r="C580" s="29"/>
      <c r="D580" s="29"/>
    </row>
    <row r="581">
      <c r="A581" s="29"/>
      <c r="B581" s="37"/>
      <c r="C581" s="29"/>
      <c r="D581" s="29"/>
    </row>
    <row r="582">
      <c r="A582" s="29"/>
      <c r="B582" s="37"/>
      <c r="C582" s="29"/>
      <c r="D582" s="29"/>
    </row>
    <row r="583">
      <c r="A583" s="29"/>
      <c r="B583" s="37"/>
      <c r="C583" s="29"/>
      <c r="D583" s="29"/>
    </row>
    <row r="584">
      <c r="A584" s="29"/>
      <c r="B584" s="37"/>
      <c r="C584" s="29"/>
      <c r="D584" s="29"/>
    </row>
    <row r="585">
      <c r="A585" s="29"/>
      <c r="B585" s="37"/>
      <c r="C585" s="29"/>
      <c r="D585" s="29"/>
    </row>
    <row r="586">
      <c r="A586" s="29"/>
      <c r="B586" s="37"/>
      <c r="C586" s="29"/>
      <c r="D586" s="29"/>
    </row>
    <row r="587">
      <c r="A587" s="29"/>
      <c r="B587" s="37"/>
      <c r="C587" s="29"/>
      <c r="D587" s="29"/>
    </row>
    <row r="588">
      <c r="A588" s="29"/>
      <c r="B588" s="37"/>
      <c r="C588" s="29"/>
      <c r="D588" s="29"/>
    </row>
    <row r="589">
      <c r="A589" s="29"/>
      <c r="B589" s="37"/>
      <c r="C589" s="29"/>
      <c r="D589" s="29"/>
    </row>
    <row r="590">
      <c r="A590" s="29"/>
      <c r="B590" s="37"/>
      <c r="C590" s="29"/>
      <c r="D590" s="29"/>
    </row>
    <row r="591">
      <c r="A591" s="29"/>
      <c r="B591" s="37"/>
      <c r="C591" s="29"/>
      <c r="D591" s="29"/>
    </row>
    <row r="592">
      <c r="A592" s="29"/>
      <c r="B592" s="37"/>
      <c r="C592" s="29"/>
      <c r="D592" s="29"/>
    </row>
    <row r="593">
      <c r="A593" s="29"/>
      <c r="B593" s="37"/>
      <c r="C593" s="29"/>
      <c r="D593" s="29"/>
    </row>
    <row r="594">
      <c r="A594" s="29"/>
      <c r="B594" s="37"/>
      <c r="C594" s="29"/>
      <c r="D594" s="29"/>
    </row>
    <row r="595">
      <c r="A595" s="29"/>
      <c r="B595" s="37"/>
      <c r="C595" s="29"/>
      <c r="D595" s="29"/>
    </row>
    <row r="596">
      <c r="A596" s="29"/>
      <c r="B596" s="37"/>
      <c r="C596" s="29"/>
      <c r="D596" s="29"/>
    </row>
    <row r="597">
      <c r="A597" s="29"/>
      <c r="B597" s="37"/>
      <c r="C597" s="29"/>
      <c r="D597" s="29"/>
    </row>
    <row r="598">
      <c r="A598" s="29"/>
      <c r="B598" s="37"/>
      <c r="C598" s="29"/>
      <c r="D598" s="29"/>
    </row>
    <row r="599">
      <c r="A599" s="29"/>
      <c r="B599" s="37"/>
      <c r="C599" s="29"/>
      <c r="D599" s="29"/>
    </row>
    <row r="600">
      <c r="A600" s="29"/>
      <c r="B600" s="37"/>
      <c r="C600" s="29"/>
      <c r="D600" s="29"/>
    </row>
    <row r="601">
      <c r="A601" s="29"/>
      <c r="B601" s="37"/>
      <c r="C601" s="29"/>
      <c r="D601" s="29"/>
    </row>
    <row r="602">
      <c r="A602" s="29"/>
      <c r="B602" s="37"/>
      <c r="C602" s="29"/>
      <c r="D602" s="29"/>
    </row>
    <row r="603">
      <c r="A603" s="29"/>
      <c r="B603" s="37"/>
      <c r="C603" s="29"/>
      <c r="D603" s="29"/>
    </row>
    <row r="604">
      <c r="A604" s="29"/>
      <c r="B604" s="37"/>
      <c r="C604" s="29"/>
      <c r="D604" s="29"/>
    </row>
    <row r="605">
      <c r="A605" s="29"/>
      <c r="B605" s="37"/>
      <c r="C605" s="29"/>
      <c r="D605" s="29"/>
    </row>
    <row r="606">
      <c r="A606" s="29"/>
      <c r="B606" s="37"/>
      <c r="C606" s="29"/>
      <c r="D606" s="29"/>
    </row>
    <row r="607">
      <c r="A607" s="29"/>
      <c r="B607" s="37"/>
      <c r="C607" s="29"/>
      <c r="D607" s="29"/>
    </row>
    <row r="608">
      <c r="A608" s="29"/>
      <c r="B608" s="37"/>
      <c r="C608" s="29"/>
      <c r="D608" s="29"/>
    </row>
    <row r="609">
      <c r="A609" s="29"/>
      <c r="B609" s="37"/>
      <c r="C609" s="29"/>
      <c r="D609" s="29"/>
    </row>
    <row r="610">
      <c r="A610" s="29"/>
      <c r="B610" s="37"/>
      <c r="C610" s="29"/>
      <c r="D610" s="29"/>
    </row>
    <row r="611">
      <c r="A611" s="29"/>
      <c r="B611" s="37"/>
      <c r="C611" s="29"/>
      <c r="D611" s="29"/>
    </row>
    <row r="612">
      <c r="A612" s="29"/>
      <c r="B612" s="37"/>
      <c r="C612" s="29"/>
      <c r="D612" s="29"/>
    </row>
    <row r="613">
      <c r="A613" s="29"/>
      <c r="B613" s="37"/>
      <c r="C613" s="29"/>
      <c r="D613" s="29"/>
    </row>
    <row r="614">
      <c r="A614" s="29"/>
      <c r="B614" s="37"/>
      <c r="C614" s="29"/>
      <c r="D614" s="29"/>
    </row>
    <row r="615">
      <c r="A615" s="29"/>
      <c r="B615" s="37"/>
      <c r="C615" s="29"/>
      <c r="D615" s="29"/>
    </row>
    <row r="616">
      <c r="A616" s="29"/>
      <c r="B616" s="37"/>
      <c r="C616" s="29"/>
      <c r="D616" s="29"/>
    </row>
    <row r="617">
      <c r="A617" s="29"/>
      <c r="B617" s="37"/>
      <c r="C617" s="29"/>
      <c r="D617" s="29"/>
    </row>
    <row r="618">
      <c r="A618" s="29"/>
      <c r="B618" s="37"/>
      <c r="C618" s="29"/>
      <c r="D618" s="29"/>
    </row>
    <row r="619">
      <c r="A619" s="29"/>
      <c r="B619" s="37"/>
      <c r="C619" s="29"/>
      <c r="D619" s="29"/>
    </row>
    <row r="620">
      <c r="A620" s="29"/>
      <c r="B620" s="37"/>
      <c r="C620" s="29"/>
      <c r="D620" s="29"/>
    </row>
    <row r="621">
      <c r="A621" s="29"/>
      <c r="B621" s="37"/>
      <c r="C621" s="29"/>
      <c r="D621" s="29"/>
    </row>
    <row r="622">
      <c r="A622" s="29"/>
      <c r="B622" s="37"/>
      <c r="C622" s="29"/>
      <c r="D622" s="29"/>
    </row>
    <row r="623">
      <c r="A623" s="29"/>
      <c r="B623" s="37"/>
      <c r="C623" s="29"/>
      <c r="D623" s="29"/>
    </row>
    <row r="624">
      <c r="A624" s="29"/>
      <c r="B624" s="37"/>
      <c r="C624" s="29"/>
      <c r="D624" s="29"/>
    </row>
    <row r="625">
      <c r="A625" s="29"/>
      <c r="B625" s="37"/>
      <c r="C625" s="29"/>
      <c r="D625" s="29"/>
    </row>
    <row r="626">
      <c r="A626" s="29"/>
      <c r="B626" s="37"/>
      <c r="C626" s="29"/>
      <c r="D626" s="29"/>
    </row>
    <row r="627">
      <c r="A627" s="29"/>
      <c r="B627" s="37"/>
      <c r="C627" s="29"/>
      <c r="D627" s="29"/>
    </row>
    <row r="628">
      <c r="A628" s="29"/>
      <c r="B628" s="37"/>
      <c r="C628" s="29"/>
      <c r="D628" s="29"/>
    </row>
    <row r="629">
      <c r="A629" s="29"/>
      <c r="B629" s="37"/>
      <c r="C629" s="29"/>
      <c r="D629" s="29"/>
    </row>
    <row r="630">
      <c r="A630" s="29"/>
      <c r="B630" s="37"/>
      <c r="C630" s="29"/>
      <c r="D630" s="29"/>
    </row>
    <row r="631">
      <c r="A631" s="29"/>
      <c r="B631" s="37"/>
      <c r="C631" s="29"/>
      <c r="D631" s="29"/>
    </row>
    <row r="632">
      <c r="A632" s="29"/>
      <c r="B632" s="37"/>
      <c r="C632" s="29"/>
      <c r="D632" s="29"/>
    </row>
    <row r="633">
      <c r="A633" s="29"/>
      <c r="B633" s="37"/>
      <c r="C633" s="29"/>
      <c r="D633" s="29"/>
    </row>
    <row r="634">
      <c r="A634" s="29"/>
      <c r="B634" s="37"/>
      <c r="C634" s="29"/>
      <c r="D634" s="29"/>
    </row>
    <row r="635">
      <c r="A635" s="29"/>
      <c r="B635" s="37"/>
      <c r="C635" s="29"/>
      <c r="D635" s="29"/>
    </row>
    <row r="636">
      <c r="A636" s="29"/>
      <c r="B636" s="37"/>
      <c r="C636" s="29"/>
      <c r="D636" s="29"/>
    </row>
    <row r="637">
      <c r="A637" s="29"/>
      <c r="B637" s="37"/>
      <c r="C637" s="29"/>
      <c r="D637" s="29"/>
    </row>
    <row r="638">
      <c r="A638" s="29"/>
      <c r="B638" s="37"/>
      <c r="C638" s="29"/>
      <c r="D638" s="29"/>
    </row>
    <row r="639">
      <c r="A639" s="29"/>
      <c r="B639" s="37"/>
      <c r="C639" s="29"/>
      <c r="D639" s="29"/>
    </row>
    <row r="640">
      <c r="A640" s="29"/>
      <c r="B640" s="37"/>
      <c r="C640" s="29"/>
      <c r="D640" s="29"/>
    </row>
    <row r="641">
      <c r="A641" s="29"/>
      <c r="B641" s="37"/>
      <c r="C641" s="29"/>
      <c r="D641" s="29"/>
    </row>
    <row r="642">
      <c r="A642" s="29"/>
      <c r="B642" s="37"/>
      <c r="C642" s="29"/>
      <c r="D642" s="29"/>
    </row>
    <row r="643">
      <c r="A643" s="29"/>
      <c r="B643" s="37"/>
      <c r="C643" s="29"/>
      <c r="D643" s="29"/>
    </row>
    <row r="644">
      <c r="A644" s="29"/>
      <c r="B644" s="37"/>
      <c r="C644" s="29"/>
      <c r="D644" s="29"/>
    </row>
    <row r="645">
      <c r="A645" s="29"/>
      <c r="B645" s="37"/>
      <c r="C645" s="29"/>
      <c r="D645" s="29"/>
    </row>
    <row r="646">
      <c r="A646" s="29"/>
      <c r="B646" s="37"/>
      <c r="C646" s="29"/>
      <c r="D646" s="29"/>
    </row>
    <row r="647">
      <c r="A647" s="29"/>
      <c r="B647" s="37"/>
      <c r="C647" s="29"/>
      <c r="D647" s="29"/>
    </row>
    <row r="648">
      <c r="A648" s="29"/>
      <c r="B648" s="37"/>
      <c r="C648" s="29"/>
      <c r="D648" s="29"/>
    </row>
    <row r="649">
      <c r="A649" s="29"/>
      <c r="B649" s="37"/>
      <c r="C649" s="29"/>
      <c r="D649" s="29"/>
    </row>
    <row r="650">
      <c r="A650" s="29"/>
      <c r="B650" s="37"/>
      <c r="C650" s="29"/>
      <c r="D650" s="29"/>
    </row>
    <row r="651">
      <c r="A651" s="29"/>
      <c r="B651" s="37"/>
      <c r="C651" s="29"/>
      <c r="D651" s="29"/>
    </row>
    <row r="652">
      <c r="A652" s="29"/>
      <c r="B652" s="37"/>
      <c r="C652" s="29"/>
      <c r="D652" s="29"/>
    </row>
    <row r="653">
      <c r="A653" s="29"/>
      <c r="B653" s="37"/>
      <c r="C653" s="29"/>
      <c r="D653" s="29"/>
    </row>
    <row r="654">
      <c r="A654" s="29"/>
      <c r="B654" s="37"/>
      <c r="C654" s="29"/>
      <c r="D654" s="29"/>
    </row>
    <row r="655">
      <c r="A655" s="29"/>
      <c r="B655" s="37"/>
      <c r="C655" s="29"/>
      <c r="D655" s="29"/>
    </row>
    <row r="656">
      <c r="A656" s="29"/>
      <c r="B656" s="37"/>
      <c r="C656" s="29"/>
      <c r="D656" s="29"/>
    </row>
    <row r="657">
      <c r="A657" s="29"/>
      <c r="B657" s="37"/>
      <c r="C657" s="29"/>
      <c r="D657" s="29"/>
    </row>
    <row r="658">
      <c r="A658" s="29"/>
      <c r="B658" s="37"/>
      <c r="C658" s="29"/>
      <c r="D658" s="29"/>
    </row>
    <row r="659">
      <c r="A659" s="29"/>
      <c r="B659" s="37"/>
      <c r="C659" s="29"/>
      <c r="D659" s="29"/>
    </row>
    <row r="660">
      <c r="A660" s="29"/>
      <c r="B660" s="37"/>
      <c r="C660" s="29"/>
      <c r="D660" s="29"/>
    </row>
    <row r="661">
      <c r="A661" s="29"/>
      <c r="B661" s="37"/>
      <c r="C661" s="29"/>
      <c r="D661" s="29"/>
    </row>
    <row r="662">
      <c r="A662" s="29"/>
      <c r="B662" s="37"/>
      <c r="C662" s="29"/>
      <c r="D662" s="29"/>
    </row>
    <row r="663">
      <c r="A663" s="29"/>
      <c r="B663" s="37"/>
      <c r="C663" s="29"/>
      <c r="D663" s="29"/>
    </row>
    <row r="664">
      <c r="A664" s="29"/>
      <c r="B664" s="37"/>
      <c r="C664" s="29"/>
      <c r="D664" s="29"/>
    </row>
    <row r="665">
      <c r="A665" s="29"/>
      <c r="B665" s="37"/>
      <c r="C665" s="29"/>
      <c r="D665" s="29"/>
    </row>
    <row r="666">
      <c r="A666" s="29"/>
      <c r="B666" s="37"/>
      <c r="C666" s="29"/>
      <c r="D666" s="29"/>
    </row>
    <row r="667">
      <c r="A667" s="29"/>
      <c r="B667" s="37"/>
      <c r="C667" s="29"/>
      <c r="D667" s="29"/>
    </row>
    <row r="668">
      <c r="A668" s="29"/>
      <c r="B668" s="37"/>
      <c r="C668" s="29"/>
      <c r="D668" s="29"/>
    </row>
    <row r="669">
      <c r="A669" s="29"/>
      <c r="B669" s="37"/>
      <c r="C669" s="29"/>
      <c r="D669" s="29"/>
    </row>
    <row r="670">
      <c r="A670" s="29"/>
      <c r="B670" s="37"/>
      <c r="C670" s="29"/>
      <c r="D670" s="29"/>
    </row>
    <row r="671">
      <c r="A671" s="29"/>
      <c r="B671" s="37"/>
      <c r="C671" s="29"/>
      <c r="D671" s="29"/>
    </row>
    <row r="672">
      <c r="A672" s="29"/>
      <c r="B672" s="37"/>
      <c r="C672" s="29"/>
      <c r="D672" s="29"/>
    </row>
    <row r="673">
      <c r="A673" s="29"/>
      <c r="B673" s="37"/>
      <c r="C673" s="29"/>
      <c r="D673" s="29"/>
    </row>
    <row r="674">
      <c r="A674" s="29"/>
      <c r="B674" s="37"/>
      <c r="C674" s="29"/>
      <c r="D674" s="29"/>
    </row>
    <row r="675">
      <c r="A675" s="29"/>
      <c r="B675" s="37"/>
      <c r="C675" s="29"/>
      <c r="D675" s="29"/>
    </row>
    <row r="676">
      <c r="A676" s="29"/>
      <c r="B676" s="37"/>
      <c r="C676" s="29"/>
      <c r="D676" s="29"/>
    </row>
    <row r="677">
      <c r="A677" s="29"/>
      <c r="B677" s="37"/>
      <c r="C677" s="29"/>
      <c r="D677" s="29"/>
    </row>
    <row r="678">
      <c r="A678" s="29"/>
      <c r="B678" s="37"/>
      <c r="C678" s="29"/>
      <c r="D678" s="29"/>
    </row>
    <row r="679">
      <c r="A679" s="29"/>
      <c r="B679" s="37"/>
      <c r="C679" s="29"/>
      <c r="D679" s="29"/>
    </row>
    <row r="680">
      <c r="A680" s="29"/>
      <c r="B680" s="37"/>
      <c r="C680" s="29"/>
      <c r="D680" s="29"/>
    </row>
    <row r="681">
      <c r="A681" s="29"/>
      <c r="B681" s="37"/>
      <c r="C681" s="29"/>
      <c r="D681" s="29"/>
    </row>
    <row r="682">
      <c r="A682" s="29"/>
      <c r="B682" s="37"/>
      <c r="C682" s="29"/>
      <c r="D682" s="29"/>
    </row>
    <row r="683">
      <c r="A683" s="29"/>
      <c r="B683" s="37"/>
      <c r="C683" s="29"/>
      <c r="D683" s="29"/>
    </row>
    <row r="684">
      <c r="A684" s="29"/>
      <c r="B684" s="37"/>
      <c r="C684" s="29"/>
      <c r="D684" s="29"/>
    </row>
    <row r="685">
      <c r="A685" s="29"/>
      <c r="B685" s="37"/>
      <c r="C685" s="29"/>
      <c r="D685" s="29"/>
    </row>
    <row r="686">
      <c r="A686" s="29"/>
      <c r="B686" s="37"/>
      <c r="C686" s="29"/>
      <c r="D686" s="29"/>
    </row>
    <row r="687">
      <c r="A687" s="29"/>
      <c r="B687" s="37"/>
      <c r="C687" s="29"/>
      <c r="D687" s="29"/>
    </row>
    <row r="688">
      <c r="A688" s="29"/>
      <c r="B688" s="37"/>
      <c r="C688" s="29"/>
      <c r="D688" s="29"/>
    </row>
    <row r="689">
      <c r="A689" s="29"/>
      <c r="B689" s="37"/>
      <c r="C689" s="29"/>
      <c r="D689" s="29"/>
    </row>
    <row r="690">
      <c r="A690" s="29"/>
      <c r="B690" s="37"/>
      <c r="C690" s="29"/>
      <c r="D690" s="29"/>
    </row>
    <row r="691">
      <c r="A691" s="29"/>
      <c r="B691" s="37"/>
      <c r="C691" s="29"/>
      <c r="D691" s="29"/>
    </row>
    <row r="692">
      <c r="A692" s="29"/>
      <c r="B692" s="37"/>
      <c r="C692" s="29"/>
      <c r="D692" s="29"/>
    </row>
    <row r="693">
      <c r="A693" s="29"/>
      <c r="B693" s="37"/>
      <c r="C693" s="29"/>
      <c r="D693" s="29"/>
    </row>
    <row r="694">
      <c r="A694" s="29"/>
      <c r="B694" s="37"/>
      <c r="C694" s="29"/>
      <c r="D694" s="29"/>
    </row>
    <row r="695">
      <c r="A695" s="29"/>
      <c r="B695" s="37"/>
      <c r="C695" s="29"/>
      <c r="D695" s="29"/>
    </row>
    <row r="696">
      <c r="A696" s="29"/>
      <c r="B696" s="37"/>
      <c r="C696" s="29"/>
      <c r="D696" s="29"/>
    </row>
    <row r="697">
      <c r="A697" s="29"/>
      <c r="B697" s="37"/>
      <c r="C697" s="29"/>
      <c r="D697" s="29"/>
    </row>
    <row r="698">
      <c r="A698" s="29"/>
      <c r="B698" s="37"/>
      <c r="C698" s="29"/>
      <c r="D698" s="29"/>
    </row>
    <row r="699">
      <c r="A699" s="29"/>
      <c r="B699" s="37"/>
      <c r="C699" s="29"/>
      <c r="D699" s="29"/>
    </row>
    <row r="700">
      <c r="A700" s="29"/>
      <c r="B700" s="37"/>
      <c r="C700" s="29"/>
      <c r="D700" s="29"/>
    </row>
    <row r="701">
      <c r="A701" s="29"/>
      <c r="B701" s="37"/>
      <c r="C701" s="29"/>
      <c r="D701" s="29"/>
    </row>
    <row r="702">
      <c r="A702" s="29"/>
      <c r="B702" s="37"/>
      <c r="C702" s="29"/>
      <c r="D702" s="29"/>
    </row>
    <row r="703">
      <c r="A703" s="29"/>
      <c r="B703" s="37"/>
      <c r="C703" s="29"/>
      <c r="D703" s="29"/>
    </row>
    <row r="704">
      <c r="A704" s="29"/>
      <c r="B704" s="37"/>
      <c r="C704" s="29"/>
      <c r="D704" s="29"/>
    </row>
    <row r="705">
      <c r="A705" s="29"/>
      <c r="B705" s="37"/>
      <c r="C705" s="29"/>
      <c r="D705" s="29"/>
    </row>
    <row r="706">
      <c r="A706" s="29"/>
      <c r="B706" s="37"/>
      <c r="C706" s="29"/>
      <c r="D706" s="29"/>
    </row>
    <row r="707">
      <c r="A707" s="29"/>
      <c r="B707" s="37"/>
      <c r="C707" s="29"/>
      <c r="D707" s="29"/>
    </row>
    <row r="708">
      <c r="A708" s="29"/>
      <c r="B708" s="37"/>
      <c r="C708" s="29"/>
      <c r="D708" s="29"/>
    </row>
    <row r="709">
      <c r="A709" s="29"/>
      <c r="B709" s="37"/>
      <c r="C709" s="29"/>
      <c r="D709" s="29"/>
    </row>
    <row r="710">
      <c r="A710" s="29"/>
      <c r="B710" s="37"/>
      <c r="C710" s="29"/>
      <c r="D710" s="29"/>
    </row>
    <row r="711">
      <c r="A711" s="29"/>
      <c r="B711" s="37"/>
      <c r="C711" s="29"/>
      <c r="D711" s="29"/>
    </row>
    <row r="712">
      <c r="A712" s="29"/>
      <c r="B712" s="37"/>
      <c r="C712" s="29"/>
      <c r="D712" s="29"/>
    </row>
    <row r="713">
      <c r="A713" s="29"/>
      <c r="B713" s="37"/>
      <c r="C713" s="29"/>
      <c r="D713" s="29"/>
    </row>
    <row r="714">
      <c r="A714" s="29"/>
      <c r="B714" s="37"/>
      <c r="C714" s="29"/>
      <c r="D714" s="29"/>
    </row>
    <row r="715">
      <c r="A715" s="29"/>
      <c r="B715" s="37"/>
      <c r="C715" s="29"/>
      <c r="D715" s="29"/>
    </row>
    <row r="716">
      <c r="A716" s="29"/>
      <c r="B716" s="37"/>
      <c r="C716" s="29"/>
      <c r="D716" s="29"/>
    </row>
    <row r="717">
      <c r="A717" s="29"/>
      <c r="B717" s="37"/>
      <c r="C717" s="29"/>
      <c r="D717" s="29"/>
    </row>
    <row r="718">
      <c r="A718" s="29"/>
      <c r="B718" s="37"/>
      <c r="C718" s="29"/>
      <c r="D718" s="29"/>
    </row>
    <row r="719">
      <c r="A719" s="29"/>
      <c r="B719" s="37"/>
      <c r="C719" s="29"/>
      <c r="D719" s="29"/>
    </row>
    <row r="720">
      <c r="A720" s="29"/>
      <c r="B720" s="37"/>
      <c r="C720" s="29"/>
      <c r="D720" s="29"/>
    </row>
    <row r="721">
      <c r="A721" s="29"/>
      <c r="B721" s="37"/>
      <c r="C721" s="29"/>
      <c r="D721" s="29"/>
    </row>
    <row r="722">
      <c r="A722" s="29"/>
      <c r="B722" s="37"/>
      <c r="C722" s="29"/>
      <c r="D722" s="29"/>
    </row>
    <row r="723">
      <c r="A723" s="29"/>
      <c r="B723" s="37"/>
      <c r="C723" s="29"/>
      <c r="D723" s="29"/>
    </row>
    <row r="724">
      <c r="A724" s="29"/>
      <c r="B724" s="37"/>
      <c r="C724" s="29"/>
      <c r="D724" s="29"/>
    </row>
    <row r="725">
      <c r="A725" s="29"/>
      <c r="B725" s="37"/>
      <c r="C725" s="29"/>
      <c r="D725" s="29"/>
    </row>
    <row r="726">
      <c r="A726" s="29"/>
      <c r="B726" s="37"/>
      <c r="C726" s="29"/>
      <c r="D726" s="29"/>
    </row>
    <row r="727">
      <c r="A727" s="29"/>
      <c r="B727" s="37"/>
      <c r="C727" s="29"/>
      <c r="D727" s="29"/>
    </row>
    <row r="728">
      <c r="A728" s="29"/>
      <c r="B728" s="37"/>
      <c r="C728" s="29"/>
      <c r="D728" s="29"/>
    </row>
    <row r="729">
      <c r="A729" s="29"/>
      <c r="B729" s="37"/>
      <c r="C729" s="29"/>
      <c r="D729" s="29"/>
    </row>
    <row r="730">
      <c r="A730" s="29"/>
      <c r="B730" s="37"/>
      <c r="C730" s="29"/>
      <c r="D730" s="29"/>
    </row>
    <row r="731">
      <c r="A731" s="29"/>
      <c r="B731" s="37"/>
      <c r="C731" s="29"/>
      <c r="D731" s="29"/>
    </row>
    <row r="732">
      <c r="A732" s="29"/>
      <c r="B732" s="37"/>
      <c r="C732" s="29"/>
      <c r="D732" s="29"/>
    </row>
    <row r="733">
      <c r="A733" s="29"/>
      <c r="B733" s="37"/>
      <c r="C733" s="29"/>
      <c r="D733" s="29"/>
    </row>
    <row r="734">
      <c r="A734" s="29"/>
      <c r="B734" s="37"/>
      <c r="C734" s="29"/>
      <c r="D734" s="29"/>
    </row>
    <row r="735">
      <c r="A735" s="29"/>
      <c r="B735" s="37"/>
      <c r="C735" s="29"/>
      <c r="D735" s="29"/>
    </row>
    <row r="736">
      <c r="A736" s="29"/>
      <c r="B736" s="37"/>
      <c r="C736" s="29"/>
      <c r="D736" s="29"/>
    </row>
    <row r="737">
      <c r="A737" s="29"/>
      <c r="B737" s="37"/>
      <c r="C737" s="29"/>
      <c r="D737" s="29"/>
    </row>
    <row r="738">
      <c r="A738" s="29"/>
      <c r="B738" s="37"/>
      <c r="C738" s="29"/>
      <c r="D738" s="29"/>
    </row>
    <row r="739">
      <c r="A739" s="29"/>
      <c r="B739" s="37"/>
      <c r="C739" s="29"/>
      <c r="D739" s="29"/>
    </row>
    <row r="740">
      <c r="A740" s="29"/>
      <c r="B740" s="37"/>
      <c r="C740" s="29"/>
      <c r="D740" s="29"/>
    </row>
    <row r="741">
      <c r="A741" s="29"/>
      <c r="B741" s="37"/>
      <c r="C741" s="29"/>
      <c r="D741" s="29"/>
    </row>
    <row r="742">
      <c r="A742" s="29"/>
      <c r="B742" s="37"/>
      <c r="C742" s="29"/>
      <c r="D742" s="29"/>
    </row>
    <row r="743">
      <c r="A743" s="29"/>
      <c r="B743" s="37"/>
      <c r="C743" s="29"/>
      <c r="D743" s="29"/>
    </row>
    <row r="744">
      <c r="A744" s="29"/>
      <c r="B744" s="37"/>
      <c r="C744" s="29"/>
      <c r="D744" s="29"/>
    </row>
    <row r="745">
      <c r="A745" s="29"/>
      <c r="B745" s="37"/>
      <c r="C745" s="29"/>
      <c r="D745" s="29"/>
    </row>
    <row r="746">
      <c r="A746" s="29"/>
      <c r="B746" s="37"/>
      <c r="C746" s="29"/>
      <c r="D746" s="29"/>
    </row>
    <row r="747">
      <c r="A747" s="29"/>
      <c r="B747" s="37"/>
      <c r="C747" s="29"/>
      <c r="D747" s="29"/>
    </row>
    <row r="748">
      <c r="A748" s="29"/>
      <c r="B748" s="37"/>
      <c r="C748" s="29"/>
      <c r="D748" s="29"/>
    </row>
    <row r="749">
      <c r="A749" s="29"/>
      <c r="B749" s="37"/>
      <c r="C749" s="29"/>
      <c r="D749" s="29"/>
    </row>
    <row r="750">
      <c r="A750" s="29"/>
      <c r="B750" s="37"/>
      <c r="C750" s="29"/>
      <c r="D750" s="29"/>
    </row>
    <row r="751">
      <c r="A751" s="29"/>
      <c r="B751" s="37"/>
      <c r="C751" s="29"/>
      <c r="D751" s="29"/>
    </row>
    <row r="752">
      <c r="A752" s="29"/>
      <c r="B752" s="37"/>
      <c r="C752" s="29"/>
      <c r="D752" s="29"/>
    </row>
    <row r="753">
      <c r="A753" s="29"/>
      <c r="B753" s="37"/>
      <c r="C753" s="29"/>
      <c r="D753" s="29"/>
    </row>
    <row r="754">
      <c r="A754" s="29"/>
      <c r="B754" s="37"/>
      <c r="C754" s="29"/>
      <c r="D754" s="29"/>
    </row>
    <row r="755">
      <c r="A755" s="29"/>
      <c r="B755" s="37"/>
      <c r="C755" s="29"/>
      <c r="D755" s="29"/>
    </row>
    <row r="756">
      <c r="A756" s="29"/>
      <c r="B756" s="37"/>
      <c r="C756" s="29"/>
      <c r="D756" s="29"/>
    </row>
    <row r="757">
      <c r="A757" s="29"/>
      <c r="B757" s="37"/>
      <c r="C757" s="29"/>
      <c r="D757" s="29"/>
    </row>
    <row r="758">
      <c r="A758" s="29"/>
      <c r="B758" s="37"/>
      <c r="C758" s="29"/>
      <c r="D758" s="29"/>
    </row>
    <row r="759">
      <c r="A759" s="29"/>
      <c r="B759" s="37"/>
      <c r="C759" s="29"/>
      <c r="D759" s="29"/>
    </row>
    <row r="760">
      <c r="A760" s="29"/>
      <c r="B760" s="37"/>
      <c r="C760" s="29"/>
      <c r="D760" s="29"/>
    </row>
    <row r="761">
      <c r="A761" s="29"/>
      <c r="B761" s="37"/>
      <c r="C761" s="29"/>
      <c r="D761" s="29"/>
    </row>
    <row r="762">
      <c r="A762" s="29"/>
      <c r="B762" s="37"/>
      <c r="C762" s="29"/>
      <c r="D762" s="29"/>
    </row>
    <row r="763">
      <c r="A763" s="29"/>
      <c r="B763" s="37"/>
      <c r="C763" s="29"/>
      <c r="D763" s="29"/>
    </row>
    <row r="764">
      <c r="A764" s="29"/>
      <c r="B764" s="37"/>
      <c r="C764" s="29"/>
      <c r="D764" s="29"/>
    </row>
    <row r="765">
      <c r="A765" s="29"/>
      <c r="B765" s="37"/>
      <c r="C765" s="29"/>
      <c r="D765" s="29"/>
    </row>
    <row r="766">
      <c r="A766" s="29"/>
      <c r="B766" s="37"/>
      <c r="C766" s="29"/>
      <c r="D766" s="29"/>
    </row>
    <row r="767">
      <c r="A767" s="29"/>
      <c r="B767" s="37"/>
      <c r="C767" s="29"/>
      <c r="D767" s="29"/>
    </row>
    <row r="768">
      <c r="A768" s="29"/>
      <c r="B768" s="37"/>
      <c r="C768" s="29"/>
      <c r="D768" s="29"/>
    </row>
    <row r="769">
      <c r="A769" s="29"/>
      <c r="B769" s="37"/>
      <c r="C769" s="29"/>
      <c r="D769" s="29"/>
    </row>
    <row r="770">
      <c r="A770" s="29"/>
      <c r="B770" s="37"/>
      <c r="C770" s="29"/>
      <c r="D770" s="29"/>
    </row>
    <row r="771">
      <c r="A771" s="29"/>
      <c r="B771" s="37"/>
      <c r="C771" s="29"/>
      <c r="D771" s="29"/>
    </row>
    <row r="772">
      <c r="A772" s="29"/>
      <c r="B772" s="37"/>
      <c r="C772" s="29"/>
      <c r="D772" s="29"/>
    </row>
    <row r="773">
      <c r="A773" s="29"/>
      <c r="B773" s="37"/>
      <c r="C773" s="29"/>
      <c r="D773" s="29"/>
    </row>
    <row r="774">
      <c r="A774" s="29"/>
      <c r="B774" s="37"/>
      <c r="C774" s="29"/>
      <c r="D774" s="29"/>
    </row>
    <row r="775">
      <c r="A775" s="29"/>
      <c r="B775" s="37"/>
      <c r="C775" s="29"/>
      <c r="D775" s="29"/>
    </row>
    <row r="776">
      <c r="A776" s="29"/>
      <c r="B776" s="37"/>
      <c r="C776" s="29"/>
      <c r="D776" s="29"/>
    </row>
    <row r="777">
      <c r="A777" s="29"/>
      <c r="B777" s="37"/>
      <c r="C777" s="29"/>
      <c r="D777" s="29"/>
    </row>
    <row r="778">
      <c r="A778" s="29"/>
      <c r="B778" s="37"/>
      <c r="C778" s="29"/>
      <c r="D778" s="29"/>
    </row>
    <row r="779">
      <c r="A779" s="29"/>
      <c r="B779" s="37"/>
      <c r="C779" s="29"/>
      <c r="D779" s="29"/>
    </row>
    <row r="780">
      <c r="A780" s="29"/>
      <c r="B780" s="37"/>
      <c r="C780" s="29"/>
      <c r="D780" s="29"/>
    </row>
    <row r="781">
      <c r="A781" s="29"/>
      <c r="B781" s="37"/>
      <c r="C781" s="29"/>
      <c r="D781" s="29"/>
    </row>
    <row r="782">
      <c r="A782" s="29"/>
      <c r="B782" s="37"/>
      <c r="C782" s="29"/>
      <c r="D782" s="29"/>
    </row>
    <row r="783">
      <c r="A783" s="29"/>
      <c r="B783" s="37"/>
      <c r="C783" s="29"/>
      <c r="D783" s="29"/>
    </row>
    <row r="784">
      <c r="A784" s="29"/>
      <c r="B784" s="37"/>
      <c r="C784" s="29"/>
      <c r="D784" s="29"/>
    </row>
    <row r="785">
      <c r="A785" s="29"/>
      <c r="B785" s="37"/>
      <c r="C785" s="29"/>
      <c r="D785" s="29"/>
    </row>
    <row r="786">
      <c r="A786" s="29"/>
      <c r="B786" s="37"/>
      <c r="C786" s="29"/>
      <c r="D786" s="29"/>
    </row>
    <row r="787">
      <c r="A787" s="29"/>
      <c r="B787" s="37"/>
      <c r="C787" s="29"/>
      <c r="D787" s="29"/>
    </row>
    <row r="788">
      <c r="A788" s="29"/>
      <c r="B788" s="37"/>
      <c r="C788" s="29"/>
      <c r="D788" s="29"/>
    </row>
    <row r="789">
      <c r="A789" s="29"/>
      <c r="B789" s="37"/>
      <c r="C789" s="29"/>
      <c r="D789" s="29"/>
    </row>
    <row r="790">
      <c r="A790" s="29"/>
      <c r="B790" s="37"/>
      <c r="C790" s="29"/>
      <c r="D790" s="29"/>
    </row>
    <row r="791">
      <c r="A791" s="29"/>
      <c r="B791" s="37"/>
      <c r="C791" s="29"/>
      <c r="D791" s="29"/>
    </row>
    <row r="792">
      <c r="A792" s="29"/>
      <c r="B792" s="37"/>
      <c r="C792" s="29"/>
      <c r="D792" s="29"/>
    </row>
    <row r="793">
      <c r="A793" s="29"/>
      <c r="B793" s="37"/>
      <c r="C793" s="29"/>
      <c r="D793" s="29"/>
    </row>
    <row r="794">
      <c r="A794" s="29"/>
      <c r="B794" s="37"/>
      <c r="C794" s="29"/>
      <c r="D794" s="29"/>
    </row>
    <row r="795">
      <c r="A795" s="29"/>
      <c r="B795" s="37"/>
      <c r="C795" s="29"/>
      <c r="D795" s="29"/>
    </row>
    <row r="796">
      <c r="A796" s="29"/>
      <c r="B796" s="37"/>
      <c r="C796" s="29"/>
      <c r="D796" s="29"/>
    </row>
    <row r="797">
      <c r="A797" s="29"/>
      <c r="B797" s="37"/>
      <c r="C797" s="29"/>
      <c r="D797" s="29"/>
    </row>
    <row r="798">
      <c r="A798" s="29"/>
      <c r="B798" s="37"/>
      <c r="C798" s="29"/>
      <c r="D798" s="29"/>
    </row>
    <row r="799">
      <c r="A799" s="29"/>
      <c r="B799" s="37"/>
      <c r="C799" s="29"/>
      <c r="D799" s="29"/>
    </row>
    <row r="800">
      <c r="A800" s="29"/>
      <c r="B800" s="37"/>
      <c r="C800" s="29"/>
      <c r="D800" s="29"/>
    </row>
    <row r="801">
      <c r="A801" s="29"/>
      <c r="B801" s="37"/>
      <c r="C801" s="29"/>
      <c r="D801" s="29"/>
    </row>
    <row r="802">
      <c r="A802" s="29"/>
      <c r="B802" s="37"/>
      <c r="C802" s="29"/>
      <c r="D802" s="29"/>
    </row>
    <row r="803">
      <c r="A803" s="29"/>
      <c r="B803" s="37"/>
      <c r="C803" s="29"/>
      <c r="D803" s="29"/>
    </row>
    <row r="804">
      <c r="A804" s="29"/>
      <c r="B804" s="37"/>
      <c r="C804" s="29"/>
      <c r="D804" s="29"/>
    </row>
    <row r="805">
      <c r="A805" s="29"/>
      <c r="B805" s="37"/>
      <c r="C805" s="29"/>
      <c r="D805" s="29"/>
    </row>
    <row r="806">
      <c r="A806" s="29"/>
      <c r="B806" s="37"/>
      <c r="C806" s="29"/>
      <c r="D806" s="29"/>
    </row>
    <row r="807">
      <c r="A807" s="29"/>
      <c r="B807" s="37"/>
      <c r="C807" s="29"/>
      <c r="D807" s="29"/>
    </row>
    <row r="808">
      <c r="A808" s="29"/>
      <c r="B808" s="37"/>
      <c r="C808" s="29"/>
      <c r="D808" s="29"/>
    </row>
    <row r="809">
      <c r="A809" s="29"/>
      <c r="B809" s="37"/>
      <c r="C809" s="29"/>
      <c r="D809" s="29"/>
    </row>
    <row r="810">
      <c r="A810" s="29"/>
      <c r="B810" s="37"/>
      <c r="C810" s="29"/>
      <c r="D810" s="29"/>
    </row>
    <row r="811">
      <c r="A811" s="29"/>
      <c r="B811" s="37"/>
      <c r="C811" s="29"/>
      <c r="D811" s="29"/>
    </row>
    <row r="812">
      <c r="A812" s="29"/>
      <c r="B812" s="37"/>
      <c r="C812" s="29"/>
      <c r="D812" s="29"/>
    </row>
    <row r="813">
      <c r="A813" s="29"/>
      <c r="B813" s="37"/>
      <c r="C813" s="29"/>
      <c r="D813" s="29"/>
    </row>
    <row r="814">
      <c r="A814" s="29"/>
      <c r="B814" s="37"/>
      <c r="C814" s="29"/>
      <c r="D814" s="29"/>
    </row>
    <row r="815">
      <c r="A815" s="29"/>
      <c r="B815" s="37"/>
      <c r="C815" s="29"/>
      <c r="D815" s="29"/>
    </row>
    <row r="816">
      <c r="A816" s="29"/>
      <c r="B816" s="37"/>
      <c r="C816" s="29"/>
      <c r="D816" s="29"/>
    </row>
    <row r="817">
      <c r="A817" s="29"/>
      <c r="B817" s="37"/>
      <c r="C817" s="29"/>
      <c r="D817" s="29"/>
    </row>
    <row r="818">
      <c r="A818" s="29"/>
      <c r="B818" s="37"/>
      <c r="C818" s="29"/>
      <c r="D818" s="29"/>
    </row>
    <row r="819">
      <c r="A819" s="29"/>
      <c r="B819" s="37"/>
      <c r="C819" s="29"/>
      <c r="D819" s="29"/>
    </row>
    <row r="820">
      <c r="A820" s="29"/>
      <c r="B820" s="37"/>
      <c r="C820" s="29"/>
      <c r="D820" s="29"/>
    </row>
    <row r="821">
      <c r="A821" s="29"/>
      <c r="B821" s="37"/>
      <c r="C821" s="29"/>
      <c r="D821" s="29"/>
    </row>
    <row r="822">
      <c r="A822" s="29"/>
      <c r="B822" s="37"/>
      <c r="C822" s="29"/>
      <c r="D822" s="29"/>
    </row>
    <row r="823">
      <c r="A823" s="29"/>
      <c r="B823" s="37"/>
      <c r="C823" s="29"/>
      <c r="D823" s="29"/>
    </row>
    <row r="824">
      <c r="A824" s="29"/>
      <c r="B824" s="37"/>
      <c r="C824" s="29"/>
      <c r="D824" s="29"/>
    </row>
    <row r="825">
      <c r="A825" s="29"/>
      <c r="B825" s="37"/>
      <c r="C825" s="29"/>
      <c r="D825" s="29"/>
    </row>
    <row r="826">
      <c r="A826" s="29"/>
      <c r="B826" s="37"/>
      <c r="C826" s="29"/>
      <c r="D826" s="29"/>
    </row>
    <row r="827">
      <c r="A827" s="29"/>
      <c r="B827" s="37"/>
      <c r="C827" s="29"/>
      <c r="D827" s="29"/>
    </row>
    <row r="828">
      <c r="A828" s="29"/>
      <c r="B828" s="37"/>
      <c r="C828" s="29"/>
      <c r="D828" s="29"/>
    </row>
    <row r="829">
      <c r="A829" s="29"/>
      <c r="B829" s="37"/>
      <c r="C829" s="29"/>
      <c r="D829" s="29"/>
    </row>
    <row r="830">
      <c r="A830" s="29"/>
      <c r="B830" s="37"/>
      <c r="C830" s="29"/>
      <c r="D830" s="29"/>
    </row>
    <row r="831">
      <c r="A831" s="29"/>
      <c r="B831" s="37"/>
      <c r="C831" s="29"/>
      <c r="D831" s="29"/>
    </row>
    <row r="832">
      <c r="A832" s="29"/>
      <c r="B832" s="37"/>
      <c r="C832" s="29"/>
      <c r="D832" s="29"/>
    </row>
    <row r="833">
      <c r="A833" s="29"/>
      <c r="B833" s="37"/>
      <c r="C833" s="29"/>
      <c r="D833" s="29"/>
    </row>
    <row r="834">
      <c r="A834" s="29"/>
      <c r="B834" s="37"/>
      <c r="C834" s="29"/>
      <c r="D834" s="29"/>
    </row>
    <row r="835">
      <c r="A835" s="29"/>
      <c r="B835" s="37"/>
      <c r="C835" s="29"/>
      <c r="D835" s="29"/>
    </row>
    <row r="836">
      <c r="A836" s="29"/>
      <c r="B836" s="37"/>
      <c r="C836" s="29"/>
      <c r="D836" s="29"/>
    </row>
    <row r="837">
      <c r="A837" s="29"/>
      <c r="B837" s="37"/>
      <c r="C837" s="29"/>
      <c r="D837" s="29"/>
    </row>
    <row r="838">
      <c r="A838" s="29"/>
      <c r="B838" s="37"/>
      <c r="C838" s="29"/>
      <c r="D838" s="29"/>
    </row>
    <row r="839">
      <c r="A839" s="29"/>
      <c r="B839" s="37"/>
      <c r="C839" s="29"/>
      <c r="D839" s="29"/>
    </row>
    <row r="840">
      <c r="A840" s="29"/>
      <c r="B840" s="37"/>
      <c r="C840" s="29"/>
      <c r="D840" s="29"/>
    </row>
    <row r="841">
      <c r="A841" s="29"/>
      <c r="B841" s="37"/>
      <c r="C841" s="29"/>
      <c r="D841" s="29"/>
    </row>
    <row r="842">
      <c r="A842" s="29"/>
      <c r="B842" s="37"/>
      <c r="C842" s="29"/>
      <c r="D842" s="29"/>
    </row>
    <row r="843">
      <c r="A843" s="29"/>
      <c r="B843" s="37"/>
      <c r="C843" s="29"/>
      <c r="D843" s="29"/>
    </row>
    <row r="844">
      <c r="A844" s="29"/>
      <c r="B844" s="37"/>
      <c r="C844" s="29"/>
      <c r="D844" s="29"/>
    </row>
    <row r="845">
      <c r="A845" s="29"/>
      <c r="B845" s="37"/>
      <c r="C845" s="29"/>
      <c r="D845" s="29"/>
    </row>
    <row r="846">
      <c r="A846" s="29"/>
      <c r="B846" s="37"/>
      <c r="C846" s="29"/>
      <c r="D846" s="29"/>
    </row>
    <row r="847">
      <c r="A847" s="29"/>
      <c r="B847" s="37"/>
      <c r="C847" s="29"/>
      <c r="D847" s="29"/>
    </row>
    <row r="848">
      <c r="A848" s="29"/>
      <c r="B848" s="37"/>
      <c r="C848" s="29"/>
      <c r="D848" s="29"/>
    </row>
    <row r="849">
      <c r="A849" s="29"/>
      <c r="B849" s="37"/>
      <c r="C849" s="29"/>
      <c r="D849" s="29"/>
    </row>
    <row r="850">
      <c r="A850" s="29"/>
      <c r="B850" s="37"/>
      <c r="C850" s="29"/>
      <c r="D850" s="29"/>
    </row>
    <row r="851">
      <c r="A851" s="29"/>
      <c r="B851" s="37"/>
      <c r="C851" s="29"/>
      <c r="D851" s="29"/>
    </row>
    <row r="852">
      <c r="A852" s="29"/>
      <c r="B852" s="37"/>
      <c r="C852" s="29"/>
      <c r="D852" s="29"/>
    </row>
    <row r="853">
      <c r="A853" s="29"/>
      <c r="B853" s="37"/>
      <c r="C853" s="29"/>
      <c r="D853" s="29"/>
    </row>
    <row r="854">
      <c r="A854" s="29"/>
      <c r="B854" s="37"/>
      <c r="C854" s="29"/>
      <c r="D854" s="29"/>
    </row>
    <row r="855">
      <c r="A855" s="29"/>
      <c r="B855" s="37"/>
      <c r="C855" s="29"/>
      <c r="D855" s="29"/>
    </row>
    <row r="856">
      <c r="A856" s="29"/>
      <c r="B856" s="37"/>
      <c r="C856" s="29"/>
      <c r="D856" s="29"/>
    </row>
    <row r="857">
      <c r="A857" s="29"/>
      <c r="B857" s="37"/>
      <c r="C857" s="29"/>
      <c r="D857" s="29"/>
    </row>
    <row r="858">
      <c r="A858" s="29"/>
      <c r="B858" s="37"/>
      <c r="C858" s="29"/>
      <c r="D858" s="29"/>
    </row>
    <row r="859">
      <c r="A859" s="29"/>
      <c r="B859" s="37"/>
      <c r="C859" s="29"/>
      <c r="D859" s="29"/>
    </row>
    <row r="860">
      <c r="A860" s="29"/>
      <c r="B860" s="37"/>
      <c r="C860" s="29"/>
      <c r="D860" s="29"/>
    </row>
    <row r="861">
      <c r="A861" s="29"/>
      <c r="B861" s="37"/>
      <c r="C861" s="29"/>
      <c r="D861" s="29"/>
    </row>
    <row r="862">
      <c r="A862" s="29"/>
      <c r="B862" s="37"/>
      <c r="C862" s="29"/>
      <c r="D862" s="29"/>
    </row>
    <row r="863">
      <c r="A863" s="29"/>
      <c r="B863" s="37"/>
      <c r="C863" s="29"/>
      <c r="D863" s="29"/>
    </row>
    <row r="864">
      <c r="A864" s="29"/>
      <c r="B864" s="37"/>
      <c r="C864" s="29"/>
      <c r="D864" s="29"/>
    </row>
    <row r="865">
      <c r="A865" s="29"/>
      <c r="B865" s="37"/>
      <c r="C865" s="29"/>
      <c r="D865" s="29"/>
    </row>
    <row r="866">
      <c r="A866" s="29"/>
      <c r="B866" s="37"/>
      <c r="C866" s="29"/>
      <c r="D866" s="29"/>
    </row>
    <row r="867">
      <c r="A867" s="29"/>
      <c r="B867" s="37"/>
      <c r="C867" s="29"/>
      <c r="D867" s="29"/>
    </row>
    <row r="868">
      <c r="A868" s="29"/>
      <c r="B868" s="37"/>
      <c r="C868" s="29"/>
      <c r="D868" s="29"/>
    </row>
    <row r="869">
      <c r="A869" s="29"/>
      <c r="B869" s="37"/>
      <c r="C869" s="29"/>
      <c r="D869" s="29"/>
    </row>
    <row r="870">
      <c r="A870" s="29"/>
      <c r="B870" s="37"/>
      <c r="C870" s="29"/>
      <c r="D870" s="29"/>
    </row>
    <row r="871">
      <c r="A871" s="29"/>
      <c r="B871" s="37"/>
      <c r="C871" s="29"/>
      <c r="D871" s="29"/>
    </row>
    <row r="872">
      <c r="A872" s="29"/>
      <c r="B872" s="37"/>
      <c r="C872" s="29"/>
      <c r="D872" s="29"/>
    </row>
    <row r="873">
      <c r="A873" s="29"/>
      <c r="B873" s="37"/>
      <c r="C873" s="29"/>
      <c r="D873" s="29"/>
    </row>
    <row r="874">
      <c r="A874" s="29"/>
      <c r="B874" s="37"/>
      <c r="C874" s="29"/>
      <c r="D874" s="29"/>
    </row>
    <row r="875">
      <c r="A875" s="29"/>
      <c r="B875" s="37"/>
      <c r="C875" s="29"/>
      <c r="D875" s="29"/>
    </row>
    <row r="876">
      <c r="A876" s="29"/>
      <c r="B876" s="37"/>
      <c r="C876" s="29"/>
      <c r="D876" s="29"/>
    </row>
    <row r="877">
      <c r="A877" s="29"/>
      <c r="B877" s="37"/>
      <c r="C877" s="29"/>
      <c r="D877" s="29"/>
    </row>
    <row r="878">
      <c r="A878" s="29"/>
      <c r="B878" s="37"/>
      <c r="C878" s="29"/>
      <c r="D878" s="29"/>
    </row>
    <row r="879">
      <c r="A879" s="29"/>
      <c r="B879" s="37"/>
      <c r="C879" s="29"/>
      <c r="D879" s="29"/>
    </row>
    <row r="880">
      <c r="A880" s="29"/>
      <c r="B880" s="37"/>
      <c r="C880" s="29"/>
      <c r="D880" s="29"/>
    </row>
    <row r="881">
      <c r="A881" s="29"/>
      <c r="B881" s="37"/>
      <c r="C881" s="29"/>
      <c r="D881" s="29"/>
    </row>
    <row r="882">
      <c r="A882" s="29"/>
      <c r="B882" s="37"/>
      <c r="C882" s="29"/>
      <c r="D882" s="29"/>
    </row>
    <row r="883">
      <c r="A883" s="29"/>
      <c r="B883" s="37"/>
      <c r="C883" s="29"/>
      <c r="D883" s="29"/>
    </row>
    <row r="884">
      <c r="A884" s="29"/>
      <c r="B884" s="37"/>
      <c r="C884" s="29"/>
      <c r="D884" s="29"/>
    </row>
    <row r="885">
      <c r="A885" s="29"/>
      <c r="B885" s="37"/>
      <c r="C885" s="29"/>
      <c r="D885" s="29"/>
    </row>
    <row r="886">
      <c r="A886" s="29"/>
      <c r="B886" s="37"/>
      <c r="C886" s="29"/>
      <c r="D886" s="29"/>
    </row>
    <row r="887">
      <c r="A887" s="29"/>
      <c r="B887" s="37"/>
      <c r="C887" s="29"/>
      <c r="D887" s="29"/>
    </row>
    <row r="888">
      <c r="A888" s="29"/>
      <c r="B888" s="37"/>
      <c r="C888" s="29"/>
      <c r="D888" s="29"/>
    </row>
    <row r="889">
      <c r="A889" s="29"/>
      <c r="B889" s="37"/>
      <c r="C889" s="29"/>
      <c r="D889" s="29"/>
    </row>
    <row r="890">
      <c r="A890" s="29"/>
      <c r="B890" s="37"/>
      <c r="C890" s="29"/>
      <c r="D890" s="29"/>
    </row>
    <row r="891">
      <c r="A891" s="29"/>
      <c r="B891" s="37"/>
      <c r="C891" s="29"/>
      <c r="D891" s="29"/>
    </row>
    <row r="892">
      <c r="A892" s="29"/>
      <c r="B892" s="37"/>
      <c r="C892" s="29"/>
      <c r="D892" s="29"/>
    </row>
    <row r="893">
      <c r="A893" s="29"/>
      <c r="B893" s="37"/>
      <c r="C893" s="29"/>
      <c r="D893" s="29"/>
    </row>
    <row r="894">
      <c r="A894" s="29"/>
      <c r="B894" s="37"/>
      <c r="C894" s="29"/>
      <c r="D894" s="29"/>
    </row>
    <row r="895">
      <c r="A895" s="29"/>
      <c r="B895" s="37"/>
      <c r="C895" s="29"/>
      <c r="D895" s="29"/>
    </row>
    <row r="896">
      <c r="A896" s="29"/>
      <c r="B896" s="37"/>
      <c r="C896" s="29"/>
      <c r="D896" s="29"/>
    </row>
    <row r="897">
      <c r="A897" s="29"/>
      <c r="B897" s="37"/>
      <c r="C897" s="29"/>
      <c r="D897" s="29"/>
    </row>
    <row r="898">
      <c r="A898" s="29"/>
      <c r="B898" s="37"/>
      <c r="C898" s="29"/>
      <c r="D898" s="29"/>
    </row>
    <row r="899">
      <c r="A899" s="29"/>
      <c r="B899" s="37"/>
      <c r="C899" s="29"/>
      <c r="D899" s="29"/>
    </row>
    <row r="900">
      <c r="A900" s="29"/>
      <c r="B900" s="37"/>
      <c r="C900" s="29"/>
      <c r="D900" s="29"/>
    </row>
    <row r="901">
      <c r="A901" s="29"/>
      <c r="B901" s="37"/>
      <c r="C901" s="29"/>
      <c r="D901" s="29"/>
    </row>
    <row r="902">
      <c r="A902" s="29"/>
      <c r="B902" s="37"/>
      <c r="C902" s="29"/>
      <c r="D902" s="29"/>
    </row>
    <row r="903">
      <c r="A903" s="29"/>
      <c r="B903" s="37"/>
      <c r="C903" s="29"/>
      <c r="D903" s="29"/>
    </row>
    <row r="904">
      <c r="A904" s="29"/>
      <c r="B904" s="37"/>
      <c r="C904" s="29"/>
      <c r="D904" s="29"/>
    </row>
    <row r="905">
      <c r="A905" s="29"/>
      <c r="B905" s="37"/>
      <c r="C905" s="29"/>
      <c r="D905" s="29"/>
    </row>
    <row r="906">
      <c r="A906" s="29"/>
      <c r="B906" s="37"/>
      <c r="C906" s="29"/>
      <c r="D906" s="29"/>
    </row>
    <row r="907">
      <c r="A907" s="29"/>
      <c r="B907" s="37"/>
      <c r="C907" s="29"/>
      <c r="D907" s="29"/>
    </row>
    <row r="908">
      <c r="A908" s="29"/>
      <c r="B908" s="37"/>
      <c r="C908" s="29"/>
      <c r="D908" s="29"/>
    </row>
    <row r="909">
      <c r="A909" s="29"/>
      <c r="B909" s="37"/>
      <c r="C909" s="29"/>
      <c r="D909" s="29"/>
    </row>
    <row r="910">
      <c r="A910" s="29"/>
      <c r="B910" s="37"/>
      <c r="C910" s="29"/>
      <c r="D910" s="29"/>
    </row>
    <row r="911">
      <c r="A911" s="29"/>
      <c r="B911" s="37"/>
      <c r="C911" s="29"/>
      <c r="D911" s="29"/>
    </row>
    <row r="912">
      <c r="A912" s="29"/>
      <c r="B912" s="37"/>
      <c r="C912" s="29"/>
      <c r="D912" s="29"/>
    </row>
    <row r="913">
      <c r="A913" s="29"/>
      <c r="B913" s="37"/>
      <c r="C913" s="29"/>
      <c r="D913" s="29"/>
    </row>
    <row r="914">
      <c r="A914" s="29"/>
      <c r="B914" s="37"/>
      <c r="C914" s="29"/>
      <c r="D914" s="29"/>
    </row>
    <row r="915">
      <c r="A915" s="29"/>
      <c r="B915" s="37"/>
      <c r="C915" s="29"/>
      <c r="D915" s="29"/>
    </row>
    <row r="916">
      <c r="A916" s="29"/>
      <c r="B916" s="37"/>
      <c r="C916" s="29"/>
      <c r="D916" s="29"/>
    </row>
    <row r="917">
      <c r="A917" s="29"/>
      <c r="B917" s="37"/>
      <c r="C917" s="29"/>
      <c r="D917" s="29"/>
    </row>
    <row r="918">
      <c r="A918" s="29"/>
      <c r="B918" s="37"/>
      <c r="C918" s="29"/>
      <c r="D918" s="29"/>
    </row>
    <row r="919">
      <c r="A919" s="29"/>
      <c r="B919" s="37"/>
      <c r="C919" s="29"/>
      <c r="D919" s="29"/>
    </row>
    <row r="920">
      <c r="A920" s="29"/>
      <c r="B920" s="37"/>
      <c r="C920" s="29"/>
      <c r="D920" s="29"/>
    </row>
    <row r="921">
      <c r="A921" s="29"/>
      <c r="B921" s="37"/>
      <c r="C921" s="29"/>
      <c r="D921" s="29"/>
    </row>
    <row r="922">
      <c r="A922" s="29"/>
      <c r="B922" s="37"/>
      <c r="C922" s="29"/>
      <c r="D922" s="29"/>
    </row>
    <row r="923">
      <c r="A923" s="29"/>
      <c r="B923" s="37"/>
      <c r="C923" s="29"/>
      <c r="D923" s="29"/>
    </row>
    <row r="924">
      <c r="A924" s="29"/>
      <c r="B924" s="37"/>
      <c r="C924" s="29"/>
      <c r="D924" s="29"/>
    </row>
    <row r="925">
      <c r="A925" s="29"/>
      <c r="B925" s="37"/>
      <c r="C925" s="29"/>
      <c r="D925" s="29"/>
    </row>
    <row r="926">
      <c r="A926" s="29"/>
      <c r="B926" s="37"/>
      <c r="C926" s="29"/>
      <c r="D926" s="29"/>
    </row>
    <row r="927">
      <c r="A927" s="29"/>
      <c r="B927" s="37"/>
      <c r="C927" s="29"/>
      <c r="D927" s="29"/>
    </row>
    <row r="928">
      <c r="A928" s="29"/>
      <c r="B928" s="37"/>
      <c r="C928" s="29"/>
      <c r="D928" s="29"/>
    </row>
    <row r="929">
      <c r="A929" s="29"/>
      <c r="B929" s="37"/>
      <c r="C929" s="29"/>
      <c r="D929" s="29"/>
    </row>
    <row r="930">
      <c r="A930" s="29"/>
      <c r="B930" s="37"/>
      <c r="C930" s="29"/>
      <c r="D930" s="29"/>
    </row>
    <row r="931">
      <c r="A931" s="29"/>
      <c r="B931" s="37"/>
      <c r="C931" s="29"/>
      <c r="D931" s="29"/>
    </row>
    <row r="932">
      <c r="A932" s="29"/>
      <c r="B932" s="37"/>
      <c r="C932" s="29"/>
      <c r="D932" s="29"/>
    </row>
    <row r="933">
      <c r="A933" s="29"/>
      <c r="B933" s="37"/>
      <c r="C933" s="29"/>
      <c r="D933" s="29"/>
    </row>
    <row r="934">
      <c r="A934" s="29"/>
      <c r="B934" s="37"/>
      <c r="C934" s="29"/>
      <c r="D934" s="29"/>
    </row>
    <row r="935">
      <c r="A935" s="29"/>
      <c r="B935" s="37"/>
      <c r="C935" s="29"/>
      <c r="D935" s="29"/>
    </row>
    <row r="936">
      <c r="A936" s="29"/>
      <c r="B936" s="37"/>
      <c r="C936" s="29"/>
      <c r="D936" s="29"/>
    </row>
    <row r="937">
      <c r="A937" s="29"/>
      <c r="B937" s="37"/>
      <c r="C937" s="29"/>
      <c r="D937" s="29"/>
    </row>
    <row r="938">
      <c r="A938" s="29"/>
      <c r="B938" s="37"/>
      <c r="C938" s="29"/>
      <c r="D938" s="29"/>
    </row>
    <row r="939">
      <c r="A939" s="29"/>
      <c r="B939" s="37"/>
      <c r="C939" s="29"/>
      <c r="D939" s="29"/>
    </row>
    <row r="940">
      <c r="A940" s="29"/>
      <c r="B940" s="37"/>
      <c r="C940" s="29"/>
      <c r="D940" s="29"/>
    </row>
    <row r="941">
      <c r="A941" s="29"/>
      <c r="B941" s="37"/>
      <c r="C941" s="29"/>
      <c r="D941" s="29"/>
    </row>
    <row r="942">
      <c r="A942" s="29"/>
      <c r="B942" s="37"/>
      <c r="C942" s="29"/>
      <c r="D942" s="29"/>
    </row>
    <row r="943">
      <c r="A943" s="29"/>
      <c r="B943" s="37"/>
      <c r="C943" s="29"/>
      <c r="D943" s="29"/>
    </row>
    <row r="944">
      <c r="A944" s="29"/>
      <c r="B944" s="37"/>
      <c r="C944" s="29"/>
      <c r="D944" s="29"/>
    </row>
    <row r="945">
      <c r="A945" s="29"/>
      <c r="B945" s="37"/>
      <c r="C945" s="29"/>
      <c r="D945" s="29"/>
    </row>
    <row r="946">
      <c r="A946" s="29"/>
      <c r="B946" s="37"/>
      <c r="C946" s="29"/>
      <c r="D946" s="29"/>
    </row>
    <row r="947">
      <c r="A947" s="29"/>
      <c r="B947" s="37"/>
      <c r="C947" s="29"/>
      <c r="D947" s="29"/>
    </row>
    <row r="948">
      <c r="A948" s="29"/>
      <c r="B948" s="37"/>
      <c r="C948" s="29"/>
      <c r="D948" s="29"/>
    </row>
    <row r="949">
      <c r="A949" s="29"/>
      <c r="B949" s="37"/>
      <c r="C949" s="29"/>
      <c r="D949" s="29"/>
    </row>
    <row r="950">
      <c r="A950" s="29"/>
      <c r="B950" s="37"/>
      <c r="C950" s="29"/>
      <c r="D950" s="29"/>
    </row>
    <row r="951">
      <c r="A951" s="29"/>
      <c r="B951" s="37"/>
      <c r="C951" s="29"/>
      <c r="D951" s="29"/>
    </row>
    <row r="952">
      <c r="A952" s="29"/>
      <c r="B952" s="37"/>
      <c r="C952" s="29"/>
      <c r="D952" s="29"/>
    </row>
    <row r="953">
      <c r="A953" s="29"/>
      <c r="B953" s="37"/>
      <c r="C953" s="29"/>
      <c r="D953" s="29"/>
    </row>
    <row r="954">
      <c r="A954" s="29"/>
      <c r="B954" s="37"/>
      <c r="C954" s="29"/>
      <c r="D954" s="29"/>
    </row>
    <row r="955">
      <c r="A955" s="29"/>
      <c r="B955" s="37"/>
      <c r="C955" s="29"/>
      <c r="D955" s="29"/>
    </row>
    <row r="956">
      <c r="A956" s="29"/>
      <c r="B956" s="37"/>
      <c r="C956" s="29"/>
      <c r="D956" s="29"/>
    </row>
    <row r="957">
      <c r="A957" s="29"/>
      <c r="B957" s="37"/>
      <c r="C957" s="29"/>
      <c r="D957" s="29"/>
    </row>
    <row r="958">
      <c r="A958" s="29"/>
      <c r="B958" s="37"/>
      <c r="C958" s="29"/>
      <c r="D958" s="29"/>
    </row>
    <row r="959">
      <c r="A959" s="29"/>
      <c r="B959" s="37"/>
      <c r="C959" s="29"/>
      <c r="D959" s="29"/>
    </row>
    <row r="960">
      <c r="A960" s="29"/>
      <c r="B960" s="37"/>
      <c r="C960" s="29"/>
      <c r="D960" s="29"/>
    </row>
    <row r="961">
      <c r="A961" s="29"/>
      <c r="B961" s="37"/>
      <c r="C961" s="29"/>
      <c r="D961" s="29"/>
    </row>
    <row r="962">
      <c r="A962" s="29"/>
      <c r="B962" s="37"/>
      <c r="C962" s="29"/>
      <c r="D962" s="29"/>
    </row>
    <row r="963">
      <c r="A963" s="29"/>
      <c r="B963" s="37"/>
      <c r="C963" s="29"/>
      <c r="D963" s="29"/>
    </row>
    <row r="964">
      <c r="A964" s="29"/>
      <c r="B964" s="37"/>
      <c r="C964" s="29"/>
      <c r="D964" s="29"/>
    </row>
    <row r="965">
      <c r="A965" s="29"/>
      <c r="B965" s="37"/>
      <c r="C965" s="29"/>
      <c r="D965" s="29"/>
    </row>
    <row r="966">
      <c r="A966" s="29"/>
      <c r="B966" s="37"/>
      <c r="C966" s="29"/>
      <c r="D966" s="29"/>
    </row>
    <row r="967">
      <c r="A967" s="29"/>
      <c r="B967" s="37"/>
      <c r="C967" s="29"/>
      <c r="D967" s="29"/>
    </row>
    <row r="968">
      <c r="A968" s="29"/>
      <c r="B968" s="37"/>
      <c r="C968" s="29"/>
      <c r="D968" s="29"/>
    </row>
    <row r="969">
      <c r="A969" s="29"/>
      <c r="B969" s="37"/>
      <c r="C969" s="29"/>
      <c r="D969" s="29"/>
    </row>
    <row r="970">
      <c r="A970" s="29"/>
      <c r="B970" s="37"/>
      <c r="C970" s="29"/>
      <c r="D970" s="29"/>
    </row>
    <row r="971">
      <c r="A971" s="29"/>
      <c r="B971" s="37"/>
      <c r="C971" s="29"/>
      <c r="D971" s="29"/>
    </row>
    <row r="972">
      <c r="A972" s="29"/>
      <c r="B972" s="37"/>
      <c r="C972" s="29"/>
      <c r="D972" s="29"/>
    </row>
    <row r="973">
      <c r="A973" s="29"/>
      <c r="B973" s="37"/>
      <c r="C973" s="29"/>
      <c r="D973" s="29"/>
    </row>
    <row r="974">
      <c r="A974" s="29"/>
      <c r="B974" s="37"/>
      <c r="C974" s="29"/>
      <c r="D974" s="29"/>
    </row>
    <row r="975">
      <c r="A975" s="29"/>
      <c r="B975" s="37"/>
      <c r="C975" s="29"/>
      <c r="D975" s="29"/>
    </row>
    <row r="976">
      <c r="A976" s="29"/>
      <c r="B976" s="37"/>
      <c r="C976" s="29"/>
      <c r="D976" s="29"/>
    </row>
    <row r="977">
      <c r="A977" s="29"/>
      <c r="B977" s="37"/>
      <c r="C977" s="29"/>
      <c r="D977" s="29"/>
    </row>
    <row r="978">
      <c r="A978" s="29"/>
      <c r="B978" s="37"/>
      <c r="C978" s="29"/>
      <c r="D978" s="29"/>
    </row>
    <row r="979">
      <c r="A979" s="29"/>
      <c r="B979" s="37"/>
      <c r="C979" s="29"/>
      <c r="D979" s="29"/>
    </row>
    <row r="980">
      <c r="A980" s="29"/>
      <c r="B980" s="37"/>
      <c r="C980" s="29"/>
      <c r="D980" s="29"/>
    </row>
    <row r="981">
      <c r="A981" s="29"/>
      <c r="B981" s="37"/>
      <c r="C981" s="29"/>
      <c r="D981" s="29"/>
    </row>
    <row r="982">
      <c r="A982" s="29"/>
      <c r="B982" s="37"/>
      <c r="C982" s="29"/>
      <c r="D982" s="29"/>
    </row>
    <row r="983">
      <c r="A983" s="29"/>
      <c r="B983" s="37"/>
      <c r="C983" s="29"/>
      <c r="D983" s="29"/>
    </row>
    <row r="984">
      <c r="A984" s="29"/>
      <c r="B984" s="37"/>
      <c r="C984" s="29"/>
      <c r="D984" s="29"/>
    </row>
    <row r="985">
      <c r="A985" s="29"/>
      <c r="B985" s="37"/>
      <c r="C985" s="29"/>
      <c r="D985" s="29"/>
    </row>
    <row r="986">
      <c r="A986" s="29"/>
      <c r="B986" s="37"/>
      <c r="C986" s="29"/>
      <c r="D986" s="29"/>
    </row>
    <row r="987">
      <c r="A987" s="29"/>
      <c r="B987" s="37"/>
      <c r="C987" s="29"/>
      <c r="D987" s="29"/>
    </row>
    <row r="988">
      <c r="A988" s="29"/>
      <c r="B988" s="37"/>
      <c r="C988" s="29"/>
      <c r="D988" s="29"/>
    </row>
    <row r="989">
      <c r="A989" s="29"/>
      <c r="B989" s="37"/>
      <c r="C989" s="29"/>
      <c r="D989" s="29"/>
    </row>
    <row r="990">
      <c r="A990" s="29"/>
      <c r="B990" s="37"/>
      <c r="C990" s="29"/>
      <c r="D990" s="29"/>
    </row>
    <row r="991">
      <c r="A991" s="29"/>
      <c r="B991" s="37"/>
      <c r="C991" s="29"/>
      <c r="D991" s="29"/>
    </row>
    <row r="992">
      <c r="A992" s="29"/>
      <c r="B992" s="37"/>
      <c r="C992" s="29"/>
      <c r="D992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14.5"/>
  </cols>
  <sheetData>
    <row r="1">
      <c r="A1" s="1" t="s">
        <v>49</v>
      </c>
      <c r="B1" s="3" t="s">
        <v>1</v>
      </c>
      <c r="C1" s="1" t="s">
        <v>6</v>
      </c>
      <c r="D1" s="1" t="s">
        <v>50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51</v>
      </c>
      <c r="B2" s="7">
        <v>33200.0</v>
      </c>
      <c r="C2" s="5" t="s">
        <v>8</v>
      </c>
      <c r="D2" s="5">
        <v>20.0</v>
      </c>
    </row>
    <row r="3">
      <c r="A3" s="5" t="s">
        <v>52</v>
      </c>
      <c r="B3" s="7">
        <v>22499.0</v>
      </c>
      <c r="C3" s="5" t="s">
        <v>10</v>
      </c>
      <c r="D3" s="5">
        <v>1.0</v>
      </c>
    </row>
    <row r="4">
      <c r="A4" s="5" t="s">
        <v>53</v>
      </c>
      <c r="B4" s="7">
        <v>500.0</v>
      </c>
      <c r="C4" s="5" t="s">
        <v>10</v>
      </c>
      <c r="D4" s="5">
        <v>10.0</v>
      </c>
    </row>
    <row r="5">
      <c r="A5" s="5" t="s">
        <v>54</v>
      </c>
      <c r="B5" s="7">
        <v>720.0</v>
      </c>
      <c r="C5" s="5" t="s">
        <v>10</v>
      </c>
      <c r="D5" s="5">
        <v>1.0</v>
      </c>
    </row>
    <row r="6">
      <c r="B6" s="11"/>
    </row>
    <row r="7">
      <c r="B7" s="11"/>
    </row>
    <row r="8">
      <c r="B8" s="11"/>
    </row>
    <row r="9">
      <c r="B9" s="11"/>
    </row>
    <row r="10">
      <c r="B10" s="11"/>
    </row>
    <row r="11">
      <c r="B11" s="11"/>
    </row>
    <row r="12">
      <c r="B12" s="11"/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4.75"/>
    <col customWidth="1" min="5" max="5" width="13.88"/>
  </cols>
  <sheetData>
    <row r="1">
      <c r="A1" s="1" t="s">
        <v>49</v>
      </c>
      <c r="B1" s="3" t="s">
        <v>1</v>
      </c>
      <c r="C1" s="1" t="s">
        <v>16</v>
      </c>
      <c r="D1" s="1" t="s">
        <v>6</v>
      </c>
      <c r="E1" s="1" t="s">
        <v>18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55</v>
      </c>
      <c r="B2" s="11">
        <f>B5/3</f>
        <v>7499.666667</v>
      </c>
      <c r="C2" s="38">
        <v>46193.0</v>
      </c>
      <c r="D2" s="5" t="s">
        <v>8</v>
      </c>
      <c r="E2" s="15" t="str">
        <f t="shared" ref="E2:E7" si="1">IFERROR(IF(C2&lt;&gt;"",TEXT(C2, "yyyy-mm"),""),"")</f>
        <v>2026-06</v>
      </c>
    </row>
    <row r="3">
      <c r="A3" s="5" t="s">
        <v>56</v>
      </c>
      <c r="B3" s="11">
        <f>B4/3</f>
        <v>8600</v>
      </c>
      <c r="C3" s="38">
        <v>45809.0</v>
      </c>
      <c r="D3" s="5" t="s">
        <v>10</v>
      </c>
      <c r="E3" s="15" t="str">
        <f t="shared" si="1"/>
        <v>2025-06</v>
      </c>
    </row>
    <row r="4">
      <c r="A4" s="5" t="s">
        <v>57</v>
      </c>
      <c r="B4" s="7">
        <v>25800.0</v>
      </c>
      <c r="C4" s="38">
        <v>46346.0</v>
      </c>
      <c r="D4" s="5" t="s">
        <v>8</v>
      </c>
      <c r="E4" s="15" t="str">
        <f t="shared" si="1"/>
        <v>2026-11</v>
      </c>
    </row>
    <row r="5">
      <c r="A5" s="5" t="s">
        <v>58</v>
      </c>
      <c r="B5" s="7">
        <f>receitas_recorrentes!B3</f>
        <v>22499</v>
      </c>
      <c r="C5" s="38">
        <v>46357.0</v>
      </c>
      <c r="D5" s="5" t="s">
        <v>10</v>
      </c>
      <c r="E5" s="15" t="str">
        <f t="shared" si="1"/>
        <v>2026-12</v>
      </c>
    </row>
    <row r="6">
      <c r="A6" s="5" t="s">
        <v>59</v>
      </c>
      <c r="B6" s="7">
        <v>5988.0</v>
      </c>
      <c r="C6" s="38">
        <v>46264.0</v>
      </c>
      <c r="D6" s="5" t="s">
        <v>8</v>
      </c>
      <c r="E6" s="15" t="str">
        <f t="shared" si="1"/>
        <v>2026-08</v>
      </c>
    </row>
    <row r="7">
      <c r="A7" s="5" t="s">
        <v>59</v>
      </c>
      <c r="B7" s="7">
        <v>2947.08</v>
      </c>
      <c r="C7" s="38">
        <v>46203.0</v>
      </c>
      <c r="D7" s="5" t="s">
        <v>10</v>
      </c>
      <c r="E7" s="15" t="str">
        <f t="shared" si="1"/>
        <v>2026-06</v>
      </c>
    </row>
    <row r="8">
      <c r="A8" s="5"/>
      <c r="B8" s="7"/>
      <c r="C8" s="38"/>
      <c r="D8" s="5"/>
    </row>
    <row r="9">
      <c r="A9" s="5"/>
      <c r="B9" s="7"/>
      <c r="C9" s="38"/>
      <c r="D9" s="5"/>
    </row>
    <row r="10">
      <c r="B10" s="11"/>
      <c r="C10" s="39"/>
      <c r="E10" s="15" t="str">
        <f t="shared" ref="E10:E30" si="2">IFERROR(IF(C10&lt;&gt;"",TEXT(C10, "yyyy-mm"),""),"")</f>
        <v/>
      </c>
    </row>
    <row r="11">
      <c r="B11" s="11"/>
      <c r="C11" s="39"/>
      <c r="E11" s="15" t="str">
        <f t="shared" si="2"/>
        <v/>
      </c>
    </row>
    <row r="12">
      <c r="B12" s="11"/>
      <c r="C12" s="39"/>
      <c r="E12" s="15" t="str">
        <f t="shared" si="2"/>
        <v/>
      </c>
    </row>
    <row r="13">
      <c r="B13" s="11"/>
      <c r="C13" s="39"/>
      <c r="E13" s="15" t="str">
        <f t="shared" si="2"/>
        <v/>
      </c>
    </row>
    <row r="14">
      <c r="B14" s="11"/>
      <c r="C14" s="39"/>
      <c r="E14" s="15" t="str">
        <f t="shared" si="2"/>
        <v/>
      </c>
    </row>
    <row r="15">
      <c r="B15" s="11"/>
      <c r="C15" s="39"/>
      <c r="E15" s="15" t="str">
        <f t="shared" si="2"/>
        <v/>
      </c>
    </row>
    <row r="16">
      <c r="B16" s="11"/>
      <c r="C16" s="39"/>
      <c r="E16" s="15" t="str">
        <f t="shared" si="2"/>
        <v/>
      </c>
    </row>
    <row r="17">
      <c r="B17" s="11"/>
      <c r="C17" s="39"/>
      <c r="E17" s="15" t="str">
        <f t="shared" si="2"/>
        <v/>
      </c>
    </row>
    <row r="18">
      <c r="B18" s="11"/>
      <c r="C18" s="39"/>
      <c r="E18" s="15" t="str">
        <f t="shared" si="2"/>
        <v/>
      </c>
    </row>
    <row r="19">
      <c r="B19" s="11"/>
      <c r="C19" s="39"/>
      <c r="E19" s="15" t="str">
        <f t="shared" si="2"/>
        <v/>
      </c>
    </row>
    <row r="20">
      <c r="B20" s="11"/>
      <c r="C20" s="39"/>
      <c r="E20" s="15" t="str">
        <f t="shared" si="2"/>
        <v/>
      </c>
    </row>
    <row r="21">
      <c r="B21" s="11"/>
      <c r="C21" s="39"/>
      <c r="E21" s="15" t="str">
        <f t="shared" si="2"/>
        <v/>
      </c>
    </row>
    <row r="22">
      <c r="B22" s="11"/>
      <c r="C22" s="39"/>
      <c r="E22" s="15" t="str">
        <f t="shared" si="2"/>
        <v/>
      </c>
    </row>
    <row r="23">
      <c r="B23" s="11"/>
      <c r="C23" s="39"/>
      <c r="E23" s="15" t="str">
        <f t="shared" si="2"/>
        <v/>
      </c>
    </row>
    <row r="24">
      <c r="B24" s="11"/>
      <c r="C24" s="39"/>
      <c r="E24" s="15" t="str">
        <f t="shared" si="2"/>
        <v/>
      </c>
    </row>
    <row r="25">
      <c r="B25" s="11"/>
      <c r="C25" s="39"/>
      <c r="E25" s="15" t="str">
        <f t="shared" si="2"/>
        <v/>
      </c>
    </row>
    <row r="26">
      <c r="B26" s="11"/>
      <c r="C26" s="39"/>
      <c r="E26" s="15" t="str">
        <f t="shared" si="2"/>
        <v/>
      </c>
    </row>
    <row r="27">
      <c r="B27" s="11"/>
      <c r="C27" s="39"/>
      <c r="E27" s="15" t="str">
        <f t="shared" si="2"/>
        <v/>
      </c>
    </row>
    <row r="28">
      <c r="B28" s="11"/>
      <c r="C28" s="39"/>
      <c r="E28" s="15" t="str">
        <f t="shared" si="2"/>
        <v/>
      </c>
    </row>
    <row r="29">
      <c r="B29" s="11"/>
      <c r="C29" s="39"/>
      <c r="E29" s="15" t="str">
        <f t="shared" si="2"/>
        <v/>
      </c>
    </row>
    <row r="30">
      <c r="B30" s="11"/>
      <c r="C30" s="39"/>
      <c r="E30" s="15" t="str">
        <f t="shared" si="2"/>
        <v/>
      </c>
    </row>
    <row r="31">
      <c r="B31" s="11"/>
      <c r="C31" s="39"/>
    </row>
    <row r="32">
      <c r="B32" s="11"/>
      <c r="C32" s="39"/>
    </row>
    <row r="33">
      <c r="B33" s="11"/>
      <c r="C33" s="39"/>
    </row>
    <row r="34">
      <c r="B34" s="11"/>
      <c r="C34" s="39"/>
    </row>
    <row r="35">
      <c r="B35" s="11"/>
      <c r="C35" s="39"/>
    </row>
    <row r="36">
      <c r="B36" s="11"/>
      <c r="C36" s="39"/>
    </row>
    <row r="37">
      <c r="B37" s="11"/>
      <c r="C37" s="39"/>
    </row>
    <row r="38">
      <c r="B38" s="11"/>
      <c r="C38" s="39"/>
    </row>
    <row r="39">
      <c r="B39" s="11"/>
      <c r="C39" s="39"/>
    </row>
    <row r="40">
      <c r="B40" s="11"/>
      <c r="C40" s="39"/>
    </row>
    <row r="41">
      <c r="B41" s="11"/>
      <c r="C41" s="39"/>
    </row>
    <row r="42">
      <c r="B42" s="11"/>
      <c r="C42" s="39"/>
    </row>
    <row r="43">
      <c r="B43" s="11"/>
      <c r="C43" s="39"/>
    </row>
    <row r="44">
      <c r="B44" s="11"/>
      <c r="C44" s="39"/>
    </row>
    <row r="45">
      <c r="B45" s="11"/>
      <c r="C45" s="39"/>
    </row>
    <row r="46">
      <c r="B46" s="11"/>
      <c r="C46" s="39"/>
    </row>
    <row r="47">
      <c r="B47" s="11"/>
      <c r="C47" s="39"/>
    </row>
    <row r="48">
      <c r="B48" s="11"/>
      <c r="C48" s="39"/>
    </row>
    <row r="49">
      <c r="B49" s="11"/>
      <c r="C49" s="39"/>
    </row>
    <row r="50">
      <c r="B50" s="11"/>
      <c r="C50" s="39"/>
    </row>
    <row r="51">
      <c r="B51" s="11"/>
      <c r="C51" s="39"/>
    </row>
    <row r="52">
      <c r="B52" s="11"/>
      <c r="C52" s="39"/>
    </row>
    <row r="53">
      <c r="B53" s="11"/>
      <c r="C53" s="39"/>
    </row>
    <row r="54">
      <c r="B54" s="11"/>
      <c r="C54" s="39"/>
    </row>
    <row r="55">
      <c r="B55" s="11"/>
      <c r="C55" s="39"/>
    </row>
    <row r="56">
      <c r="B56" s="11"/>
      <c r="C56" s="39"/>
    </row>
    <row r="57">
      <c r="B57" s="11"/>
      <c r="C57" s="39"/>
    </row>
    <row r="58">
      <c r="B58" s="11"/>
      <c r="C58" s="39"/>
    </row>
    <row r="59">
      <c r="B59" s="11"/>
      <c r="C59" s="39"/>
    </row>
    <row r="60">
      <c r="B60" s="11"/>
      <c r="C60" s="39"/>
    </row>
    <row r="61">
      <c r="B61" s="11"/>
      <c r="C61" s="39"/>
    </row>
    <row r="62">
      <c r="B62" s="11"/>
      <c r="C62" s="39"/>
    </row>
    <row r="63">
      <c r="B63" s="11"/>
      <c r="C63" s="39"/>
    </row>
    <row r="64">
      <c r="B64" s="11"/>
      <c r="C64" s="39"/>
    </row>
    <row r="65">
      <c r="B65" s="11"/>
      <c r="C65" s="39"/>
    </row>
    <row r="66">
      <c r="B66" s="11"/>
      <c r="C66" s="39"/>
    </row>
    <row r="67">
      <c r="B67" s="11"/>
      <c r="C67" s="39"/>
    </row>
    <row r="68">
      <c r="B68" s="11"/>
      <c r="C68" s="39"/>
    </row>
    <row r="69">
      <c r="B69" s="11"/>
      <c r="C69" s="39"/>
    </row>
    <row r="70">
      <c r="B70" s="11"/>
      <c r="C70" s="39"/>
    </row>
    <row r="71">
      <c r="B71" s="11"/>
      <c r="C71" s="39"/>
    </row>
    <row r="72">
      <c r="B72" s="11"/>
      <c r="C72" s="39"/>
    </row>
    <row r="73">
      <c r="B73" s="11"/>
      <c r="C73" s="39"/>
    </row>
    <row r="74">
      <c r="B74" s="11"/>
      <c r="C74" s="39"/>
    </row>
    <row r="75">
      <c r="B75" s="11"/>
      <c r="C75" s="39"/>
    </row>
    <row r="76">
      <c r="B76" s="11"/>
      <c r="C76" s="39"/>
    </row>
    <row r="77">
      <c r="B77" s="11"/>
      <c r="C77" s="39"/>
    </row>
    <row r="78">
      <c r="B78" s="11"/>
      <c r="C78" s="39"/>
    </row>
    <row r="79">
      <c r="B79" s="11"/>
      <c r="C79" s="39"/>
    </row>
    <row r="80">
      <c r="B80" s="11"/>
      <c r="C80" s="39"/>
    </row>
    <row r="81">
      <c r="B81" s="11"/>
      <c r="C81" s="39"/>
    </row>
    <row r="82">
      <c r="B82" s="11"/>
      <c r="C82" s="39"/>
    </row>
    <row r="83">
      <c r="B83" s="11"/>
      <c r="C83" s="39"/>
    </row>
    <row r="84">
      <c r="B84" s="11"/>
      <c r="C84" s="39"/>
    </row>
    <row r="85">
      <c r="B85" s="11"/>
      <c r="C85" s="39"/>
    </row>
    <row r="86">
      <c r="B86" s="11"/>
      <c r="C86" s="39"/>
    </row>
    <row r="87">
      <c r="B87" s="11"/>
      <c r="C87" s="39"/>
    </row>
    <row r="88">
      <c r="B88" s="11"/>
      <c r="C88" s="39"/>
    </row>
    <row r="89">
      <c r="B89" s="11"/>
      <c r="C89" s="39"/>
    </row>
    <row r="90">
      <c r="B90" s="11"/>
      <c r="C90" s="39"/>
    </row>
    <row r="91">
      <c r="B91" s="11"/>
      <c r="C91" s="39"/>
    </row>
    <row r="92">
      <c r="B92" s="11"/>
      <c r="C92" s="39"/>
    </row>
    <row r="93">
      <c r="B93" s="11"/>
      <c r="C93" s="39"/>
    </row>
    <row r="94">
      <c r="B94" s="11"/>
      <c r="C94" s="39"/>
    </row>
    <row r="95">
      <c r="B95" s="11"/>
      <c r="C95" s="39"/>
    </row>
    <row r="96">
      <c r="B96" s="11"/>
      <c r="C96" s="39"/>
    </row>
    <row r="97">
      <c r="B97" s="11"/>
      <c r="C97" s="39"/>
    </row>
    <row r="98">
      <c r="B98" s="11"/>
      <c r="C98" s="39"/>
    </row>
    <row r="99">
      <c r="B99" s="11"/>
      <c r="C99" s="39"/>
    </row>
    <row r="100">
      <c r="B100" s="11"/>
      <c r="C100" s="39"/>
    </row>
    <row r="101">
      <c r="B101" s="11"/>
      <c r="C101" s="39"/>
    </row>
    <row r="102">
      <c r="B102" s="11"/>
      <c r="C102" s="39"/>
    </row>
    <row r="103">
      <c r="B103" s="11"/>
      <c r="C103" s="39"/>
    </row>
    <row r="104">
      <c r="B104" s="11"/>
      <c r="C104" s="39"/>
    </row>
    <row r="105">
      <c r="B105" s="11"/>
      <c r="C105" s="39"/>
    </row>
    <row r="106">
      <c r="B106" s="11"/>
      <c r="C106" s="39"/>
    </row>
    <row r="107">
      <c r="B107" s="11"/>
      <c r="C107" s="39"/>
    </row>
    <row r="108">
      <c r="B108" s="11"/>
      <c r="C108" s="39"/>
    </row>
    <row r="109">
      <c r="B109" s="11"/>
      <c r="C109" s="39"/>
    </row>
    <row r="110">
      <c r="B110" s="11"/>
      <c r="C110" s="39"/>
    </row>
    <row r="111">
      <c r="B111" s="11"/>
      <c r="C111" s="39"/>
    </row>
    <row r="112">
      <c r="B112" s="11"/>
      <c r="C112" s="39"/>
    </row>
    <row r="113">
      <c r="B113" s="11"/>
      <c r="C113" s="39"/>
    </row>
    <row r="114">
      <c r="B114" s="11"/>
      <c r="C114" s="39"/>
    </row>
    <row r="115">
      <c r="B115" s="11"/>
      <c r="C115" s="39"/>
    </row>
    <row r="116">
      <c r="B116" s="11"/>
      <c r="C116" s="39"/>
    </row>
    <row r="117">
      <c r="B117" s="11"/>
      <c r="C117" s="39"/>
    </row>
    <row r="118">
      <c r="B118" s="11"/>
      <c r="C118" s="39"/>
    </row>
    <row r="119">
      <c r="B119" s="11"/>
      <c r="C119" s="39"/>
    </row>
    <row r="120">
      <c r="B120" s="11"/>
      <c r="C120" s="39"/>
    </row>
    <row r="121">
      <c r="B121" s="11"/>
      <c r="C121" s="39"/>
    </row>
    <row r="122">
      <c r="B122" s="11"/>
      <c r="C122" s="39"/>
    </row>
    <row r="123">
      <c r="B123" s="11"/>
      <c r="C123" s="39"/>
    </row>
    <row r="124">
      <c r="B124" s="11"/>
      <c r="C124" s="39"/>
    </row>
    <row r="125">
      <c r="B125" s="11"/>
      <c r="C125" s="39"/>
    </row>
    <row r="126">
      <c r="B126" s="11"/>
      <c r="C126" s="39"/>
    </row>
    <row r="127">
      <c r="B127" s="11"/>
      <c r="C127" s="39"/>
    </row>
    <row r="128">
      <c r="B128" s="11"/>
      <c r="C128" s="39"/>
    </row>
    <row r="129">
      <c r="B129" s="11"/>
      <c r="C129" s="39"/>
    </row>
    <row r="130">
      <c r="B130" s="11"/>
      <c r="C130" s="39"/>
    </row>
    <row r="131">
      <c r="B131" s="11"/>
      <c r="C131" s="39"/>
    </row>
    <row r="132">
      <c r="B132" s="11"/>
      <c r="C132" s="39"/>
    </row>
    <row r="133">
      <c r="B133" s="11"/>
      <c r="C133" s="39"/>
    </row>
    <row r="134">
      <c r="B134" s="11"/>
      <c r="C134" s="39"/>
    </row>
    <row r="135">
      <c r="B135" s="11"/>
      <c r="C135" s="39"/>
    </row>
    <row r="136">
      <c r="B136" s="11"/>
      <c r="C136" s="39"/>
    </row>
    <row r="137">
      <c r="B137" s="11"/>
      <c r="C137" s="39"/>
    </row>
    <row r="138">
      <c r="B138" s="11"/>
      <c r="C138" s="39"/>
    </row>
    <row r="139">
      <c r="B139" s="11"/>
      <c r="C139" s="39"/>
    </row>
    <row r="140">
      <c r="B140" s="11"/>
      <c r="C140" s="39"/>
    </row>
    <row r="141">
      <c r="B141" s="11"/>
      <c r="C141" s="39"/>
    </row>
    <row r="142">
      <c r="B142" s="11"/>
      <c r="C142" s="39"/>
    </row>
    <row r="143">
      <c r="B143" s="11"/>
      <c r="C143" s="39"/>
    </row>
    <row r="144">
      <c r="B144" s="11"/>
      <c r="C144" s="39"/>
    </row>
    <row r="145">
      <c r="B145" s="11"/>
      <c r="C145" s="39"/>
    </row>
    <row r="146">
      <c r="B146" s="11"/>
      <c r="C146" s="39"/>
    </row>
    <row r="147">
      <c r="B147" s="11"/>
      <c r="C147" s="39"/>
    </row>
    <row r="148">
      <c r="B148" s="11"/>
      <c r="C148" s="39"/>
    </row>
    <row r="149">
      <c r="B149" s="11"/>
      <c r="C149" s="39"/>
    </row>
    <row r="150">
      <c r="B150" s="11"/>
      <c r="C150" s="39"/>
    </row>
    <row r="151">
      <c r="B151" s="11"/>
      <c r="C151" s="39"/>
    </row>
    <row r="152">
      <c r="B152" s="11"/>
      <c r="C152" s="39"/>
    </row>
    <row r="153">
      <c r="B153" s="11"/>
      <c r="C153" s="39"/>
    </row>
    <row r="154">
      <c r="B154" s="11"/>
      <c r="C154" s="39"/>
    </row>
    <row r="155">
      <c r="B155" s="11"/>
      <c r="C155" s="39"/>
    </row>
    <row r="156">
      <c r="B156" s="11"/>
      <c r="C156" s="39"/>
    </row>
    <row r="157">
      <c r="B157" s="11"/>
      <c r="C157" s="39"/>
    </row>
    <row r="158">
      <c r="B158" s="11"/>
      <c r="C158" s="39"/>
    </row>
    <row r="159">
      <c r="B159" s="11"/>
      <c r="C159" s="39"/>
    </row>
    <row r="160">
      <c r="B160" s="11"/>
      <c r="C160" s="39"/>
    </row>
    <row r="161">
      <c r="B161" s="11"/>
      <c r="C161" s="39"/>
    </row>
    <row r="162">
      <c r="B162" s="11"/>
      <c r="C162" s="39"/>
    </row>
    <row r="163">
      <c r="B163" s="11"/>
      <c r="C163" s="39"/>
    </row>
    <row r="164">
      <c r="B164" s="11"/>
      <c r="C164" s="39"/>
    </row>
    <row r="165">
      <c r="B165" s="11"/>
      <c r="C165" s="39"/>
    </row>
    <row r="166">
      <c r="B166" s="11"/>
      <c r="C166" s="39"/>
    </row>
    <row r="167">
      <c r="B167" s="11"/>
      <c r="C167" s="39"/>
    </row>
    <row r="168">
      <c r="B168" s="11"/>
      <c r="C168" s="39"/>
    </row>
    <row r="169">
      <c r="B169" s="11"/>
      <c r="C169" s="39"/>
    </row>
    <row r="170">
      <c r="B170" s="11"/>
      <c r="C170" s="39"/>
    </row>
    <row r="171">
      <c r="B171" s="11"/>
      <c r="C171" s="39"/>
    </row>
    <row r="172">
      <c r="B172" s="11"/>
      <c r="C172" s="39"/>
    </row>
    <row r="173">
      <c r="B173" s="11"/>
      <c r="C173" s="39"/>
    </row>
    <row r="174">
      <c r="B174" s="11"/>
      <c r="C174" s="39"/>
    </row>
    <row r="175">
      <c r="B175" s="11"/>
      <c r="C175" s="39"/>
    </row>
    <row r="176">
      <c r="B176" s="11"/>
      <c r="C176" s="39"/>
    </row>
    <row r="177">
      <c r="B177" s="11"/>
      <c r="C177" s="39"/>
    </row>
    <row r="178">
      <c r="B178" s="11"/>
      <c r="C178" s="39"/>
    </row>
    <row r="179">
      <c r="B179" s="11"/>
      <c r="C179" s="39"/>
    </row>
    <row r="180">
      <c r="B180" s="11"/>
      <c r="C180" s="39"/>
    </row>
    <row r="181">
      <c r="B181" s="11"/>
      <c r="C181" s="39"/>
    </row>
    <row r="182">
      <c r="B182" s="11"/>
      <c r="C182" s="39"/>
    </row>
    <row r="183">
      <c r="B183" s="11"/>
      <c r="C183" s="39"/>
    </row>
    <row r="184">
      <c r="B184" s="11"/>
      <c r="C184" s="39"/>
    </row>
    <row r="185">
      <c r="B185" s="11"/>
      <c r="C185" s="39"/>
    </row>
    <row r="186">
      <c r="B186" s="11"/>
      <c r="C186" s="39"/>
    </row>
    <row r="187">
      <c r="B187" s="11"/>
      <c r="C187" s="39"/>
    </row>
    <row r="188">
      <c r="B188" s="11"/>
      <c r="C188" s="39"/>
    </row>
    <row r="189">
      <c r="B189" s="11"/>
      <c r="C189" s="39"/>
    </row>
    <row r="190">
      <c r="B190" s="11"/>
      <c r="C190" s="39"/>
    </row>
    <row r="191">
      <c r="B191" s="11"/>
      <c r="C191" s="39"/>
    </row>
    <row r="192">
      <c r="B192" s="11"/>
      <c r="C192" s="39"/>
    </row>
    <row r="193">
      <c r="B193" s="11"/>
      <c r="C193" s="39"/>
    </row>
    <row r="194">
      <c r="B194" s="11"/>
      <c r="C194" s="39"/>
    </row>
    <row r="195">
      <c r="B195" s="11"/>
      <c r="C195" s="39"/>
    </row>
    <row r="196">
      <c r="B196" s="11"/>
      <c r="C196" s="39"/>
    </row>
    <row r="197">
      <c r="B197" s="11"/>
      <c r="C197" s="39"/>
    </row>
    <row r="198">
      <c r="B198" s="11"/>
      <c r="C198" s="39"/>
    </row>
    <row r="199">
      <c r="B199" s="11"/>
      <c r="C199" s="39"/>
    </row>
    <row r="200">
      <c r="B200" s="11"/>
      <c r="C200" s="39"/>
    </row>
    <row r="201">
      <c r="B201" s="11"/>
      <c r="C201" s="39"/>
    </row>
    <row r="202">
      <c r="B202" s="11"/>
      <c r="C202" s="39"/>
    </row>
    <row r="203">
      <c r="B203" s="11"/>
      <c r="C203" s="39"/>
    </row>
    <row r="204">
      <c r="B204" s="11"/>
      <c r="C204" s="39"/>
    </row>
    <row r="205">
      <c r="B205" s="11"/>
      <c r="C205" s="39"/>
    </row>
    <row r="206">
      <c r="B206" s="11"/>
      <c r="C206" s="39"/>
    </row>
    <row r="207">
      <c r="B207" s="11"/>
      <c r="C207" s="39"/>
    </row>
    <row r="208">
      <c r="B208" s="11"/>
      <c r="C208" s="39"/>
    </row>
    <row r="209">
      <c r="B209" s="11"/>
      <c r="C209" s="39"/>
    </row>
    <row r="210">
      <c r="B210" s="11"/>
      <c r="C210" s="39"/>
    </row>
    <row r="211">
      <c r="B211" s="11"/>
      <c r="C211" s="39"/>
    </row>
    <row r="212">
      <c r="B212" s="11"/>
      <c r="C212" s="39"/>
    </row>
    <row r="213">
      <c r="B213" s="11"/>
      <c r="C213" s="39"/>
    </row>
    <row r="214">
      <c r="B214" s="11"/>
      <c r="C214" s="39"/>
    </row>
    <row r="215">
      <c r="B215" s="11"/>
      <c r="C215" s="39"/>
    </row>
    <row r="216">
      <c r="B216" s="11"/>
      <c r="C216" s="39"/>
    </row>
    <row r="217">
      <c r="B217" s="11"/>
      <c r="C217" s="39"/>
    </row>
    <row r="218">
      <c r="B218" s="11"/>
      <c r="C218" s="39"/>
    </row>
    <row r="219">
      <c r="B219" s="11"/>
      <c r="C219" s="39"/>
    </row>
    <row r="220">
      <c r="B220" s="11"/>
      <c r="C220" s="39"/>
    </row>
    <row r="221">
      <c r="B221" s="11"/>
      <c r="C221" s="39"/>
    </row>
    <row r="222">
      <c r="B222" s="11"/>
      <c r="C222" s="39"/>
    </row>
    <row r="223">
      <c r="B223" s="11"/>
      <c r="C223" s="39"/>
    </row>
    <row r="224">
      <c r="B224" s="11"/>
      <c r="C224" s="39"/>
    </row>
    <row r="225">
      <c r="B225" s="11"/>
      <c r="C225" s="39"/>
    </row>
    <row r="226">
      <c r="B226" s="11"/>
      <c r="C226" s="39"/>
    </row>
    <row r="227">
      <c r="B227" s="11"/>
      <c r="C227" s="39"/>
    </row>
    <row r="228">
      <c r="B228" s="11"/>
      <c r="C228" s="39"/>
    </row>
    <row r="229">
      <c r="B229" s="11"/>
      <c r="C229" s="39"/>
    </row>
    <row r="230">
      <c r="B230" s="11"/>
      <c r="C230" s="39"/>
    </row>
    <row r="231">
      <c r="B231" s="11"/>
      <c r="C231" s="39"/>
    </row>
    <row r="232">
      <c r="B232" s="11"/>
      <c r="C232" s="39"/>
    </row>
    <row r="233">
      <c r="B233" s="11"/>
      <c r="C233" s="39"/>
    </row>
    <row r="234">
      <c r="B234" s="11"/>
      <c r="C234" s="39"/>
    </row>
    <row r="235">
      <c r="B235" s="11"/>
      <c r="C235" s="39"/>
    </row>
    <row r="236">
      <c r="B236" s="11"/>
      <c r="C236" s="39"/>
    </row>
    <row r="237">
      <c r="B237" s="11"/>
      <c r="C237" s="39"/>
    </row>
    <row r="238">
      <c r="B238" s="11"/>
      <c r="C238" s="39"/>
    </row>
    <row r="239">
      <c r="B239" s="11"/>
      <c r="C239" s="39"/>
    </row>
    <row r="240">
      <c r="B240" s="11"/>
      <c r="C240" s="39"/>
    </row>
    <row r="241">
      <c r="B241" s="11"/>
      <c r="C241" s="39"/>
    </row>
    <row r="242">
      <c r="B242" s="11"/>
      <c r="C242" s="39"/>
    </row>
    <row r="243">
      <c r="B243" s="11"/>
      <c r="C243" s="39"/>
    </row>
    <row r="244">
      <c r="B244" s="11"/>
      <c r="C244" s="39"/>
    </row>
    <row r="245">
      <c r="B245" s="11"/>
      <c r="C245" s="39"/>
    </row>
    <row r="246">
      <c r="B246" s="11"/>
      <c r="C246" s="39"/>
    </row>
    <row r="247">
      <c r="B247" s="11"/>
      <c r="C247" s="39"/>
    </row>
    <row r="248">
      <c r="B248" s="11"/>
      <c r="C248" s="39"/>
    </row>
    <row r="249">
      <c r="B249" s="11"/>
      <c r="C249" s="39"/>
    </row>
    <row r="250">
      <c r="B250" s="11"/>
      <c r="C250" s="39"/>
    </row>
    <row r="251">
      <c r="B251" s="11"/>
      <c r="C251" s="39"/>
    </row>
    <row r="252">
      <c r="B252" s="11"/>
      <c r="C252" s="39"/>
    </row>
    <row r="253">
      <c r="B253" s="11"/>
      <c r="C253" s="39"/>
    </row>
    <row r="254">
      <c r="B254" s="11"/>
      <c r="C254" s="39"/>
    </row>
    <row r="255">
      <c r="B255" s="11"/>
      <c r="C255" s="39"/>
    </row>
    <row r="256">
      <c r="B256" s="11"/>
      <c r="C256" s="39"/>
    </row>
    <row r="257">
      <c r="B257" s="11"/>
      <c r="C257" s="39"/>
    </row>
    <row r="258">
      <c r="B258" s="11"/>
      <c r="C258" s="39"/>
    </row>
    <row r="259">
      <c r="B259" s="11"/>
      <c r="C259" s="39"/>
    </row>
    <row r="260">
      <c r="B260" s="11"/>
      <c r="C260" s="39"/>
    </row>
    <row r="261">
      <c r="B261" s="11"/>
      <c r="C261" s="39"/>
    </row>
    <row r="262">
      <c r="B262" s="11"/>
      <c r="C262" s="39"/>
    </row>
    <row r="263">
      <c r="B263" s="11"/>
      <c r="C263" s="39"/>
    </row>
    <row r="264">
      <c r="B264" s="11"/>
      <c r="C264" s="39"/>
    </row>
    <row r="265">
      <c r="B265" s="11"/>
      <c r="C265" s="39"/>
    </row>
    <row r="266">
      <c r="B266" s="11"/>
      <c r="C266" s="39"/>
    </row>
    <row r="267">
      <c r="B267" s="11"/>
      <c r="C267" s="39"/>
    </row>
    <row r="268">
      <c r="B268" s="11"/>
      <c r="C268" s="39"/>
    </row>
    <row r="269">
      <c r="B269" s="11"/>
      <c r="C269" s="39"/>
    </row>
    <row r="270">
      <c r="B270" s="11"/>
      <c r="C270" s="39"/>
    </row>
    <row r="271">
      <c r="B271" s="11"/>
      <c r="C271" s="39"/>
    </row>
    <row r="272">
      <c r="B272" s="11"/>
      <c r="C272" s="39"/>
    </row>
    <row r="273">
      <c r="B273" s="11"/>
      <c r="C273" s="39"/>
    </row>
    <row r="274">
      <c r="B274" s="11"/>
      <c r="C274" s="39"/>
    </row>
    <row r="275">
      <c r="B275" s="11"/>
      <c r="C275" s="39"/>
    </row>
    <row r="276">
      <c r="B276" s="11"/>
      <c r="C276" s="39"/>
    </row>
    <row r="277">
      <c r="B277" s="11"/>
      <c r="C277" s="39"/>
    </row>
    <row r="278">
      <c r="B278" s="11"/>
      <c r="C278" s="39"/>
    </row>
    <row r="279">
      <c r="B279" s="11"/>
      <c r="C279" s="39"/>
    </row>
    <row r="280">
      <c r="B280" s="11"/>
      <c r="C280" s="39"/>
    </row>
    <row r="281">
      <c r="B281" s="11"/>
      <c r="C281" s="39"/>
    </row>
    <row r="282">
      <c r="B282" s="11"/>
      <c r="C282" s="39"/>
    </row>
    <row r="283">
      <c r="B283" s="11"/>
      <c r="C283" s="39"/>
    </row>
    <row r="284">
      <c r="B284" s="11"/>
      <c r="C284" s="39"/>
    </row>
    <row r="285">
      <c r="B285" s="11"/>
      <c r="C285" s="39"/>
    </row>
    <row r="286">
      <c r="B286" s="11"/>
      <c r="C286" s="39"/>
    </row>
    <row r="287">
      <c r="B287" s="11"/>
      <c r="C287" s="39"/>
    </row>
    <row r="288">
      <c r="B288" s="11"/>
      <c r="C288" s="39"/>
    </row>
    <row r="289">
      <c r="B289" s="11"/>
      <c r="C289" s="39"/>
    </row>
    <row r="290">
      <c r="B290" s="11"/>
      <c r="C290" s="39"/>
    </row>
    <row r="291">
      <c r="B291" s="11"/>
      <c r="C291" s="39"/>
    </row>
    <row r="292">
      <c r="B292" s="11"/>
      <c r="C292" s="39"/>
    </row>
    <row r="293">
      <c r="B293" s="11"/>
      <c r="C293" s="39"/>
    </row>
    <row r="294">
      <c r="B294" s="11"/>
      <c r="C294" s="39"/>
    </row>
    <row r="295">
      <c r="B295" s="11"/>
      <c r="C295" s="39"/>
    </row>
    <row r="296">
      <c r="B296" s="11"/>
      <c r="C296" s="39"/>
    </row>
    <row r="297">
      <c r="B297" s="11"/>
      <c r="C297" s="39"/>
    </row>
    <row r="298">
      <c r="B298" s="11"/>
      <c r="C298" s="39"/>
    </row>
    <row r="299">
      <c r="B299" s="11"/>
      <c r="C299" s="39"/>
    </row>
    <row r="300">
      <c r="B300" s="11"/>
      <c r="C300" s="39"/>
    </row>
    <row r="301">
      <c r="B301" s="11"/>
      <c r="C301" s="39"/>
    </row>
    <row r="302">
      <c r="B302" s="11"/>
      <c r="C302" s="39"/>
    </row>
    <row r="303">
      <c r="B303" s="11"/>
      <c r="C303" s="39"/>
    </row>
    <row r="304">
      <c r="B304" s="11"/>
      <c r="C304" s="39"/>
    </row>
    <row r="305">
      <c r="B305" s="11"/>
      <c r="C305" s="39"/>
    </row>
    <row r="306">
      <c r="B306" s="11"/>
      <c r="C306" s="39"/>
    </row>
    <row r="307">
      <c r="B307" s="11"/>
      <c r="C307" s="39"/>
    </row>
    <row r="308">
      <c r="B308" s="11"/>
      <c r="C308" s="39"/>
    </row>
    <row r="309">
      <c r="B309" s="11"/>
      <c r="C309" s="39"/>
    </row>
    <row r="310">
      <c r="B310" s="11"/>
      <c r="C310" s="39"/>
    </row>
    <row r="311">
      <c r="B311" s="11"/>
      <c r="C311" s="39"/>
    </row>
    <row r="312">
      <c r="B312" s="11"/>
      <c r="C312" s="39"/>
    </row>
    <row r="313">
      <c r="B313" s="11"/>
      <c r="C313" s="39"/>
    </row>
    <row r="314">
      <c r="B314" s="11"/>
      <c r="C314" s="39"/>
    </row>
    <row r="315">
      <c r="B315" s="11"/>
      <c r="C315" s="39"/>
    </row>
    <row r="316">
      <c r="B316" s="11"/>
      <c r="C316" s="39"/>
    </row>
    <row r="317">
      <c r="B317" s="11"/>
      <c r="C317" s="39"/>
    </row>
    <row r="318">
      <c r="B318" s="11"/>
      <c r="C318" s="39"/>
    </row>
    <row r="319">
      <c r="B319" s="11"/>
      <c r="C319" s="39"/>
    </row>
    <row r="320">
      <c r="B320" s="11"/>
      <c r="C320" s="39"/>
    </row>
    <row r="321">
      <c r="B321" s="11"/>
      <c r="C321" s="39"/>
    </row>
    <row r="322">
      <c r="B322" s="11"/>
      <c r="C322" s="39"/>
    </row>
    <row r="323">
      <c r="B323" s="11"/>
      <c r="C323" s="39"/>
    </row>
    <row r="324">
      <c r="B324" s="11"/>
      <c r="C324" s="39"/>
    </row>
    <row r="325">
      <c r="B325" s="11"/>
      <c r="C325" s="39"/>
    </row>
    <row r="326">
      <c r="B326" s="11"/>
      <c r="C326" s="39"/>
    </row>
    <row r="327">
      <c r="B327" s="11"/>
      <c r="C327" s="39"/>
    </row>
    <row r="328">
      <c r="B328" s="11"/>
      <c r="C328" s="39"/>
    </row>
    <row r="329">
      <c r="B329" s="11"/>
      <c r="C329" s="39"/>
    </row>
    <row r="330">
      <c r="B330" s="11"/>
      <c r="C330" s="39"/>
    </row>
    <row r="331">
      <c r="B331" s="11"/>
      <c r="C331" s="39"/>
    </row>
    <row r="332">
      <c r="B332" s="11"/>
      <c r="C332" s="39"/>
    </row>
    <row r="333">
      <c r="B333" s="11"/>
      <c r="C333" s="39"/>
    </row>
    <row r="334">
      <c r="B334" s="11"/>
      <c r="C334" s="39"/>
    </row>
    <row r="335">
      <c r="B335" s="11"/>
      <c r="C335" s="39"/>
    </row>
    <row r="336">
      <c r="B336" s="11"/>
      <c r="C336" s="39"/>
    </row>
    <row r="337">
      <c r="B337" s="11"/>
      <c r="C337" s="39"/>
    </row>
    <row r="338">
      <c r="B338" s="11"/>
      <c r="C338" s="39"/>
    </row>
    <row r="339">
      <c r="B339" s="11"/>
      <c r="C339" s="39"/>
    </row>
    <row r="340">
      <c r="B340" s="11"/>
      <c r="C340" s="39"/>
    </row>
    <row r="341">
      <c r="B341" s="11"/>
      <c r="C341" s="39"/>
    </row>
    <row r="342">
      <c r="B342" s="11"/>
      <c r="C342" s="39"/>
    </row>
    <row r="343">
      <c r="B343" s="11"/>
      <c r="C343" s="39"/>
    </row>
    <row r="344">
      <c r="B344" s="11"/>
      <c r="C344" s="39"/>
    </row>
    <row r="345">
      <c r="B345" s="11"/>
      <c r="C345" s="39"/>
    </row>
    <row r="346">
      <c r="B346" s="11"/>
      <c r="C346" s="39"/>
    </row>
    <row r="347">
      <c r="B347" s="11"/>
      <c r="C347" s="39"/>
    </row>
    <row r="348">
      <c r="B348" s="11"/>
      <c r="C348" s="39"/>
    </row>
    <row r="349">
      <c r="B349" s="11"/>
      <c r="C349" s="39"/>
    </row>
    <row r="350">
      <c r="B350" s="11"/>
      <c r="C350" s="39"/>
    </row>
    <row r="351">
      <c r="B351" s="11"/>
      <c r="C351" s="39"/>
    </row>
    <row r="352">
      <c r="B352" s="11"/>
      <c r="C352" s="39"/>
    </row>
    <row r="353">
      <c r="B353" s="11"/>
      <c r="C353" s="39"/>
    </row>
    <row r="354">
      <c r="B354" s="11"/>
      <c r="C354" s="39"/>
    </row>
    <row r="355">
      <c r="B355" s="11"/>
      <c r="C355" s="39"/>
    </row>
    <row r="356">
      <c r="B356" s="11"/>
      <c r="C356" s="39"/>
    </row>
    <row r="357">
      <c r="B357" s="11"/>
      <c r="C357" s="39"/>
    </row>
    <row r="358">
      <c r="B358" s="11"/>
      <c r="C358" s="39"/>
    </row>
    <row r="359">
      <c r="B359" s="11"/>
      <c r="C359" s="39"/>
    </row>
    <row r="360">
      <c r="B360" s="11"/>
      <c r="C360" s="39"/>
    </row>
    <row r="361">
      <c r="B361" s="11"/>
      <c r="C361" s="39"/>
    </row>
    <row r="362">
      <c r="B362" s="11"/>
      <c r="C362" s="39"/>
    </row>
    <row r="363">
      <c r="B363" s="11"/>
      <c r="C363" s="39"/>
    </row>
    <row r="364">
      <c r="B364" s="11"/>
      <c r="C364" s="39"/>
    </row>
    <row r="365">
      <c r="B365" s="11"/>
      <c r="C365" s="39"/>
    </row>
    <row r="366">
      <c r="B366" s="11"/>
      <c r="C366" s="39"/>
    </row>
    <row r="367">
      <c r="B367" s="11"/>
      <c r="C367" s="39"/>
    </row>
    <row r="368">
      <c r="B368" s="11"/>
      <c r="C368" s="39"/>
    </row>
    <row r="369">
      <c r="B369" s="11"/>
      <c r="C369" s="39"/>
    </row>
    <row r="370">
      <c r="B370" s="11"/>
      <c r="C370" s="39"/>
    </row>
    <row r="371">
      <c r="B371" s="11"/>
      <c r="C371" s="39"/>
    </row>
    <row r="372">
      <c r="B372" s="11"/>
      <c r="C372" s="39"/>
    </row>
    <row r="373">
      <c r="B373" s="11"/>
      <c r="C373" s="39"/>
    </row>
    <row r="374">
      <c r="B374" s="11"/>
      <c r="C374" s="39"/>
    </row>
    <row r="375">
      <c r="B375" s="11"/>
      <c r="C375" s="39"/>
    </row>
    <row r="376">
      <c r="B376" s="11"/>
      <c r="C376" s="39"/>
    </row>
    <row r="377">
      <c r="B377" s="11"/>
      <c r="C377" s="39"/>
    </row>
    <row r="378">
      <c r="B378" s="11"/>
      <c r="C378" s="39"/>
    </row>
    <row r="379">
      <c r="B379" s="11"/>
      <c r="C379" s="39"/>
    </row>
    <row r="380">
      <c r="B380" s="11"/>
      <c r="C380" s="39"/>
    </row>
    <row r="381">
      <c r="B381" s="11"/>
      <c r="C381" s="39"/>
    </row>
    <row r="382">
      <c r="B382" s="11"/>
      <c r="C382" s="39"/>
    </row>
    <row r="383">
      <c r="B383" s="11"/>
      <c r="C383" s="39"/>
    </row>
    <row r="384">
      <c r="B384" s="11"/>
      <c r="C384" s="39"/>
    </row>
    <row r="385">
      <c r="B385" s="11"/>
      <c r="C385" s="39"/>
    </row>
    <row r="386">
      <c r="B386" s="11"/>
      <c r="C386" s="39"/>
    </row>
    <row r="387">
      <c r="B387" s="11"/>
      <c r="C387" s="39"/>
    </row>
    <row r="388">
      <c r="B388" s="11"/>
      <c r="C388" s="39"/>
    </row>
    <row r="389">
      <c r="B389" s="11"/>
      <c r="C389" s="39"/>
    </row>
    <row r="390">
      <c r="B390" s="11"/>
      <c r="C390" s="39"/>
    </row>
    <row r="391">
      <c r="B391" s="11"/>
      <c r="C391" s="39"/>
    </row>
    <row r="392">
      <c r="B392" s="11"/>
      <c r="C392" s="39"/>
    </row>
    <row r="393">
      <c r="B393" s="11"/>
      <c r="C393" s="39"/>
    </row>
    <row r="394">
      <c r="B394" s="11"/>
      <c r="C394" s="39"/>
    </row>
    <row r="395">
      <c r="B395" s="11"/>
      <c r="C395" s="39"/>
    </row>
    <row r="396">
      <c r="B396" s="11"/>
      <c r="C396" s="39"/>
    </row>
    <row r="397">
      <c r="B397" s="11"/>
      <c r="C397" s="39"/>
    </row>
    <row r="398">
      <c r="B398" s="11"/>
      <c r="C398" s="39"/>
    </row>
    <row r="399">
      <c r="B399" s="11"/>
      <c r="C399" s="39"/>
    </row>
    <row r="400">
      <c r="B400" s="11"/>
      <c r="C400" s="39"/>
    </row>
    <row r="401">
      <c r="B401" s="11"/>
      <c r="C401" s="39"/>
    </row>
    <row r="402">
      <c r="B402" s="11"/>
      <c r="C402" s="39"/>
    </row>
    <row r="403">
      <c r="B403" s="11"/>
      <c r="C403" s="39"/>
    </row>
    <row r="404">
      <c r="B404" s="11"/>
      <c r="C404" s="39"/>
    </row>
    <row r="405">
      <c r="B405" s="11"/>
      <c r="C405" s="39"/>
    </row>
    <row r="406">
      <c r="B406" s="11"/>
      <c r="C406" s="39"/>
    </row>
    <row r="407">
      <c r="B407" s="11"/>
      <c r="C407" s="39"/>
    </row>
    <row r="408">
      <c r="B408" s="11"/>
      <c r="C408" s="39"/>
    </row>
    <row r="409">
      <c r="B409" s="11"/>
      <c r="C409" s="39"/>
    </row>
    <row r="410">
      <c r="B410" s="11"/>
      <c r="C410" s="39"/>
    </row>
    <row r="411">
      <c r="B411" s="11"/>
      <c r="C411" s="39"/>
    </row>
    <row r="412">
      <c r="B412" s="11"/>
      <c r="C412" s="39"/>
    </row>
    <row r="413">
      <c r="B413" s="11"/>
      <c r="C413" s="39"/>
    </row>
    <row r="414">
      <c r="B414" s="11"/>
      <c r="C414" s="39"/>
    </row>
    <row r="415">
      <c r="B415" s="11"/>
      <c r="C415" s="39"/>
    </row>
    <row r="416">
      <c r="B416" s="11"/>
      <c r="C416" s="39"/>
    </row>
    <row r="417">
      <c r="B417" s="11"/>
      <c r="C417" s="39"/>
    </row>
    <row r="418">
      <c r="B418" s="11"/>
      <c r="C418" s="39"/>
    </row>
    <row r="419">
      <c r="B419" s="11"/>
      <c r="C419" s="39"/>
    </row>
    <row r="420">
      <c r="B420" s="11"/>
      <c r="C420" s="39"/>
    </row>
    <row r="421">
      <c r="B421" s="11"/>
      <c r="C421" s="39"/>
    </row>
    <row r="422">
      <c r="B422" s="11"/>
      <c r="C422" s="39"/>
    </row>
    <row r="423">
      <c r="B423" s="11"/>
      <c r="C423" s="39"/>
    </row>
    <row r="424">
      <c r="B424" s="11"/>
      <c r="C424" s="39"/>
    </row>
    <row r="425">
      <c r="B425" s="11"/>
      <c r="C425" s="39"/>
    </row>
    <row r="426">
      <c r="B426" s="11"/>
      <c r="C426" s="39"/>
    </row>
    <row r="427">
      <c r="B427" s="11"/>
      <c r="C427" s="39"/>
    </row>
    <row r="428">
      <c r="B428" s="11"/>
      <c r="C428" s="39"/>
    </row>
    <row r="429">
      <c r="B429" s="11"/>
      <c r="C429" s="39"/>
    </row>
    <row r="430">
      <c r="B430" s="11"/>
      <c r="C430" s="39"/>
    </row>
    <row r="431">
      <c r="B431" s="11"/>
      <c r="C431" s="39"/>
    </row>
    <row r="432">
      <c r="B432" s="11"/>
      <c r="C432" s="39"/>
    </row>
    <row r="433">
      <c r="B433" s="11"/>
      <c r="C433" s="39"/>
    </row>
    <row r="434">
      <c r="B434" s="11"/>
      <c r="C434" s="39"/>
    </row>
    <row r="435">
      <c r="B435" s="11"/>
      <c r="C435" s="39"/>
    </row>
    <row r="436">
      <c r="B436" s="11"/>
      <c r="C436" s="39"/>
    </row>
    <row r="437">
      <c r="B437" s="11"/>
      <c r="C437" s="39"/>
    </row>
    <row r="438">
      <c r="B438" s="11"/>
      <c r="C438" s="39"/>
    </row>
    <row r="439">
      <c r="B439" s="11"/>
      <c r="C439" s="39"/>
    </row>
    <row r="440">
      <c r="B440" s="11"/>
      <c r="C440" s="39"/>
    </row>
    <row r="441">
      <c r="B441" s="11"/>
      <c r="C441" s="39"/>
    </row>
    <row r="442">
      <c r="B442" s="11"/>
      <c r="C442" s="39"/>
    </row>
    <row r="443">
      <c r="B443" s="11"/>
      <c r="C443" s="39"/>
    </row>
    <row r="444">
      <c r="B444" s="11"/>
      <c r="C444" s="39"/>
    </row>
    <row r="445">
      <c r="B445" s="11"/>
      <c r="C445" s="39"/>
    </row>
    <row r="446">
      <c r="B446" s="11"/>
      <c r="C446" s="39"/>
    </row>
    <row r="447">
      <c r="B447" s="11"/>
      <c r="C447" s="39"/>
    </row>
    <row r="448">
      <c r="B448" s="11"/>
      <c r="C448" s="39"/>
    </row>
    <row r="449">
      <c r="B449" s="11"/>
      <c r="C449" s="39"/>
    </row>
    <row r="450">
      <c r="B450" s="11"/>
      <c r="C450" s="39"/>
    </row>
    <row r="451">
      <c r="B451" s="11"/>
      <c r="C451" s="39"/>
    </row>
    <row r="452">
      <c r="B452" s="11"/>
      <c r="C452" s="39"/>
    </row>
    <row r="453">
      <c r="B453" s="11"/>
      <c r="C453" s="39"/>
    </row>
    <row r="454">
      <c r="B454" s="11"/>
      <c r="C454" s="39"/>
    </row>
    <row r="455">
      <c r="B455" s="11"/>
      <c r="C455" s="39"/>
    </row>
    <row r="456">
      <c r="B456" s="11"/>
      <c r="C456" s="39"/>
    </row>
    <row r="457">
      <c r="B457" s="11"/>
      <c r="C457" s="39"/>
    </row>
    <row r="458">
      <c r="B458" s="11"/>
      <c r="C458" s="39"/>
    </row>
    <row r="459">
      <c r="B459" s="11"/>
      <c r="C459" s="39"/>
    </row>
    <row r="460">
      <c r="B460" s="11"/>
      <c r="C460" s="39"/>
    </row>
    <row r="461">
      <c r="B461" s="11"/>
      <c r="C461" s="39"/>
    </row>
    <row r="462">
      <c r="B462" s="11"/>
      <c r="C462" s="39"/>
    </row>
    <row r="463">
      <c r="B463" s="11"/>
      <c r="C463" s="39"/>
    </row>
    <row r="464">
      <c r="B464" s="11"/>
      <c r="C464" s="39"/>
    </row>
    <row r="465">
      <c r="B465" s="11"/>
      <c r="C465" s="39"/>
    </row>
    <row r="466">
      <c r="B466" s="11"/>
      <c r="C466" s="39"/>
    </row>
    <row r="467">
      <c r="B467" s="11"/>
      <c r="C467" s="39"/>
    </row>
    <row r="468">
      <c r="B468" s="11"/>
      <c r="C468" s="39"/>
    </row>
    <row r="469">
      <c r="B469" s="11"/>
      <c r="C469" s="39"/>
    </row>
    <row r="470">
      <c r="B470" s="11"/>
      <c r="C470" s="39"/>
    </row>
    <row r="471">
      <c r="B471" s="11"/>
      <c r="C471" s="39"/>
    </row>
    <row r="472">
      <c r="B472" s="11"/>
      <c r="C472" s="39"/>
    </row>
    <row r="473">
      <c r="B473" s="11"/>
      <c r="C473" s="39"/>
    </row>
    <row r="474">
      <c r="B474" s="11"/>
      <c r="C474" s="39"/>
    </row>
    <row r="475">
      <c r="B475" s="11"/>
      <c r="C475" s="39"/>
    </row>
    <row r="476">
      <c r="B476" s="11"/>
      <c r="C476" s="39"/>
    </row>
    <row r="477">
      <c r="B477" s="11"/>
      <c r="C477" s="39"/>
    </row>
    <row r="478">
      <c r="B478" s="11"/>
      <c r="C478" s="39"/>
    </row>
    <row r="479">
      <c r="B479" s="11"/>
      <c r="C479" s="39"/>
    </row>
    <row r="480">
      <c r="B480" s="11"/>
      <c r="C480" s="39"/>
    </row>
    <row r="481">
      <c r="B481" s="11"/>
      <c r="C481" s="39"/>
    </row>
    <row r="482">
      <c r="B482" s="11"/>
      <c r="C482" s="39"/>
    </row>
    <row r="483">
      <c r="B483" s="11"/>
      <c r="C483" s="39"/>
    </row>
    <row r="484">
      <c r="B484" s="11"/>
      <c r="C484" s="39"/>
    </row>
    <row r="485">
      <c r="B485" s="11"/>
      <c r="C485" s="39"/>
    </row>
    <row r="486">
      <c r="B486" s="11"/>
      <c r="C486" s="39"/>
    </row>
    <row r="487">
      <c r="B487" s="11"/>
      <c r="C487" s="39"/>
    </row>
    <row r="488">
      <c r="B488" s="11"/>
      <c r="C488" s="39"/>
    </row>
    <row r="489">
      <c r="B489" s="11"/>
      <c r="C489" s="39"/>
    </row>
    <row r="490">
      <c r="B490" s="11"/>
      <c r="C490" s="39"/>
    </row>
    <row r="491">
      <c r="B491" s="11"/>
      <c r="C491" s="39"/>
    </row>
    <row r="492">
      <c r="B492" s="11"/>
      <c r="C492" s="39"/>
    </row>
    <row r="493">
      <c r="B493" s="11"/>
      <c r="C493" s="39"/>
    </row>
    <row r="494">
      <c r="B494" s="11"/>
      <c r="C494" s="39"/>
    </row>
    <row r="495">
      <c r="B495" s="11"/>
      <c r="C495" s="39"/>
    </row>
    <row r="496">
      <c r="B496" s="11"/>
      <c r="C496" s="39"/>
    </row>
    <row r="497">
      <c r="B497" s="11"/>
      <c r="C497" s="39"/>
    </row>
    <row r="498">
      <c r="B498" s="11"/>
      <c r="C498" s="39"/>
    </row>
    <row r="499">
      <c r="B499" s="11"/>
      <c r="C499" s="39"/>
    </row>
    <row r="500">
      <c r="B500" s="11"/>
      <c r="C500" s="39"/>
    </row>
    <row r="501">
      <c r="B501" s="11"/>
      <c r="C501" s="39"/>
    </row>
    <row r="502">
      <c r="B502" s="11"/>
      <c r="C502" s="39"/>
    </row>
    <row r="503">
      <c r="B503" s="11"/>
      <c r="C503" s="39"/>
    </row>
    <row r="504">
      <c r="B504" s="11"/>
      <c r="C504" s="39"/>
    </row>
    <row r="505">
      <c r="B505" s="11"/>
      <c r="C505" s="39"/>
    </row>
    <row r="506">
      <c r="B506" s="11"/>
      <c r="C506" s="39"/>
    </row>
    <row r="507">
      <c r="B507" s="11"/>
      <c r="C507" s="39"/>
    </row>
    <row r="508">
      <c r="B508" s="11"/>
      <c r="C508" s="39"/>
    </row>
    <row r="509">
      <c r="B509" s="11"/>
      <c r="C509" s="39"/>
    </row>
    <row r="510">
      <c r="B510" s="11"/>
      <c r="C510" s="39"/>
    </row>
    <row r="511">
      <c r="B511" s="11"/>
      <c r="C511" s="39"/>
    </row>
    <row r="512">
      <c r="B512" s="11"/>
      <c r="C512" s="39"/>
    </row>
    <row r="513">
      <c r="B513" s="11"/>
      <c r="C513" s="39"/>
    </row>
    <row r="514">
      <c r="B514" s="11"/>
      <c r="C514" s="39"/>
    </row>
    <row r="515">
      <c r="B515" s="11"/>
      <c r="C515" s="39"/>
    </row>
    <row r="516">
      <c r="B516" s="11"/>
      <c r="C516" s="39"/>
    </row>
    <row r="517">
      <c r="B517" s="11"/>
      <c r="C517" s="39"/>
    </row>
    <row r="518">
      <c r="B518" s="11"/>
      <c r="C518" s="39"/>
    </row>
    <row r="519">
      <c r="B519" s="11"/>
      <c r="C519" s="39"/>
    </row>
    <row r="520">
      <c r="B520" s="11"/>
      <c r="C520" s="39"/>
    </row>
    <row r="521">
      <c r="B521" s="11"/>
      <c r="C521" s="39"/>
    </row>
    <row r="522">
      <c r="B522" s="11"/>
      <c r="C522" s="39"/>
    </row>
    <row r="523">
      <c r="B523" s="11"/>
      <c r="C523" s="39"/>
    </row>
    <row r="524">
      <c r="B524" s="11"/>
      <c r="C524" s="39"/>
    </row>
    <row r="525">
      <c r="B525" s="11"/>
      <c r="C525" s="39"/>
    </row>
    <row r="526">
      <c r="B526" s="11"/>
      <c r="C526" s="39"/>
    </row>
    <row r="527">
      <c r="B527" s="11"/>
      <c r="C527" s="39"/>
    </row>
    <row r="528">
      <c r="B528" s="11"/>
      <c r="C528" s="39"/>
    </row>
    <row r="529">
      <c r="B529" s="11"/>
      <c r="C529" s="39"/>
    </row>
    <row r="530">
      <c r="B530" s="11"/>
      <c r="C530" s="39"/>
    </row>
    <row r="531">
      <c r="B531" s="11"/>
      <c r="C531" s="39"/>
    </row>
    <row r="532">
      <c r="B532" s="11"/>
      <c r="C532" s="39"/>
    </row>
    <row r="533">
      <c r="B533" s="11"/>
      <c r="C533" s="39"/>
    </row>
    <row r="534">
      <c r="B534" s="11"/>
      <c r="C534" s="39"/>
    </row>
    <row r="535">
      <c r="B535" s="11"/>
      <c r="C535" s="39"/>
    </row>
    <row r="536">
      <c r="B536" s="11"/>
      <c r="C536" s="39"/>
    </row>
    <row r="537">
      <c r="B537" s="11"/>
      <c r="C537" s="39"/>
    </row>
    <row r="538">
      <c r="B538" s="11"/>
      <c r="C538" s="39"/>
    </row>
    <row r="539">
      <c r="B539" s="11"/>
      <c r="C539" s="39"/>
    </row>
    <row r="540">
      <c r="B540" s="11"/>
      <c r="C540" s="39"/>
    </row>
    <row r="541">
      <c r="B541" s="11"/>
      <c r="C541" s="39"/>
    </row>
    <row r="542">
      <c r="B542" s="11"/>
      <c r="C542" s="39"/>
    </row>
    <row r="543">
      <c r="B543" s="11"/>
      <c r="C543" s="39"/>
    </row>
    <row r="544">
      <c r="B544" s="11"/>
      <c r="C544" s="39"/>
    </row>
    <row r="545">
      <c r="B545" s="11"/>
      <c r="C545" s="39"/>
    </row>
    <row r="546">
      <c r="B546" s="11"/>
      <c r="C546" s="39"/>
    </row>
    <row r="547">
      <c r="B547" s="11"/>
      <c r="C547" s="39"/>
    </row>
    <row r="548">
      <c r="B548" s="11"/>
      <c r="C548" s="39"/>
    </row>
    <row r="549">
      <c r="B549" s="11"/>
      <c r="C549" s="39"/>
    </row>
    <row r="550">
      <c r="B550" s="11"/>
      <c r="C550" s="39"/>
    </row>
    <row r="551">
      <c r="B551" s="11"/>
      <c r="C551" s="39"/>
    </row>
    <row r="552">
      <c r="B552" s="11"/>
      <c r="C552" s="39"/>
    </row>
    <row r="553">
      <c r="B553" s="11"/>
      <c r="C553" s="39"/>
    </row>
    <row r="554">
      <c r="B554" s="11"/>
      <c r="C554" s="39"/>
    </row>
    <row r="555">
      <c r="B555" s="11"/>
      <c r="C555" s="39"/>
    </row>
    <row r="556">
      <c r="B556" s="11"/>
      <c r="C556" s="39"/>
    </row>
    <row r="557">
      <c r="B557" s="11"/>
      <c r="C557" s="39"/>
    </row>
    <row r="558">
      <c r="B558" s="11"/>
      <c r="C558" s="39"/>
    </row>
    <row r="559">
      <c r="B559" s="11"/>
      <c r="C559" s="39"/>
    </row>
    <row r="560">
      <c r="B560" s="11"/>
      <c r="C560" s="39"/>
    </row>
    <row r="561">
      <c r="B561" s="11"/>
      <c r="C561" s="39"/>
    </row>
    <row r="562">
      <c r="B562" s="11"/>
      <c r="C562" s="39"/>
    </row>
    <row r="563">
      <c r="B563" s="11"/>
      <c r="C563" s="39"/>
    </row>
    <row r="564">
      <c r="B564" s="11"/>
      <c r="C564" s="39"/>
    </row>
    <row r="565">
      <c r="B565" s="11"/>
      <c r="C565" s="39"/>
    </row>
    <row r="566">
      <c r="B566" s="11"/>
      <c r="C566" s="39"/>
    </row>
    <row r="567">
      <c r="B567" s="11"/>
      <c r="C567" s="39"/>
    </row>
    <row r="568">
      <c r="B568" s="11"/>
      <c r="C568" s="39"/>
    </row>
    <row r="569">
      <c r="B569" s="11"/>
      <c r="C569" s="39"/>
    </row>
    <row r="570">
      <c r="B570" s="11"/>
      <c r="C570" s="39"/>
    </row>
    <row r="571">
      <c r="B571" s="11"/>
      <c r="C571" s="39"/>
    </row>
    <row r="572">
      <c r="B572" s="11"/>
      <c r="C572" s="39"/>
    </row>
    <row r="573">
      <c r="B573" s="11"/>
      <c r="C573" s="39"/>
    </row>
    <row r="574">
      <c r="B574" s="11"/>
      <c r="C574" s="39"/>
    </row>
    <row r="575">
      <c r="B575" s="11"/>
      <c r="C575" s="39"/>
    </row>
    <row r="576">
      <c r="B576" s="11"/>
      <c r="C576" s="39"/>
    </row>
    <row r="577">
      <c r="B577" s="11"/>
      <c r="C577" s="39"/>
    </row>
    <row r="578">
      <c r="B578" s="11"/>
      <c r="C578" s="39"/>
    </row>
    <row r="579">
      <c r="B579" s="11"/>
      <c r="C579" s="39"/>
    </row>
    <row r="580">
      <c r="B580" s="11"/>
      <c r="C580" s="39"/>
    </row>
    <row r="581">
      <c r="B581" s="11"/>
      <c r="C581" s="39"/>
    </row>
    <row r="582">
      <c r="B582" s="11"/>
      <c r="C582" s="39"/>
    </row>
    <row r="583">
      <c r="B583" s="11"/>
      <c r="C583" s="39"/>
    </row>
    <row r="584">
      <c r="B584" s="11"/>
      <c r="C584" s="39"/>
    </row>
    <row r="585">
      <c r="B585" s="11"/>
      <c r="C585" s="39"/>
    </row>
    <row r="586">
      <c r="B586" s="11"/>
      <c r="C586" s="39"/>
    </row>
    <row r="587">
      <c r="B587" s="11"/>
      <c r="C587" s="39"/>
    </row>
    <row r="588">
      <c r="B588" s="11"/>
      <c r="C588" s="39"/>
    </row>
    <row r="589">
      <c r="B589" s="11"/>
      <c r="C589" s="39"/>
    </row>
    <row r="590">
      <c r="B590" s="11"/>
      <c r="C590" s="39"/>
    </row>
    <row r="591">
      <c r="B591" s="11"/>
      <c r="C591" s="39"/>
    </row>
    <row r="592">
      <c r="B592" s="11"/>
      <c r="C592" s="39"/>
    </row>
    <row r="593">
      <c r="B593" s="11"/>
      <c r="C593" s="39"/>
    </row>
    <row r="594">
      <c r="B594" s="11"/>
      <c r="C594" s="39"/>
    </row>
    <row r="595">
      <c r="B595" s="11"/>
      <c r="C595" s="39"/>
    </row>
    <row r="596">
      <c r="B596" s="11"/>
      <c r="C596" s="39"/>
    </row>
    <row r="597">
      <c r="B597" s="11"/>
      <c r="C597" s="39"/>
    </row>
    <row r="598">
      <c r="B598" s="11"/>
      <c r="C598" s="39"/>
    </row>
    <row r="599">
      <c r="B599" s="11"/>
      <c r="C599" s="39"/>
    </row>
    <row r="600">
      <c r="B600" s="11"/>
      <c r="C600" s="39"/>
    </row>
    <row r="601">
      <c r="B601" s="11"/>
      <c r="C601" s="39"/>
    </row>
    <row r="602">
      <c r="B602" s="11"/>
      <c r="C602" s="39"/>
    </row>
    <row r="603">
      <c r="B603" s="11"/>
      <c r="C603" s="39"/>
    </row>
    <row r="604">
      <c r="B604" s="11"/>
      <c r="C604" s="39"/>
    </row>
    <row r="605">
      <c r="B605" s="11"/>
      <c r="C605" s="39"/>
    </row>
    <row r="606">
      <c r="B606" s="11"/>
      <c r="C606" s="39"/>
    </row>
    <row r="607">
      <c r="B607" s="11"/>
      <c r="C607" s="39"/>
    </row>
    <row r="608">
      <c r="B608" s="11"/>
      <c r="C608" s="39"/>
    </row>
    <row r="609">
      <c r="B609" s="11"/>
      <c r="C609" s="39"/>
    </row>
    <row r="610">
      <c r="B610" s="11"/>
      <c r="C610" s="39"/>
    </row>
    <row r="611">
      <c r="B611" s="11"/>
      <c r="C611" s="39"/>
    </row>
    <row r="612">
      <c r="B612" s="11"/>
      <c r="C612" s="39"/>
    </row>
    <row r="613">
      <c r="B613" s="11"/>
      <c r="C613" s="39"/>
    </row>
    <row r="614">
      <c r="B614" s="11"/>
      <c r="C614" s="39"/>
    </row>
    <row r="615">
      <c r="B615" s="11"/>
      <c r="C615" s="39"/>
    </row>
    <row r="616">
      <c r="B616" s="11"/>
      <c r="C616" s="39"/>
    </row>
    <row r="617">
      <c r="B617" s="11"/>
      <c r="C617" s="39"/>
    </row>
    <row r="618">
      <c r="B618" s="11"/>
      <c r="C618" s="39"/>
    </row>
    <row r="619">
      <c r="B619" s="11"/>
      <c r="C619" s="39"/>
    </row>
    <row r="620">
      <c r="B620" s="11"/>
      <c r="C620" s="39"/>
    </row>
    <row r="621">
      <c r="B621" s="11"/>
      <c r="C621" s="39"/>
    </row>
    <row r="622">
      <c r="B622" s="11"/>
      <c r="C622" s="39"/>
    </row>
    <row r="623">
      <c r="B623" s="11"/>
      <c r="C623" s="39"/>
    </row>
    <row r="624">
      <c r="B624" s="11"/>
      <c r="C624" s="39"/>
    </row>
    <row r="625">
      <c r="B625" s="11"/>
      <c r="C625" s="39"/>
    </row>
    <row r="626">
      <c r="B626" s="11"/>
      <c r="C626" s="39"/>
    </row>
    <row r="627">
      <c r="B627" s="11"/>
      <c r="C627" s="39"/>
    </row>
    <row r="628">
      <c r="B628" s="11"/>
      <c r="C628" s="39"/>
    </row>
    <row r="629">
      <c r="B629" s="11"/>
      <c r="C629" s="39"/>
    </row>
    <row r="630">
      <c r="B630" s="11"/>
      <c r="C630" s="39"/>
    </row>
    <row r="631">
      <c r="B631" s="11"/>
      <c r="C631" s="39"/>
    </row>
    <row r="632">
      <c r="B632" s="11"/>
      <c r="C632" s="39"/>
    </row>
    <row r="633">
      <c r="B633" s="11"/>
      <c r="C633" s="39"/>
    </row>
    <row r="634">
      <c r="B634" s="11"/>
      <c r="C634" s="39"/>
    </row>
    <row r="635">
      <c r="B635" s="11"/>
      <c r="C635" s="39"/>
    </row>
    <row r="636">
      <c r="B636" s="11"/>
      <c r="C636" s="39"/>
    </row>
    <row r="637">
      <c r="B637" s="11"/>
      <c r="C637" s="39"/>
    </row>
    <row r="638">
      <c r="B638" s="11"/>
      <c r="C638" s="39"/>
    </row>
    <row r="639">
      <c r="B639" s="11"/>
      <c r="C639" s="39"/>
    </row>
    <row r="640">
      <c r="B640" s="11"/>
      <c r="C640" s="39"/>
    </row>
    <row r="641">
      <c r="B641" s="11"/>
      <c r="C641" s="39"/>
    </row>
    <row r="642">
      <c r="B642" s="11"/>
      <c r="C642" s="39"/>
    </row>
    <row r="643">
      <c r="B643" s="11"/>
      <c r="C643" s="39"/>
    </row>
    <row r="644">
      <c r="B644" s="11"/>
      <c r="C644" s="39"/>
    </row>
    <row r="645">
      <c r="B645" s="11"/>
      <c r="C645" s="39"/>
    </row>
    <row r="646">
      <c r="B646" s="11"/>
      <c r="C646" s="39"/>
    </row>
    <row r="647">
      <c r="B647" s="11"/>
      <c r="C647" s="39"/>
    </row>
    <row r="648">
      <c r="B648" s="11"/>
      <c r="C648" s="39"/>
    </row>
    <row r="649">
      <c r="B649" s="11"/>
      <c r="C649" s="39"/>
    </row>
    <row r="650">
      <c r="B650" s="11"/>
      <c r="C650" s="39"/>
    </row>
    <row r="651">
      <c r="B651" s="11"/>
      <c r="C651" s="39"/>
    </row>
    <row r="652">
      <c r="B652" s="11"/>
      <c r="C652" s="39"/>
    </row>
    <row r="653">
      <c r="B653" s="11"/>
      <c r="C653" s="39"/>
    </row>
    <row r="654">
      <c r="B654" s="11"/>
      <c r="C654" s="39"/>
    </row>
    <row r="655">
      <c r="B655" s="11"/>
      <c r="C655" s="39"/>
    </row>
    <row r="656">
      <c r="B656" s="11"/>
      <c r="C656" s="39"/>
    </row>
    <row r="657">
      <c r="B657" s="11"/>
      <c r="C657" s="39"/>
    </row>
    <row r="658">
      <c r="B658" s="11"/>
      <c r="C658" s="39"/>
    </row>
    <row r="659">
      <c r="B659" s="11"/>
      <c r="C659" s="39"/>
    </row>
    <row r="660">
      <c r="B660" s="11"/>
      <c r="C660" s="39"/>
    </row>
    <row r="661">
      <c r="B661" s="11"/>
      <c r="C661" s="39"/>
    </row>
    <row r="662">
      <c r="B662" s="11"/>
      <c r="C662" s="39"/>
    </row>
    <row r="663">
      <c r="B663" s="11"/>
      <c r="C663" s="39"/>
    </row>
    <row r="664">
      <c r="B664" s="11"/>
      <c r="C664" s="39"/>
    </row>
    <row r="665">
      <c r="B665" s="11"/>
      <c r="C665" s="39"/>
    </row>
    <row r="666">
      <c r="B666" s="11"/>
      <c r="C666" s="39"/>
    </row>
    <row r="667">
      <c r="B667" s="11"/>
      <c r="C667" s="39"/>
    </row>
    <row r="668">
      <c r="B668" s="11"/>
      <c r="C668" s="39"/>
    </row>
    <row r="669">
      <c r="B669" s="11"/>
      <c r="C669" s="39"/>
    </row>
    <row r="670">
      <c r="B670" s="11"/>
      <c r="C670" s="39"/>
    </row>
    <row r="671">
      <c r="B671" s="11"/>
      <c r="C671" s="39"/>
    </row>
    <row r="672">
      <c r="B672" s="11"/>
      <c r="C672" s="39"/>
    </row>
    <row r="673">
      <c r="B673" s="11"/>
      <c r="C673" s="39"/>
    </row>
    <row r="674">
      <c r="B674" s="11"/>
      <c r="C674" s="39"/>
    </row>
    <row r="675">
      <c r="B675" s="11"/>
      <c r="C675" s="39"/>
    </row>
    <row r="676">
      <c r="B676" s="11"/>
      <c r="C676" s="39"/>
    </row>
    <row r="677">
      <c r="B677" s="11"/>
      <c r="C677" s="39"/>
    </row>
    <row r="678">
      <c r="B678" s="11"/>
      <c r="C678" s="39"/>
    </row>
    <row r="679">
      <c r="B679" s="11"/>
      <c r="C679" s="39"/>
    </row>
    <row r="680">
      <c r="B680" s="11"/>
      <c r="C680" s="39"/>
    </row>
    <row r="681">
      <c r="B681" s="11"/>
      <c r="C681" s="39"/>
    </row>
    <row r="682">
      <c r="B682" s="11"/>
      <c r="C682" s="39"/>
    </row>
    <row r="683">
      <c r="B683" s="11"/>
      <c r="C683" s="39"/>
    </row>
    <row r="684">
      <c r="B684" s="11"/>
      <c r="C684" s="39"/>
    </row>
    <row r="685">
      <c r="B685" s="11"/>
      <c r="C685" s="39"/>
    </row>
    <row r="686">
      <c r="B686" s="11"/>
      <c r="C686" s="39"/>
    </row>
    <row r="687">
      <c r="B687" s="11"/>
      <c r="C687" s="39"/>
    </row>
    <row r="688">
      <c r="B688" s="11"/>
      <c r="C688" s="39"/>
    </row>
    <row r="689">
      <c r="B689" s="11"/>
      <c r="C689" s="39"/>
    </row>
    <row r="690">
      <c r="B690" s="11"/>
      <c r="C690" s="39"/>
    </row>
    <row r="691">
      <c r="B691" s="11"/>
      <c r="C691" s="39"/>
    </row>
    <row r="692">
      <c r="B692" s="11"/>
      <c r="C692" s="39"/>
    </row>
    <row r="693">
      <c r="B693" s="11"/>
      <c r="C693" s="39"/>
    </row>
    <row r="694">
      <c r="B694" s="11"/>
      <c r="C694" s="39"/>
    </row>
    <row r="695">
      <c r="B695" s="11"/>
      <c r="C695" s="39"/>
    </row>
    <row r="696">
      <c r="B696" s="11"/>
      <c r="C696" s="39"/>
    </row>
    <row r="697">
      <c r="B697" s="11"/>
      <c r="C697" s="39"/>
    </row>
    <row r="698">
      <c r="B698" s="11"/>
      <c r="C698" s="39"/>
    </row>
    <row r="699">
      <c r="B699" s="11"/>
      <c r="C699" s="39"/>
    </row>
    <row r="700">
      <c r="B700" s="11"/>
      <c r="C700" s="39"/>
    </row>
    <row r="701">
      <c r="B701" s="11"/>
      <c r="C701" s="39"/>
    </row>
    <row r="702">
      <c r="B702" s="11"/>
      <c r="C702" s="39"/>
    </row>
    <row r="703">
      <c r="B703" s="11"/>
      <c r="C703" s="39"/>
    </row>
    <row r="704">
      <c r="B704" s="11"/>
      <c r="C704" s="39"/>
    </row>
    <row r="705">
      <c r="B705" s="11"/>
      <c r="C705" s="39"/>
    </row>
    <row r="706">
      <c r="B706" s="11"/>
      <c r="C706" s="39"/>
    </row>
    <row r="707">
      <c r="B707" s="11"/>
      <c r="C707" s="39"/>
    </row>
    <row r="708">
      <c r="B708" s="11"/>
      <c r="C708" s="39"/>
    </row>
    <row r="709">
      <c r="B709" s="11"/>
      <c r="C709" s="39"/>
    </row>
    <row r="710">
      <c r="B710" s="11"/>
      <c r="C710" s="39"/>
    </row>
    <row r="711">
      <c r="B711" s="11"/>
      <c r="C711" s="39"/>
    </row>
    <row r="712">
      <c r="B712" s="11"/>
      <c r="C712" s="39"/>
    </row>
    <row r="713">
      <c r="B713" s="11"/>
      <c r="C713" s="39"/>
    </row>
    <row r="714">
      <c r="B714" s="11"/>
      <c r="C714" s="39"/>
    </row>
    <row r="715">
      <c r="B715" s="11"/>
      <c r="C715" s="39"/>
    </row>
    <row r="716">
      <c r="B716" s="11"/>
      <c r="C716" s="39"/>
    </row>
    <row r="717">
      <c r="B717" s="11"/>
      <c r="C717" s="39"/>
    </row>
    <row r="718">
      <c r="B718" s="11"/>
      <c r="C718" s="39"/>
    </row>
    <row r="719">
      <c r="B719" s="11"/>
      <c r="C719" s="39"/>
    </row>
    <row r="720">
      <c r="B720" s="11"/>
      <c r="C720" s="39"/>
    </row>
    <row r="721">
      <c r="B721" s="11"/>
      <c r="C721" s="39"/>
    </row>
    <row r="722">
      <c r="B722" s="11"/>
      <c r="C722" s="39"/>
    </row>
    <row r="723">
      <c r="B723" s="11"/>
      <c r="C723" s="39"/>
    </row>
    <row r="724">
      <c r="B724" s="11"/>
      <c r="C724" s="39"/>
    </row>
    <row r="725">
      <c r="B725" s="11"/>
      <c r="C725" s="39"/>
    </row>
    <row r="726">
      <c r="B726" s="11"/>
      <c r="C726" s="39"/>
    </row>
    <row r="727">
      <c r="B727" s="11"/>
      <c r="C727" s="39"/>
    </row>
    <row r="728">
      <c r="B728" s="11"/>
      <c r="C728" s="39"/>
    </row>
    <row r="729">
      <c r="B729" s="11"/>
      <c r="C729" s="39"/>
    </row>
    <row r="730">
      <c r="B730" s="11"/>
      <c r="C730" s="39"/>
    </row>
    <row r="731">
      <c r="B731" s="11"/>
      <c r="C731" s="39"/>
    </row>
    <row r="732">
      <c r="B732" s="11"/>
      <c r="C732" s="39"/>
    </row>
    <row r="733">
      <c r="B733" s="11"/>
      <c r="C733" s="39"/>
    </row>
    <row r="734">
      <c r="B734" s="11"/>
      <c r="C734" s="39"/>
    </row>
    <row r="735">
      <c r="B735" s="11"/>
      <c r="C735" s="39"/>
    </row>
    <row r="736">
      <c r="B736" s="11"/>
      <c r="C736" s="39"/>
    </row>
    <row r="737">
      <c r="B737" s="11"/>
      <c r="C737" s="39"/>
    </row>
    <row r="738">
      <c r="B738" s="11"/>
      <c r="C738" s="39"/>
    </row>
    <row r="739">
      <c r="B739" s="11"/>
      <c r="C739" s="39"/>
    </row>
    <row r="740">
      <c r="B740" s="11"/>
      <c r="C740" s="39"/>
    </row>
    <row r="741">
      <c r="B741" s="11"/>
      <c r="C741" s="39"/>
    </row>
    <row r="742">
      <c r="B742" s="11"/>
      <c r="C742" s="39"/>
    </row>
    <row r="743">
      <c r="B743" s="11"/>
      <c r="C743" s="39"/>
    </row>
    <row r="744">
      <c r="B744" s="11"/>
      <c r="C744" s="39"/>
    </row>
    <row r="745">
      <c r="B745" s="11"/>
      <c r="C745" s="39"/>
    </row>
    <row r="746">
      <c r="B746" s="11"/>
      <c r="C746" s="39"/>
    </row>
    <row r="747">
      <c r="B747" s="11"/>
      <c r="C747" s="39"/>
    </row>
    <row r="748">
      <c r="B748" s="11"/>
      <c r="C748" s="39"/>
    </row>
    <row r="749">
      <c r="B749" s="11"/>
      <c r="C749" s="39"/>
    </row>
    <row r="750">
      <c r="B750" s="11"/>
      <c r="C750" s="39"/>
    </row>
    <row r="751">
      <c r="B751" s="11"/>
      <c r="C751" s="39"/>
    </row>
    <row r="752">
      <c r="B752" s="11"/>
      <c r="C752" s="39"/>
    </row>
    <row r="753">
      <c r="B753" s="11"/>
      <c r="C753" s="39"/>
    </row>
    <row r="754">
      <c r="B754" s="11"/>
      <c r="C754" s="39"/>
    </row>
    <row r="755">
      <c r="B755" s="11"/>
      <c r="C755" s="39"/>
    </row>
    <row r="756">
      <c r="B756" s="11"/>
      <c r="C756" s="39"/>
    </row>
    <row r="757">
      <c r="B757" s="11"/>
      <c r="C757" s="39"/>
    </row>
    <row r="758">
      <c r="B758" s="11"/>
      <c r="C758" s="39"/>
    </row>
    <row r="759">
      <c r="B759" s="11"/>
      <c r="C759" s="39"/>
    </row>
    <row r="760">
      <c r="B760" s="11"/>
      <c r="C760" s="39"/>
    </row>
    <row r="761">
      <c r="B761" s="11"/>
      <c r="C761" s="39"/>
    </row>
    <row r="762">
      <c r="B762" s="11"/>
      <c r="C762" s="39"/>
    </row>
    <row r="763">
      <c r="B763" s="11"/>
      <c r="C763" s="39"/>
    </row>
    <row r="764">
      <c r="B764" s="11"/>
      <c r="C764" s="39"/>
    </row>
    <row r="765">
      <c r="B765" s="11"/>
      <c r="C765" s="39"/>
    </row>
    <row r="766">
      <c r="B766" s="11"/>
      <c r="C766" s="39"/>
    </row>
    <row r="767">
      <c r="B767" s="11"/>
      <c r="C767" s="39"/>
    </row>
    <row r="768">
      <c r="B768" s="11"/>
      <c r="C768" s="39"/>
    </row>
    <row r="769">
      <c r="B769" s="11"/>
      <c r="C769" s="39"/>
    </row>
    <row r="770">
      <c r="B770" s="11"/>
      <c r="C770" s="39"/>
    </row>
    <row r="771">
      <c r="B771" s="11"/>
      <c r="C771" s="39"/>
    </row>
    <row r="772">
      <c r="B772" s="11"/>
      <c r="C772" s="39"/>
    </row>
    <row r="773">
      <c r="B773" s="11"/>
      <c r="C773" s="39"/>
    </row>
    <row r="774">
      <c r="B774" s="11"/>
      <c r="C774" s="39"/>
    </row>
    <row r="775">
      <c r="B775" s="11"/>
      <c r="C775" s="39"/>
    </row>
    <row r="776">
      <c r="B776" s="11"/>
      <c r="C776" s="39"/>
    </row>
    <row r="777">
      <c r="B777" s="11"/>
      <c r="C777" s="39"/>
    </row>
    <row r="778">
      <c r="B778" s="11"/>
      <c r="C778" s="39"/>
    </row>
    <row r="779">
      <c r="B779" s="11"/>
      <c r="C779" s="39"/>
    </row>
    <row r="780">
      <c r="B780" s="11"/>
      <c r="C780" s="39"/>
    </row>
    <row r="781">
      <c r="B781" s="11"/>
      <c r="C781" s="39"/>
    </row>
    <row r="782">
      <c r="B782" s="11"/>
      <c r="C782" s="39"/>
    </row>
    <row r="783">
      <c r="B783" s="11"/>
      <c r="C783" s="39"/>
    </row>
    <row r="784">
      <c r="B784" s="11"/>
      <c r="C784" s="39"/>
    </row>
    <row r="785">
      <c r="B785" s="11"/>
      <c r="C785" s="39"/>
    </row>
    <row r="786">
      <c r="B786" s="11"/>
      <c r="C786" s="39"/>
    </row>
    <row r="787">
      <c r="B787" s="11"/>
      <c r="C787" s="39"/>
    </row>
    <row r="788">
      <c r="B788" s="11"/>
      <c r="C788" s="39"/>
    </row>
    <row r="789">
      <c r="B789" s="11"/>
      <c r="C789" s="39"/>
    </row>
    <row r="790">
      <c r="B790" s="11"/>
      <c r="C790" s="39"/>
    </row>
    <row r="791">
      <c r="B791" s="11"/>
      <c r="C791" s="39"/>
    </row>
    <row r="792">
      <c r="B792" s="11"/>
      <c r="C792" s="39"/>
    </row>
    <row r="793">
      <c r="B793" s="11"/>
      <c r="C793" s="39"/>
    </row>
    <row r="794">
      <c r="B794" s="11"/>
      <c r="C794" s="39"/>
    </row>
    <row r="795">
      <c r="B795" s="11"/>
      <c r="C795" s="39"/>
    </row>
    <row r="796">
      <c r="B796" s="11"/>
      <c r="C796" s="39"/>
    </row>
    <row r="797">
      <c r="B797" s="11"/>
      <c r="C797" s="39"/>
    </row>
    <row r="798">
      <c r="B798" s="11"/>
      <c r="C798" s="39"/>
    </row>
    <row r="799">
      <c r="B799" s="11"/>
      <c r="C799" s="39"/>
    </row>
    <row r="800">
      <c r="B800" s="11"/>
      <c r="C800" s="39"/>
    </row>
    <row r="801">
      <c r="B801" s="11"/>
      <c r="C801" s="39"/>
    </row>
    <row r="802">
      <c r="B802" s="11"/>
      <c r="C802" s="39"/>
    </row>
    <row r="803">
      <c r="B803" s="11"/>
      <c r="C803" s="39"/>
    </row>
    <row r="804">
      <c r="B804" s="11"/>
      <c r="C804" s="39"/>
    </row>
    <row r="805">
      <c r="B805" s="11"/>
      <c r="C805" s="39"/>
    </row>
    <row r="806">
      <c r="B806" s="11"/>
      <c r="C806" s="39"/>
    </row>
    <row r="807">
      <c r="B807" s="11"/>
      <c r="C807" s="39"/>
    </row>
    <row r="808">
      <c r="B808" s="11"/>
      <c r="C808" s="39"/>
    </row>
    <row r="809">
      <c r="B809" s="11"/>
      <c r="C809" s="39"/>
    </row>
    <row r="810">
      <c r="B810" s="11"/>
      <c r="C810" s="39"/>
    </row>
    <row r="811">
      <c r="B811" s="11"/>
      <c r="C811" s="39"/>
    </row>
    <row r="812">
      <c r="B812" s="11"/>
      <c r="C812" s="39"/>
    </row>
    <row r="813">
      <c r="B813" s="11"/>
      <c r="C813" s="39"/>
    </row>
    <row r="814">
      <c r="B814" s="11"/>
      <c r="C814" s="39"/>
    </row>
    <row r="815">
      <c r="B815" s="11"/>
      <c r="C815" s="39"/>
    </row>
    <row r="816">
      <c r="B816" s="11"/>
      <c r="C816" s="39"/>
    </row>
    <row r="817">
      <c r="B817" s="11"/>
      <c r="C817" s="39"/>
    </row>
    <row r="818">
      <c r="B818" s="11"/>
      <c r="C818" s="39"/>
    </row>
    <row r="819">
      <c r="B819" s="11"/>
      <c r="C819" s="39"/>
    </row>
    <row r="820">
      <c r="B820" s="11"/>
      <c r="C820" s="39"/>
    </row>
    <row r="821">
      <c r="B821" s="11"/>
      <c r="C821" s="39"/>
    </row>
    <row r="822">
      <c r="B822" s="11"/>
      <c r="C822" s="39"/>
    </row>
    <row r="823">
      <c r="B823" s="11"/>
      <c r="C823" s="39"/>
    </row>
    <row r="824">
      <c r="B824" s="11"/>
      <c r="C824" s="39"/>
    </row>
    <row r="825">
      <c r="B825" s="11"/>
      <c r="C825" s="39"/>
    </row>
    <row r="826">
      <c r="B826" s="11"/>
      <c r="C826" s="39"/>
    </row>
    <row r="827">
      <c r="B827" s="11"/>
      <c r="C827" s="39"/>
    </row>
    <row r="828">
      <c r="B828" s="11"/>
      <c r="C828" s="39"/>
    </row>
    <row r="829">
      <c r="B829" s="11"/>
      <c r="C829" s="39"/>
    </row>
    <row r="830">
      <c r="B830" s="11"/>
      <c r="C830" s="39"/>
    </row>
    <row r="831">
      <c r="B831" s="11"/>
      <c r="C831" s="39"/>
    </row>
    <row r="832">
      <c r="B832" s="11"/>
      <c r="C832" s="39"/>
    </row>
    <row r="833">
      <c r="B833" s="11"/>
      <c r="C833" s="39"/>
    </row>
    <row r="834">
      <c r="B834" s="11"/>
      <c r="C834" s="39"/>
    </row>
    <row r="835">
      <c r="B835" s="11"/>
      <c r="C835" s="39"/>
    </row>
    <row r="836">
      <c r="B836" s="11"/>
      <c r="C836" s="39"/>
    </row>
    <row r="837">
      <c r="B837" s="11"/>
      <c r="C837" s="39"/>
    </row>
    <row r="838">
      <c r="B838" s="11"/>
      <c r="C838" s="39"/>
    </row>
    <row r="839">
      <c r="B839" s="11"/>
      <c r="C839" s="39"/>
    </row>
    <row r="840">
      <c r="B840" s="11"/>
      <c r="C840" s="39"/>
    </row>
    <row r="841">
      <c r="B841" s="11"/>
      <c r="C841" s="39"/>
    </row>
    <row r="842">
      <c r="B842" s="11"/>
      <c r="C842" s="39"/>
    </row>
    <row r="843">
      <c r="B843" s="11"/>
      <c r="C843" s="39"/>
    </row>
    <row r="844">
      <c r="B844" s="11"/>
      <c r="C844" s="39"/>
    </row>
    <row r="845">
      <c r="B845" s="11"/>
      <c r="C845" s="39"/>
    </row>
    <row r="846">
      <c r="B846" s="11"/>
      <c r="C846" s="39"/>
    </row>
    <row r="847">
      <c r="B847" s="11"/>
      <c r="C847" s="39"/>
    </row>
    <row r="848">
      <c r="B848" s="11"/>
      <c r="C848" s="39"/>
    </row>
    <row r="849">
      <c r="B849" s="11"/>
      <c r="C849" s="39"/>
    </row>
    <row r="850">
      <c r="B850" s="11"/>
      <c r="C850" s="39"/>
    </row>
    <row r="851">
      <c r="B851" s="11"/>
      <c r="C851" s="39"/>
    </row>
    <row r="852">
      <c r="B852" s="11"/>
      <c r="C852" s="39"/>
    </row>
    <row r="853">
      <c r="B853" s="11"/>
      <c r="C853" s="39"/>
    </row>
    <row r="854">
      <c r="B854" s="11"/>
      <c r="C854" s="39"/>
    </row>
    <row r="855">
      <c r="B855" s="11"/>
      <c r="C855" s="39"/>
    </row>
    <row r="856">
      <c r="B856" s="11"/>
      <c r="C856" s="39"/>
    </row>
    <row r="857">
      <c r="B857" s="11"/>
      <c r="C857" s="39"/>
    </row>
    <row r="858">
      <c r="B858" s="11"/>
      <c r="C858" s="39"/>
    </row>
    <row r="859">
      <c r="B859" s="11"/>
      <c r="C859" s="39"/>
    </row>
    <row r="860">
      <c r="B860" s="11"/>
      <c r="C860" s="39"/>
    </row>
    <row r="861">
      <c r="B861" s="11"/>
      <c r="C861" s="39"/>
    </row>
    <row r="862">
      <c r="B862" s="11"/>
      <c r="C862" s="39"/>
    </row>
    <row r="863">
      <c r="B863" s="11"/>
      <c r="C863" s="39"/>
    </row>
    <row r="864">
      <c r="B864" s="11"/>
      <c r="C864" s="39"/>
    </row>
    <row r="865">
      <c r="B865" s="11"/>
      <c r="C865" s="39"/>
    </row>
    <row r="866">
      <c r="B866" s="11"/>
      <c r="C866" s="39"/>
    </row>
    <row r="867">
      <c r="B867" s="11"/>
      <c r="C867" s="39"/>
    </row>
    <row r="868">
      <c r="B868" s="11"/>
      <c r="C868" s="39"/>
    </row>
    <row r="869">
      <c r="B869" s="11"/>
      <c r="C869" s="39"/>
    </row>
    <row r="870">
      <c r="B870" s="11"/>
      <c r="C870" s="39"/>
    </row>
    <row r="871">
      <c r="B871" s="11"/>
      <c r="C871" s="39"/>
    </row>
    <row r="872">
      <c r="B872" s="11"/>
      <c r="C872" s="39"/>
    </row>
    <row r="873">
      <c r="B873" s="11"/>
      <c r="C873" s="39"/>
    </row>
    <row r="874">
      <c r="B874" s="11"/>
      <c r="C874" s="39"/>
    </row>
    <row r="875">
      <c r="B875" s="11"/>
      <c r="C875" s="39"/>
    </row>
    <row r="876">
      <c r="B876" s="11"/>
      <c r="C876" s="39"/>
    </row>
    <row r="877">
      <c r="B877" s="11"/>
      <c r="C877" s="39"/>
    </row>
    <row r="878">
      <c r="B878" s="11"/>
      <c r="C878" s="39"/>
    </row>
    <row r="879">
      <c r="B879" s="11"/>
      <c r="C879" s="39"/>
    </row>
    <row r="880">
      <c r="B880" s="11"/>
      <c r="C880" s="39"/>
    </row>
    <row r="881">
      <c r="B881" s="11"/>
      <c r="C881" s="39"/>
    </row>
    <row r="882">
      <c r="B882" s="11"/>
      <c r="C882" s="39"/>
    </row>
    <row r="883">
      <c r="B883" s="11"/>
      <c r="C883" s="39"/>
    </row>
    <row r="884">
      <c r="B884" s="11"/>
      <c r="C884" s="39"/>
    </row>
    <row r="885">
      <c r="B885" s="11"/>
      <c r="C885" s="39"/>
    </row>
    <row r="886">
      <c r="B886" s="11"/>
      <c r="C886" s="39"/>
    </row>
    <row r="887">
      <c r="B887" s="11"/>
      <c r="C887" s="39"/>
    </row>
    <row r="888">
      <c r="B888" s="11"/>
      <c r="C888" s="39"/>
    </row>
    <row r="889">
      <c r="B889" s="11"/>
      <c r="C889" s="39"/>
    </row>
    <row r="890">
      <c r="B890" s="11"/>
      <c r="C890" s="39"/>
    </row>
    <row r="891">
      <c r="B891" s="11"/>
      <c r="C891" s="39"/>
    </row>
    <row r="892">
      <c r="B892" s="11"/>
      <c r="C892" s="39"/>
    </row>
    <row r="893">
      <c r="B893" s="11"/>
      <c r="C893" s="39"/>
    </row>
    <row r="894">
      <c r="B894" s="11"/>
      <c r="C894" s="39"/>
    </row>
    <row r="895">
      <c r="B895" s="11"/>
      <c r="C895" s="39"/>
    </row>
    <row r="896">
      <c r="B896" s="11"/>
      <c r="C896" s="39"/>
    </row>
    <row r="897">
      <c r="B897" s="11"/>
      <c r="C897" s="39"/>
    </row>
    <row r="898">
      <c r="B898" s="11"/>
      <c r="C898" s="39"/>
    </row>
    <row r="899">
      <c r="B899" s="11"/>
      <c r="C899" s="39"/>
    </row>
    <row r="900">
      <c r="B900" s="11"/>
      <c r="C900" s="39"/>
    </row>
    <row r="901">
      <c r="B901" s="11"/>
      <c r="C901" s="39"/>
    </row>
    <row r="902">
      <c r="B902" s="11"/>
      <c r="C902" s="39"/>
    </row>
    <row r="903">
      <c r="B903" s="11"/>
      <c r="C903" s="39"/>
    </row>
    <row r="904">
      <c r="B904" s="11"/>
      <c r="C904" s="39"/>
    </row>
    <row r="905">
      <c r="B905" s="11"/>
      <c r="C905" s="39"/>
    </row>
    <row r="906">
      <c r="B906" s="11"/>
      <c r="C906" s="39"/>
    </row>
    <row r="907">
      <c r="B907" s="11"/>
      <c r="C907" s="39"/>
    </row>
    <row r="908">
      <c r="B908" s="11"/>
      <c r="C908" s="39"/>
    </row>
    <row r="909">
      <c r="B909" s="11"/>
      <c r="C909" s="39"/>
    </row>
    <row r="910">
      <c r="B910" s="11"/>
      <c r="C910" s="39"/>
    </row>
    <row r="911">
      <c r="B911" s="11"/>
      <c r="C911" s="39"/>
    </row>
    <row r="912">
      <c r="B912" s="11"/>
      <c r="C912" s="39"/>
    </row>
    <row r="913">
      <c r="B913" s="11"/>
      <c r="C913" s="39"/>
    </row>
    <row r="914">
      <c r="B914" s="11"/>
      <c r="C914" s="39"/>
    </row>
    <row r="915">
      <c r="B915" s="11"/>
      <c r="C915" s="39"/>
    </row>
    <row r="916">
      <c r="B916" s="11"/>
      <c r="C916" s="39"/>
    </row>
    <row r="917">
      <c r="B917" s="11"/>
      <c r="C917" s="39"/>
    </row>
    <row r="918">
      <c r="B918" s="11"/>
      <c r="C918" s="39"/>
    </row>
    <row r="919">
      <c r="B919" s="11"/>
      <c r="C919" s="39"/>
    </row>
    <row r="920">
      <c r="B920" s="11"/>
      <c r="C920" s="39"/>
    </row>
    <row r="921">
      <c r="B921" s="11"/>
      <c r="C921" s="39"/>
    </row>
    <row r="922">
      <c r="B922" s="11"/>
      <c r="C922" s="39"/>
    </row>
    <row r="923">
      <c r="B923" s="11"/>
      <c r="C923" s="39"/>
    </row>
    <row r="924">
      <c r="B924" s="11"/>
      <c r="C924" s="39"/>
    </row>
    <row r="925">
      <c r="B925" s="11"/>
      <c r="C925" s="39"/>
    </row>
    <row r="926">
      <c r="B926" s="11"/>
      <c r="C926" s="39"/>
    </row>
    <row r="927">
      <c r="B927" s="11"/>
      <c r="C927" s="39"/>
    </row>
    <row r="928">
      <c r="B928" s="11"/>
      <c r="C928" s="39"/>
    </row>
    <row r="929">
      <c r="B929" s="11"/>
      <c r="C929" s="39"/>
    </row>
    <row r="930">
      <c r="B930" s="11"/>
      <c r="C930" s="39"/>
    </row>
    <row r="931">
      <c r="B931" s="11"/>
      <c r="C931" s="39"/>
    </row>
    <row r="932">
      <c r="B932" s="11"/>
      <c r="C932" s="39"/>
    </row>
    <row r="933">
      <c r="B933" s="11"/>
      <c r="C933" s="39"/>
    </row>
    <row r="934">
      <c r="B934" s="11"/>
      <c r="C934" s="39"/>
    </row>
    <row r="935">
      <c r="B935" s="11"/>
      <c r="C935" s="39"/>
    </row>
    <row r="936">
      <c r="B936" s="11"/>
      <c r="C936" s="39"/>
    </row>
    <row r="937">
      <c r="B937" s="11"/>
      <c r="C937" s="39"/>
    </row>
    <row r="938">
      <c r="B938" s="11"/>
      <c r="C938" s="39"/>
    </row>
    <row r="939">
      <c r="B939" s="11"/>
      <c r="C939" s="39"/>
    </row>
    <row r="940">
      <c r="B940" s="11"/>
      <c r="C940" s="39"/>
    </row>
    <row r="941">
      <c r="B941" s="11"/>
      <c r="C941" s="39"/>
    </row>
    <row r="942">
      <c r="B942" s="11"/>
      <c r="C942" s="39"/>
    </row>
    <row r="943">
      <c r="B943" s="11"/>
      <c r="C943" s="39"/>
    </row>
    <row r="944">
      <c r="B944" s="11"/>
      <c r="C944" s="39"/>
    </row>
    <row r="945">
      <c r="B945" s="11"/>
      <c r="C945" s="39"/>
    </row>
    <row r="946">
      <c r="B946" s="11"/>
      <c r="C946" s="39"/>
    </row>
    <row r="947">
      <c r="B947" s="11"/>
      <c r="C947" s="39"/>
    </row>
    <row r="948">
      <c r="B948" s="11"/>
      <c r="C948" s="39"/>
    </row>
    <row r="949">
      <c r="B949" s="11"/>
      <c r="C949" s="39"/>
    </row>
    <row r="950">
      <c r="B950" s="11"/>
      <c r="C950" s="39"/>
    </row>
    <row r="951">
      <c r="B951" s="11"/>
      <c r="C951" s="39"/>
    </row>
    <row r="952">
      <c r="B952" s="11"/>
      <c r="C952" s="39"/>
    </row>
    <row r="953">
      <c r="B953" s="11"/>
      <c r="C953" s="39"/>
    </row>
    <row r="954">
      <c r="B954" s="11"/>
      <c r="C954" s="39"/>
    </row>
    <row r="955">
      <c r="B955" s="11"/>
      <c r="C955" s="39"/>
    </row>
    <row r="956">
      <c r="B956" s="11"/>
      <c r="C956" s="39"/>
    </row>
    <row r="957">
      <c r="B957" s="11"/>
      <c r="C957" s="39"/>
    </row>
    <row r="958">
      <c r="B958" s="11"/>
      <c r="C958" s="39"/>
    </row>
    <row r="959">
      <c r="B959" s="11"/>
      <c r="C959" s="39"/>
    </row>
    <row r="960">
      <c r="B960" s="11"/>
      <c r="C960" s="39"/>
    </row>
    <row r="961">
      <c r="B961" s="11"/>
      <c r="C961" s="39"/>
    </row>
    <row r="962">
      <c r="B962" s="11"/>
      <c r="C962" s="39"/>
    </row>
    <row r="963">
      <c r="B963" s="11"/>
      <c r="C963" s="39"/>
    </row>
    <row r="964">
      <c r="B964" s="11"/>
      <c r="C964" s="39"/>
    </row>
    <row r="965">
      <c r="B965" s="11"/>
      <c r="C965" s="39"/>
    </row>
    <row r="966">
      <c r="B966" s="11"/>
      <c r="C966" s="39"/>
    </row>
    <row r="967">
      <c r="B967" s="11"/>
      <c r="C967" s="39"/>
    </row>
    <row r="968">
      <c r="B968" s="11"/>
      <c r="C968" s="39"/>
    </row>
    <row r="969">
      <c r="B969" s="11"/>
      <c r="C969" s="39"/>
    </row>
    <row r="970">
      <c r="B970" s="11"/>
      <c r="C970" s="39"/>
    </row>
    <row r="971">
      <c r="B971" s="11"/>
      <c r="C971" s="39"/>
    </row>
    <row r="972">
      <c r="B972" s="11"/>
      <c r="C972" s="39"/>
    </row>
    <row r="973">
      <c r="B973" s="11"/>
      <c r="C973" s="39"/>
    </row>
    <row r="974">
      <c r="B974" s="11"/>
      <c r="C974" s="39"/>
    </row>
    <row r="975">
      <c r="B975" s="11"/>
      <c r="C975" s="39"/>
    </row>
    <row r="976">
      <c r="B976" s="11"/>
      <c r="C976" s="39"/>
    </row>
    <row r="977">
      <c r="B977" s="11"/>
      <c r="C977" s="39"/>
    </row>
    <row r="978">
      <c r="B978" s="11"/>
      <c r="C978" s="39"/>
    </row>
    <row r="979">
      <c r="B979" s="11"/>
      <c r="C979" s="39"/>
    </row>
    <row r="980">
      <c r="B980" s="11"/>
      <c r="C980" s="39"/>
    </row>
    <row r="981">
      <c r="B981" s="11"/>
      <c r="C981" s="39"/>
    </row>
    <row r="982">
      <c r="B982" s="11"/>
      <c r="C982" s="39"/>
    </row>
    <row r="983">
      <c r="B983" s="11"/>
      <c r="C983" s="39"/>
    </row>
    <row r="984">
      <c r="B984" s="11"/>
      <c r="C984" s="39"/>
    </row>
    <row r="985">
      <c r="B985" s="11"/>
      <c r="C985" s="39"/>
    </row>
    <row r="986">
      <c r="B986" s="11"/>
      <c r="C986" s="39"/>
    </row>
    <row r="987">
      <c r="B987" s="11"/>
      <c r="C987" s="39"/>
    </row>
    <row r="988">
      <c r="B988" s="11"/>
      <c r="C988" s="39"/>
    </row>
    <row r="989">
      <c r="B989" s="11"/>
      <c r="C989" s="39"/>
    </row>
    <row r="990">
      <c r="B990" s="11"/>
      <c r="C990" s="39"/>
    </row>
    <row r="991">
      <c r="B991" s="11"/>
      <c r="C991" s="39"/>
    </row>
    <row r="992">
      <c r="B992" s="11"/>
      <c r="C992" s="39"/>
    </row>
    <row r="993">
      <c r="B993" s="11"/>
      <c r="C993" s="39"/>
    </row>
    <row r="994">
      <c r="B994" s="11"/>
      <c r="C994" s="39"/>
    </row>
    <row r="995">
      <c r="B995" s="11"/>
      <c r="C995" s="39"/>
    </row>
    <row r="996">
      <c r="B996" s="11"/>
      <c r="C996" s="39"/>
    </row>
    <row r="997">
      <c r="B997" s="11"/>
      <c r="C997" s="39"/>
    </row>
    <row r="998">
      <c r="B998" s="11"/>
      <c r="C998" s="39"/>
    </row>
    <row r="999">
      <c r="B999" s="11"/>
      <c r="C999" s="39"/>
    </row>
    <row r="1000">
      <c r="B1000" s="11"/>
      <c r="C1000" s="3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60</v>
      </c>
      <c r="B1" s="3" t="s">
        <v>61</v>
      </c>
      <c r="C1" s="23" t="s">
        <v>62</v>
      </c>
      <c r="D1" s="1" t="s">
        <v>16</v>
      </c>
      <c r="E1" s="1" t="s">
        <v>6</v>
      </c>
      <c r="F1" s="1" t="s">
        <v>18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63</v>
      </c>
      <c r="B2" s="7">
        <v>7676.63</v>
      </c>
      <c r="C2" s="26" t="s">
        <v>20</v>
      </c>
      <c r="D2" s="40">
        <v>46201.0</v>
      </c>
      <c r="E2" s="5" t="s">
        <v>10</v>
      </c>
      <c r="F2" s="15" t="str">
        <f t="shared" ref="F2:F22" si="1">IFERROR(IF(D2&lt;&gt;"",TEXT(D2, "yyyy-mm"),""),"")</f>
        <v>2026-06</v>
      </c>
    </row>
    <row r="3">
      <c r="A3" s="5" t="s">
        <v>64</v>
      </c>
      <c r="B3" s="7">
        <v>0.0</v>
      </c>
      <c r="C3" s="26" t="s">
        <v>20</v>
      </c>
      <c r="D3" s="40">
        <v>46201.0</v>
      </c>
      <c r="E3" s="5" t="s">
        <v>10</v>
      </c>
      <c r="F3" s="15" t="str">
        <f t="shared" si="1"/>
        <v>2026-06</v>
      </c>
    </row>
    <row r="4">
      <c r="A4" s="5" t="s">
        <v>65</v>
      </c>
      <c r="B4" s="7">
        <v>73654.97</v>
      </c>
      <c r="C4" s="26" t="s">
        <v>20</v>
      </c>
      <c r="D4" s="40">
        <v>46201.0</v>
      </c>
      <c r="E4" s="5" t="s">
        <v>10</v>
      </c>
      <c r="F4" s="15" t="str">
        <f t="shared" si="1"/>
        <v>2026-06</v>
      </c>
    </row>
    <row r="5">
      <c r="A5" s="5" t="s">
        <v>66</v>
      </c>
      <c r="B5" s="7">
        <v>1023.16</v>
      </c>
      <c r="C5" s="26" t="s">
        <v>20</v>
      </c>
      <c r="D5" s="40">
        <v>46201.0</v>
      </c>
      <c r="E5" s="5" t="s">
        <v>10</v>
      </c>
      <c r="F5" s="15" t="str">
        <f t="shared" si="1"/>
        <v>2026-06</v>
      </c>
    </row>
    <row r="6">
      <c r="A6" s="5" t="s">
        <v>64</v>
      </c>
      <c r="B6" s="7">
        <v>45407.14</v>
      </c>
      <c r="C6" s="26" t="s">
        <v>20</v>
      </c>
      <c r="D6" s="40">
        <v>46201.0</v>
      </c>
      <c r="E6" s="5" t="s">
        <v>8</v>
      </c>
      <c r="F6" s="15" t="str">
        <f t="shared" si="1"/>
        <v>2026-06</v>
      </c>
    </row>
    <row r="7">
      <c r="A7" s="5" t="s">
        <v>63</v>
      </c>
      <c r="B7" s="7">
        <v>4594.75</v>
      </c>
      <c r="C7" s="26" t="s">
        <v>20</v>
      </c>
      <c r="D7" s="40">
        <v>46201.0</v>
      </c>
      <c r="E7" s="5" t="s">
        <v>8</v>
      </c>
      <c r="F7" s="15" t="str">
        <f t="shared" si="1"/>
        <v>2026-06</v>
      </c>
    </row>
    <row r="8">
      <c r="A8" s="5" t="s">
        <v>65</v>
      </c>
      <c r="B8" s="7">
        <v>418.39</v>
      </c>
      <c r="C8" s="26" t="s">
        <v>20</v>
      </c>
      <c r="D8" s="40">
        <v>46201.0</v>
      </c>
      <c r="E8" s="5" t="s">
        <v>8</v>
      </c>
      <c r="F8" s="15" t="str">
        <f t="shared" si="1"/>
        <v>2026-06</v>
      </c>
    </row>
    <row r="9">
      <c r="A9" s="5" t="s">
        <v>66</v>
      </c>
      <c r="B9" s="7">
        <v>269.58</v>
      </c>
      <c r="C9" s="26" t="s">
        <v>20</v>
      </c>
      <c r="D9" s="40">
        <v>46201.0</v>
      </c>
      <c r="E9" s="5" t="s">
        <v>8</v>
      </c>
      <c r="F9" s="15" t="str">
        <f t="shared" si="1"/>
        <v>2026-06</v>
      </c>
    </row>
    <row r="10">
      <c r="A10" s="5"/>
      <c r="B10" s="7"/>
      <c r="C10" s="26"/>
      <c r="D10" s="40"/>
      <c r="E10" s="5"/>
      <c r="F10" s="15" t="str">
        <f t="shared" si="1"/>
        <v/>
      </c>
    </row>
    <row r="11">
      <c r="A11" s="5"/>
      <c r="B11" s="7"/>
      <c r="C11" s="26"/>
      <c r="D11" s="40"/>
      <c r="E11" s="5"/>
      <c r="F11" s="15" t="str">
        <f t="shared" si="1"/>
        <v/>
      </c>
    </row>
    <row r="12">
      <c r="A12" s="5"/>
      <c r="B12" s="7"/>
      <c r="C12" s="26"/>
      <c r="D12" s="40"/>
      <c r="E12" s="5"/>
      <c r="F12" s="15" t="str">
        <f t="shared" si="1"/>
        <v/>
      </c>
    </row>
    <row r="13">
      <c r="A13" s="5"/>
      <c r="B13" s="7"/>
      <c r="C13" s="26"/>
      <c r="D13" s="40"/>
      <c r="E13" s="5"/>
      <c r="F13" s="15" t="str">
        <f t="shared" si="1"/>
        <v/>
      </c>
    </row>
    <row r="14">
      <c r="A14" s="5"/>
      <c r="B14" s="7"/>
      <c r="C14" s="26"/>
      <c r="D14" s="40"/>
      <c r="E14" s="5"/>
      <c r="F14" s="15" t="str">
        <f t="shared" si="1"/>
        <v/>
      </c>
    </row>
    <row r="15">
      <c r="A15" s="5"/>
      <c r="B15" s="7"/>
      <c r="C15" s="26"/>
      <c r="D15" s="40"/>
      <c r="E15" s="5"/>
      <c r="F15" s="15" t="str">
        <f t="shared" si="1"/>
        <v/>
      </c>
    </row>
    <row r="16">
      <c r="A16" s="5"/>
      <c r="B16" s="7"/>
      <c r="C16" s="26"/>
      <c r="D16" s="40"/>
      <c r="E16" s="5"/>
      <c r="F16" s="15" t="str">
        <f t="shared" si="1"/>
        <v/>
      </c>
    </row>
    <row r="17">
      <c r="A17" s="5"/>
      <c r="B17" s="7"/>
      <c r="C17" s="26"/>
      <c r="D17" s="40"/>
      <c r="E17" s="5"/>
      <c r="F17" s="15" t="str">
        <f t="shared" si="1"/>
        <v/>
      </c>
    </row>
    <row r="18">
      <c r="A18" s="5"/>
      <c r="B18" s="7"/>
      <c r="C18" s="26"/>
      <c r="D18" s="40"/>
      <c r="E18" s="5"/>
      <c r="F18" s="15" t="str">
        <f t="shared" si="1"/>
        <v/>
      </c>
    </row>
    <row r="19">
      <c r="A19" s="5"/>
      <c r="B19" s="7"/>
      <c r="C19" s="26"/>
      <c r="D19" s="40"/>
      <c r="E19" s="5"/>
      <c r="F19" s="15" t="str">
        <f t="shared" si="1"/>
        <v/>
      </c>
    </row>
    <row r="20">
      <c r="A20" s="5"/>
      <c r="B20" s="7"/>
      <c r="C20" s="26"/>
      <c r="D20" s="40"/>
      <c r="E20" s="5"/>
      <c r="F20" s="15" t="str">
        <f t="shared" si="1"/>
        <v/>
      </c>
    </row>
    <row r="21">
      <c r="A21" s="5"/>
      <c r="B21" s="7"/>
      <c r="C21" s="26"/>
      <c r="D21" s="40"/>
      <c r="E21" s="5"/>
      <c r="F21" s="15" t="str">
        <f t="shared" si="1"/>
        <v/>
      </c>
    </row>
    <row r="22">
      <c r="A22" s="5"/>
      <c r="B22" s="7"/>
      <c r="C22" s="26"/>
      <c r="D22" s="40"/>
      <c r="E22" s="5"/>
      <c r="F22" s="15" t="str">
        <f t="shared" si="1"/>
        <v/>
      </c>
    </row>
    <row r="23">
      <c r="A23" s="5"/>
      <c r="B23" s="7"/>
      <c r="C23" s="26"/>
      <c r="D23" s="40"/>
      <c r="E23" s="5"/>
    </row>
    <row r="24">
      <c r="A24" s="5"/>
      <c r="B24" s="7"/>
      <c r="C24" s="26"/>
      <c r="D24" s="40"/>
      <c r="E24" s="5"/>
    </row>
    <row r="25">
      <c r="A25" s="5"/>
      <c r="B25" s="7"/>
      <c r="C25" s="26"/>
      <c r="D25" s="40"/>
      <c r="E25" s="5"/>
    </row>
    <row r="26">
      <c r="A26" s="5"/>
      <c r="B26" s="7"/>
      <c r="C26" s="26"/>
      <c r="D26" s="40"/>
      <c r="E26" s="5"/>
    </row>
    <row r="27">
      <c r="A27" s="5"/>
      <c r="B27" s="7"/>
      <c r="C27" s="26"/>
      <c r="D27" s="40"/>
      <c r="E27" s="5"/>
    </row>
    <row r="28">
      <c r="A28" s="5"/>
      <c r="B28" s="7"/>
      <c r="C28" s="26"/>
      <c r="D28" s="40"/>
      <c r="E28" s="5"/>
    </row>
    <row r="29">
      <c r="A29" s="5"/>
      <c r="B29" s="7"/>
      <c r="C29" s="26"/>
      <c r="D29" s="40"/>
      <c r="E29" s="5"/>
    </row>
    <row r="30">
      <c r="A30" s="5"/>
      <c r="B30" s="7"/>
      <c r="C30" s="26"/>
      <c r="D30" s="40"/>
      <c r="E30" s="5"/>
    </row>
    <row r="31">
      <c r="A31" s="5"/>
      <c r="B31" s="7"/>
      <c r="C31" s="26"/>
      <c r="D31" s="40"/>
      <c r="E31" s="5"/>
    </row>
    <row r="32">
      <c r="A32" s="5"/>
      <c r="B32" s="7"/>
      <c r="C32" s="26"/>
      <c r="D32" s="40"/>
      <c r="E32" s="5"/>
    </row>
    <row r="33">
      <c r="A33" s="5"/>
      <c r="B33" s="7"/>
      <c r="C33" s="26"/>
      <c r="D33" s="40"/>
      <c r="E33" s="5"/>
    </row>
    <row r="34">
      <c r="A34" s="5"/>
      <c r="B34" s="7"/>
      <c r="C34" s="26"/>
      <c r="D34" s="40"/>
      <c r="E34" s="5"/>
    </row>
    <row r="35">
      <c r="A35" s="5"/>
      <c r="B35" s="7"/>
      <c r="C35" s="26"/>
      <c r="D35" s="40"/>
      <c r="E35" s="5"/>
    </row>
    <row r="36">
      <c r="A36" s="5"/>
      <c r="B36" s="7"/>
      <c r="C36" s="26"/>
      <c r="D36" s="40"/>
      <c r="E36" s="5"/>
    </row>
    <row r="37">
      <c r="A37" s="5"/>
      <c r="B37" s="7"/>
      <c r="C37" s="26"/>
      <c r="D37" s="40"/>
      <c r="E37" s="5"/>
    </row>
    <row r="38">
      <c r="A38" s="5"/>
      <c r="B38" s="7"/>
      <c r="C38" s="26"/>
      <c r="D38" s="40"/>
      <c r="E38" s="5"/>
    </row>
    <row r="39">
      <c r="A39" s="5"/>
      <c r="B39" s="7"/>
      <c r="C39" s="26"/>
      <c r="D39" s="40"/>
      <c r="E39" s="5"/>
    </row>
    <row r="40">
      <c r="A40" s="5"/>
      <c r="B40" s="7"/>
      <c r="C40" s="26"/>
      <c r="D40" s="40"/>
      <c r="E40" s="5"/>
    </row>
    <row r="41">
      <c r="A41" s="5"/>
      <c r="B41" s="7"/>
      <c r="C41" s="26"/>
      <c r="D41" s="40"/>
      <c r="E41" s="5"/>
    </row>
    <row r="42">
      <c r="A42" s="5"/>
      <c r="B42" s="7"/>
      <c r="C42" s="26"/>
      <c r="D42" s="40"/>
      <c r="E42" s="5"/>
    </row>
    <row r="43">
      <c r="A43" s="5"/>
      <c r="B43" s="7"/>
      <c r="C43" s="26"/>
      <c r="D43" s="40"/>
      <c r="E43" s="5"/>
    </row>
    <row r="44">
      <c r="A44" s="5"/>
      <c r="B44" s="7"/>
      <c r="C44" s="26"/>
      <c r="D44" s="40"/>
      <c r="E44" s="5"/>
    </row>
    <row r="45">
      <c r="A45" s="5"/>
      <c r="B45" s="7"/>
      <c r="C45" s="26"/>
      <c r="D45" s="40"/>
      <c r="E45" s="5"/>
    </row>
    <row r="46">
      <c r="A46" s="5"/>
      <c r="B46" s="7"/>
      <c r="C46" s="26"/>
      <c r="D46" s="40"/>
      <c r="E46" s="5"/>
    </row>
    <row r="47">
      <c r="A47" s="5"/>
      <c r="B47" s="7"/>
      <c r="C47" s="26"/>
      <c r="D47" s="40"/>
      <c r="E47" s="5"/>
    </row>
    <row r="48">
      <c r="A48" s="5"/>
      <c r="B48" s="7"/>
      <c r="C48" s="26"/>
      <c r="D48" s="40"/>
      <c r="E48" s="5"/>
    </row>
    <row r="49">
      <c r="A49" s="5"/>
      <c r="B49" s="7"/>
      <c r="C49" s="26"/>
      <c r="D49" s="40"/>
      <c r="E49" s="5"/>
    </row>
    <row r="50">
      <c r="A50" s="5"/>
      <c r="B50" s="7"/>
      <c r="C50" s="26"/>
      <c r="D50" s="40"/>
      <c r="E50" s="5"/>
    </row>
    <row r="51">
      <c r="A51" s="5"/>
      <c r="B51" s="7"/>
      <c r="C51" s="26"/>
      <c r="D51" s="40"/>
      <c r="E51" s="5"/>
    </row>
    <row r="52">
      <c r="A52" s="5"/>
      <c r="B52" s="7"/>
      <c r="C52" s="26"/>
      <c r="D52" s="40"/>
      <c r="E52" s="5"/>
    </row>
    <row r="53">
      <c r="A53" s="5"/>
      <c r="B53" s="7"/>
      <c r="C53" s="26"/>
      <c r="D53" s="40"/>
      <c r="E53" s="5"/>
    </row>
    <row r="54">
      <c r="A54" s="5"/>
      <c r="B54" s="7"/>
      <c r="C54" s="26"/>
      <c r="D54" s="40"/>
      <c r="E54" s="5"/>
    </row>
    <row r="55">
      <c r="A55" s="5"/>
      <c r="B55" s="7"/>
      <c r="C55" s="26"/>
      <c r="D55" s="40"/>
      <c r="E55" s="5"/>
    </row>
    <row r="56">
      <c r="A56" s="5"/>
      <c r="B56" s="7"/>
      <c r="C56" s="26"/>
      <c r="D56" s="40"/>
      <c r="E56" s="5"/>
    </row>
    <row r="57">
      <c r="A57" s="5"/>
      <c r="B57" s="7"/>
      <c r="C57" s="26"/>
      <c r="D57" s="40"/>
      <c r="E57" s="5"/>
    </row>
    <row r="58">
      <c r="A58" s="5"/>
      <c r="B58" s="7"/>
      <c r="C58" s="26"/>
      <c r="D58" s="40"/>
      <c r="E58" s="5"/>
    </row>
    <row r="59">
      <c r="A59" s="5"/>
      <c r="B59" s="7"/>
      <c r="C59" s="26"/>
      <c r="D59" s="40"/>
      <c r="E59" s="5"/>
    </row>
    <row r="60">
      <c r="A60" s="5"/>
      <c r="B60" s="7"/>
      <c r="C60" s="26"/>
      <c r="D60" s="40"/>
      <c r="E60" s="5"/>
    </row>
    <row r="61">
      <c r="A61" s="5"/>
      <c r="B61" s="7"/>
      <c r="C61" s="26"/>
      <c r="D61" s="40"/>
      <c r="E61" s="5"/>
    </row>
    <row r="62">
      <c r="A62" s="5"/>
      <c r="B62" s="7"/>
      <c r="C62" s="26"/>
      <c r="D62" s="40"/>
      <c r="E62" s="5"/>
    </row>
    <row r="63">
      <c r="A63" s="5"/>
      <c r="B63" s="7"/>
      <c r="C63" s="26"/>
      <c r="D63" s="40"/>
      <c r="E63" s="5"/>
    </row>
    <row r="64">
      <c r="A64" s="5"/>
      <c r="B64" s="7"/>
      <c r="C64" s="26"/>
      <c r="D64" s="40"/>
      <c r="E64" s="5"/>
    </row>
    <row r="65">
      <c r="A65" s="5"/>
      <c r="B65" s="7"/>
      <c r="C65" s="26"/>
      <c r="D65" s="40"/>
      <c r="E65" s="5"/>
    </row>
    <row r="66">
      <c r="A66" s="5"/>
      <c r="B66" s="7"/>
      <c r="C66" s="26"/>
      <c r="D66" s="40"/>
      <c r="E66" s="5"/>
    </row>
    <row r="67">
      <c r="A67" s="5"/>
      <c r="B67" s="7"/>
      <c r="C67" s="26"/>
      <c r="D67" s="40"/>
      <c r="E67" s="5"/>
    </row>
    <row r="68">
      <c r="A68" s="5"/>
      <c r="B68" s="7"/>
      <c r="C68" s="26"/>
      <c r="D68" s="40"/>
      <c r="E68" s="5"/>
    </row>
    <row r="69">
      <c r="A69" s="5"/>
      <c r="B69" s="7"/>
      <c r="C69" s="26"/>
      <c r="D69" s="40"/>
      <c r="E69" s="5"/>
    </row>
    <row r="70">
      <c r="A70" s="5"/>
      <c r="B70" s="7"/>
      <c r="C70" s="26"/>
      <c r="D70" s="40"/>
      <c r="E70" s="5"/>
    </row>
    <row r="71">
      <c r="A71" s="5"/>
      <c r="B71" s="7"/>
      <c r="C71" s="26"/>
      <c r="D71" s="40"/>
      <c r="E71" s="5"/>
    </row>
    <row r="72">
      <c r="A72" s="5"/>
      <c r="B72" s="7"/>
      <c r="C72" s="26"/>
      <c r="D72" s="40"/>
      <c r="E72" s="5"/>
    </row>
    <row r="73">
      <c r="A73" s="5"/>
      <c r="B73" s="7"/>
      <c r="C73" s="26"/>
      <c r="D73" s="40"/>
      <c r="E73" s="5"/>
    </row>
    <row r="74">
      <c r="A74" s="5"/>
      <c r="B74" s="7"/>
      <c r="C74" s="26"/>
      <c r="D74" s="40"/>
      <c r="E74" s="5"/>
    </row>
    <row r="75">
      <c r="A75" s="5"/>
      <c r="B75" s="7"/>
      <c r="C75" s="26"/>
      <c r="D75" s="40"/>
      <c r="E75" s="5"/>
    </row>
    <row r="76">
      <c r="A76" s="5"/>
      <c r="B76" s="7"/>
      <c r="C76" s="26"/>
      <c r="D76" s="40"/>
      <c r="E76" s="5"/>
    </row>
    <row r="77">
      <c r="A77" s="5"/>
      <c r="B77" s="7"/>
      <c r="C77" s="26"/>
      <c r="D77" s="40"/>
      <c r="E77" s="5"/>
    </row>
    <row r="78">
      <c r="A78" s="5"/>
      <c r="B78" s="7"/>
      <c r="C78" s="26"/>
      <c r="D78" s="40"/>
      <c r="E78" s="5"/>
    </row>
    <row r="79">
      <c r="A79" s="5"/>
      <c r="B79" s="7"/>
      <c r="C79" s="26"/>
      <c r="D79" s="40"/>
      <c r="E79" s="5"/>
    </row>
    <row r="80">
      <c r="A80" s="5"/>
      <c r="B80" s="7"/>
      <c r="C80" s="26"/>
      <c r="D80" s="40"/>
      <c r="E80" s="5"/>
    </row>
    <row r="81">
      <c r="A81" s="5"/>
      <c r="B81" s="7"/>
      <c r="C81" s="26"/>
      <c r="D81" s="40"/>
      <c r="E81" s="5"/>
    </row>
    <row r="82">
      <c r="A82" s="5"/>
      <c r="B82" s="7"/>
      <c r="C82" s="26"/>
      <c r="D82" s="40"/>
      <c r="E82" s="5"/>
    </row>
    <row r="83">
      <c r="A83" s="5"/>
      <c r="B83" s="7"/>
      <c r="C83" s="26"/>
      <c r="D83" s="40"/>
      <c r="E83" s="5"/>
    </row>
    <row r="84">
      <c r="A84" s="5"/>
      <c r="B84" s="7"/>
      <c r="C84" s="26"/>
      <c r="D84" s="40"/>
      <c r="E84" s="5"/>
    </row>
    <row r="85">
      <c r="A85" s="5"/>
      <c r="B85" s="7"/>
      <c r="C85" s="26"/>
      <c r="D85" s="40"/>
      <c r="E85" s="5"/>
    </row>
    <row r="86">
      <c r="A86" s="5"/>
      <c r="B86" s="7"/>
      <c r="C86" s="26"/>
      <c r="D86" s="40"/>
      <c r="E86" s="5"/>
    </row>
    <row r="87">
      <c r="A87" s="5"/>
      <c r="B87" s="7"/>
      <c r="C87" s="26"/>
      <c r="D87" s="40"/>
      <c r="E87" s="5"/>
    </row>
    <row r="88">
      <c r="A88" s="5"/>
      <c r="B88" s="7"/>
      <c r="C88" s="26"/>
      <c r="D88" s="40"/>
      <c r="E88" s="5"/>
    </row>
    <row r="89">
      <c r="A89" s="5"/>
      <c r="B89" s="7"/>
      <c r="C89" s="26"/>
      <c r="D89" s="40"/>
      <c r="E89" s="5"/>
    </row>
    <row r="90">
      <c r="A90" s="5"/>
      <c r="B90" s="7"/>
      <c r="C90" s="26"/>
      <c r="D90" s="40"/>
      <c r="E90" s="5"/>
    </row>
    <row r="91">
      <c r="A91" s="5"/>
      <c r="B91" s="7"/>
      <c r="C91" s="26"/>
      <c r="D91" s="40"/>
      <c r="E91" s="5"/>
    </row>
    <row r="92">
      <c r="A92" s="5"/>
      <c r="B92" s="7"/>
      <c r="C92" s="26"/>
      <c r="D92" s="40"/>
      <c r="E92" s="5"/>
    </row>
    <row r="93">
      <c r="A93" s="5"/>
      <c r="B93" s="7"/>
      <c r="C93" s="26"/>
      <c r="D93" s="40"/>
      <c r="E93" s="5"/>
    </row>
    <row r="94">
      <c r="A94" s="5"/>
      <c r="B94" s="7"/>
      <c r="C94" s="26"/>
      <c r="D94" s="40"/>
      <c r="E94" s="5"/>
    </row>
    <row r="95">
      <c r="A95" s="5"/>
      <c r="B95" s="7"/>
      <c r="C95" s="26"/>
      <c r="D95" s="40"/>
      <c r="E95" s="5"/>
    </row>
    <row r="96">
      <c r="A96" s="5"/>
      <c r="B96" s="7"/>
      <c r="C96" s="26"/>
      <c r="D96" s="40"/>
      <c r="E96" s="5"/>
    </row>
    <row r="97">
      <c r="A97" s="5"/>
      <c r="B97" s="7"/>
      <c r="C97" s="26"/>
      <c r="D97" s="40"/>
      <c r="E97" s="5"/>
    </row>
    <row r="98">
      <c r="A98" s="5"/>
      <c r="B98" s="7"/>
      <c r="C98" s="26"/>
      <c r="D98" s="40"/>
      <c r="E98" s="5"/>
    </row>
    <row r="99">
      <c r="A99" s="5"/>
      <c r="B99" s="7"/>
      <c r="C99" s="26"/>
      <c r="D99" s="40"/>
      <c r="E99" s="5"/>
    </row>
    <row r="100">
      <c r="A100" s="5"/>
      <c r="B100" s="7"/>
      <c r="C100" s="26"/>
      <c r="D100" s="40"/>
      <c r="E100" s="5"/>
    </row>
    <row r="101">
      <c r="A101" s="5"/>
      <c r="B101" s="7"/>
      <c r="C101" s="26"/>
      <c r="D101" s="40"/>
      <c r="E101" s="5"/>
    </row>
    <row r="102">
      <c r="A102" s="5"/>
      <c r="B102" s="7"/>
      <c r="C102" s="26"/>
      <c r="D102" s="40"/>
      <c r="E102" s="5"/>
    </row>
    <row r="103">
      <c r="A103" s="5"/>
      <c r="B103" s="7"/>
      <c r="C103" s="26"/>
      <c r="D103" s="40"/>
      <c r="E103" s="5"/>
    </row>
    <row r="104">
      <c r="A104" s="5"/>
      <c r="B104" s="7"/>
      <c r="C104" s="26"/>
      <c r="D104" s="40"/>
      <c r="E104" s="5"/>
    </row>
    <row r="105">
      <c r="A105" s="5"/>
      <c r="B105" s="7"/>
      <c r="C105" s="26"/>
      <c r="D105" s="40"/>
      <c r="E105" s="5"/>
    </row>
    <row r="106">
      <c r="A106" s="5"/>
      <c r="B106" s="7"/>
      <c r="C106" s="26"/>
      <c r="D106" s="40"/>
      <c r="E106" s="5"/>
    </row>
    <row r="107">
      <c r="A107" s="5"/>
      <c r="B107" s="7"/>
      <c r="C107" s="26"/>
      <c r="D107" s="40"/>
      <c r="E107" s="5"/>
    </row>
    <row r="108">
      <c r="A108" s="5"/>
      <c r="B108" s="7"/>
      <c r="C108" s="26"/>
      <c r="D108" s="40"/>
      <c r="E108" s="5"/>
    </row>
    <row r="109">
      <c r="A109" s="5"/>
      <c r="B109" s="7"/>
      <c r="C109" s="26"/>
      <c r="D109" s="40"/>
      <c r="E109" s="5"/>
    </row>
    <row r="110">
      <c r="A110" s="5"/>
      <c r="B110" s="7"/>
      <c r="C110" s="26"/>
      <c r="D110" s="40"/>
      <c r="E110" s="5"/>
    </row>
    <row r="111">
      <c r="A111" s="5"/>
      <c r="B111" s="7"/>
      <c r="C111" s="26"/>
      <c r="D111" s="40"/>
      <c r="E111" s="5"/>
    </row>
    <row r="112">
      <c r="A112" s="5"/>
      <c r="B112" s="7"/>
      <c r="C112" s="26"/>
      <c r="D112" s="40"/>
      <c r="E112" s="5"/>
    </row>
    <row r="113">
      <c r="A113" s="5"/>
      <c r="B113" s="7"/>
      <c r="C113" s="26"/>
      <c r="D113" s="40"/>
      <c r="E113" s="5"/>
    </row>
    <row r="114">
      <c r="A114" s="5"/>
      <c r="B114" s="7"/>
      <c r="C114" s="26"/>
      <c r="D114" s="40"/>
      <c r="E114" s="5"/>
    </row>
    <row r="115">
      <c r="A115" s="5"/>
      <c r="B115" s="7"/>
      <c r="C115" s="26"/>
      <c r="D115" s="40"/>
      <c r="E115" s="5"/>
    </row>
    <row r="116">
      <c r="A116" s="5"/>
      <c r="B116" s="7"/>
      <c r="C116" s="26"/>
      <c r="D116" s="40"/>
      <c r="E116" s="5"/>
    </row>
    <row r="117">
      <c r="A117" s="5"/>
      <c r="B117" s="7"/>
      <c r="C117" s="26"/>
      <c r="D117" s="40"/>
      <c r="E117" s="5"/>
    </row>
    <row r="118">
      <c r="A118" s="5"/>
      <c r="B118" s="7"/>
      <c r="C118" s="26"/>
      <c r="D118" s="40"/>
      <c r="E118" s="5"/>
    </row>
    <row r="119">
      <c r="A119" s="5"/>
      <c r="B119" s="7"/>
      <c r="C119" s="26"/>
      <c r="D119" s="40"/>
      <c r="E119" s="5"/>
    </row>
    <row r="120">
      <c r="A120" s="5"/>
      <c r="B120" s="7"/>
      <c r="C120" s="26"/>
      <c r="D120" s="40"/>
      <c r="E120" s="5"/>
    </row>
    <row r="121">
      <c r="A121" s="5"/>
      <c r="B121" s="7"/>
      <c r="C121" s="26"/>
      <c r="D121" s="40"/>
      <c r="E121" s="5"/>
    </row>
    <row r="122">
      <c r="A122" s="5"/>
      <c r="B122" s="7"/>
      <c r="C122" s="26"/>
      <c r="D122" s="40"/>
      <c r="E122" s="5"/>
    </row>
    <row r="123">
      <c r="A123" s="5"/>
      <c r="B123" s="7"/>
      <c r="C123" s="26"/>
      <c r="D123" s="40"/>
      <c r="E123" s="5"/>
    </row>
    <row r="124">
      <c r="A124" s="5"/>
      <c r="B124" s="7"/>
      <c r="C124" s="26"/>
      <c r="D124" s="40"/>
      <c r="E124" s="5"/>
    </row>
    <row r="125">
      <c r="A125" s="5"/>
      <c r="B125" s="7"/>
      <c r="C125" s="26"/>
      <c r="D125" s="40"/>
      <c r="E125" s="5"/>
    </row>
    <row r="126">
      <c r="A126" s="5"/>
      <c r="B126" s="7"/>
      <c r="C126" s="26"/>
      <c r="D126" s="40"/>
      <c r="E126" s="5"/>
    </row>
    <row r="127">
      <c r="A127" s="5"/>
      <c r="B127" s="7"/>
      <c r="C127" s="26"/>
      <c r="D127" s="40"/>
      <c r="E127" s="5"/>
    </row>
    <row r="128">
      <c r="A128" s="5"/>
      <c r="B128" s="7"/>
      <c r="C128" s="26"/>
      <c r="D128" s="40"/>
      <c r="E128" s="5"/>
    </row>
    <row r="129">
      <c r="A129" s="5"/>
      <c r="B129" s="7"/>
      <c r="C129" s="26"/>
      <c r="D129" s="40"/>
      <c r="E129" s="5"/>
    </row>
    <row r="130">
      <c r="A130" s="5"/>
      <c r="B130" s="7"/>
      <c r="C130" s="26"/>
      <c r="D130" s="40"/>
      <c r="E130" s="5"/>
    </row>
    <row r="131">
      <c r="A131" s="5"/>
      <c r="B131" s="7"/>
      <c r="C131" s="26"/>
      <c r="D131" s="40"/>
      <c r="E131" s="5"/>
    </row>
    <row r="132">
      <c r="A132" s="5"/>
      <c r="B132" s="7"/>
      <c r="C132" s="26"/>
      <c r="D132" s="40"/>
      <c r="E132" s="5"/>
    </row>
    <row r="133">
      <c r="A133" s="5"/>
      <c r="B133" s="7"/>
      <c r="C133" s="26"/>
      <c r="D133" s="40"/>
      <c r="E133" s="5"/>
    </row>
    <row r="134">
      <c r="A134" s="5"/>
      <c r="B134" s="7"/>
      <c r="C134" s="26"/>
      <c r="D134" s="40"/>
      <c r="E134" s="5"/>
    </row>
    <row r="135">
      <c r="A135" s="5"/>
      <c r="B135" s="7"/>
      <c r="C135" s="26"/>
      <c r="D135" s="40"/>
      <c r="E135" s="5"/>
    </row>
    <row r="136">
      <c r="A136" s="5"/>
      <c r="B136" s="7"/>
      <c r="C136" s="26"/>
      <c r="D136" s="40"/>
      <c r="E136" s="5"/>
    </row>
    <row r="137">
      <c r="A137" s="5"/>
      <c r="B137" s="7"/>
      <c r="C137" s="26"/>
      <c r="D137" s="40"/>
      <c r="E137" s="5"/>
    </row>
    <row r="138">
      <c r="A138" s="5"/>
      <c r="B138" s="7"/>
      <c r="C138" s="26"/>
      <c r="D138" s="40"/>
      <c r="E138" s="5"/>
    </row>
    <row r="139">
      <c r="A139" s="5"/>
      <c r="B139" s="7"/>
      <c r="C139" s="26"/>
      <c r="D139" s="40"/>
      <c r="E139" s="5"/>
    </row>
    <row r="140">
      <c r="A140" s="5"/>
      <c r="B140" s="7"/>
      <c r="C140" s="26"/>
      <c r="D140" s="40"/>
      <c r="E140" s="5"/>
    </row>
    <row r="141">
      <c r="A141" s="5"/>
      <c r="B141" s="7"/>
      <c r="C141" s="26"/>
      <c r="D141" s="40"/>
      <c r="E141" s="5"/>
    </row>
    <row r="142">
      <c r="A142" s="5"/>
      <c r="B142" s="7"/>
      <c r="C142" s="26"/>
      <c r="D142" s="40"/>
      <c r="E142" s="5"/>
    </row>
    <row r="143">
      <c r="A143" s="5"/>
      <c r="B143" s="7"/>
      <c r="C143" s="26"/>
      <c r="D143" s="40"/>
      <c r="E143" s="5"/>
    </row>
    <row r="144">
      <c r="A144" s="5"/>
      <c r="B144" s="7"/>
      <c r="C144" s="26"/>
      <c r="D144" s="40"/>
      <c r="E144" s="5"/>
    </row>
    <row r="145">
      <c r="A145" s="5"/>
      <c r="B145" s="7"/>
      <c r="C145" s="26"/>
      <c r="D145" s="40"/>
      <c r="E145" s="5"/>
    </row>
    <row r="146">
      <c r="A146" s="5"/>
      <c r="B146" s="7"/>
      <c r="C146" s="26"/>
      <c r="D146" s="40"/>
      <c r="E146" s="5"/>
    </row>
    <row r="147">
      <c r="A147" s="5"/>
      <c r="B147" s="7"/>
      <c r="C147" s="26"/>
      <c r="D147" s="40"/>
      <c r="E147" s="5"/>
    </row>
    <row r="148">
      <c r="A148" s="5"/>
      <c r="B148" s="7"/>
      <c r="C148" s="26"/>
      <c r="D148" s="40"/>
      <c r="E148" s="5"/>
    </row>
    <row r="149">
      <c r="A149" s="5"/>
      <c r="B149" s="7"/>
      <c r="C149" s="26"/>
      <c r="D149" s="40"/>
      <c r="E149" s="5"/>
    </row>
    <row r="150">
      <c r="A150" s="5"/>
      <c r="B150" s="7"/>
      <c r="C150" s="26"/>
      <c r="D150" s="40"/>
      <c r="E150" s="5"/>
    </row>
    <row r="151">
      <c r="A151" s="5"/>
      <c r="B151" s="7"/>
      <c r="C151" s="26"/>
      <c r="D151" s="40"/>
      <c r="E151" s="5"/>
    </row>
    <row r="152">
      <c r="A152" s="5"/>
      <c r="B152" s="7"/>
      <c r="C152" s="26"/>
      <c r="D152" s="40"/>
      <c r="E152" s="5"/>
    </row>
    <row r="153">
      <c r="A153" s="5"/>
      <c r="B153" s="7"/>
      <c r="C153" s="26"/>
      <c r="D153" s="40"/>
      <c r="E153" s="5"/>
    </row>
    <row r="154">
      <c r="A154" s="5"/>
      <c r="B154" s="7"/>
      <c r="C154" s="26"/>
      <c r="D154" s="40"/>
      <c r="E154" s="5"/>
    </row>
    <row r="155">
      <c r="A155" s="5"/>
      <c r="B155" s="7"/>
      <c r="C155" s="26"/>
      <c r="D155" s="40"/>
      <c r="E155" s="5"/>
    </row>
    <row r="156">
      <c r="A156" s="5"/>
      <c r="B156" s="7"/>
      <c r="C156" s="26"/>
      <c r="D156" s="40"/>
      <c r="E156" s="5"/>
    </row>
    <row r="157">
      <c r="A157" s="5"/>
      <c r="B157" s="7"/>
      <c r="C157" s="26"/>
      <c r="D157" s="40"/>
      <c r="E157" s="5"/>
    </row>
    <row r="158">
      <c r="A158" s="5"/>
      <c r="B158" s="7"/>
      <c r="C158" s="26"/>
      <c r="D158" s="40"/>
      <c r="E158" s="5"/>
    </row>
    <row r="159">
      <c r="A159" s="5"/>
      <c r="B159" s="7"/>
      <c r="C159" s="26"/>
      <c r="D159" s="40"/>
      <c r="E159" s="5"/>
    </row>
    <row r="160">
      <c r="A160" s="5"/>
      <c r="B160" s="7"/>
      <c r="C160" s="26"/>
      <c r="D160" s="40"/>
      <c r="E160" s="5"/>
    </row>
    <row r="161">
      <c r="A161" s="5"/>
      <c r="B161" s="7"/>
      <c r="C161" s="26"/>
      <c r="D161" s="40"/>
      <c r="E161" s="5"/>
    </row>
    <row r="162">
      <c r="A162" s="5"/>
      <c r="B162" s="7"/>
      <c r="C162" s="26"/>
      <c r="D162" s="40"/>
      <c r="E162" s="5"/>
    </row>
    <row r="163">
      <c r="A163" s="5"/>
      <c r="B163" s="7"/>
      <c r="C163" s="26"/>
      <c r="D163" s="40"/>
      <c r="E163" s="5"/>
    </row>
    <row r="164">
      <c r="A164" s="5"/>
      <c r="B164" s="7"/>
      <c r="C164" s="26"/>
      <c r="D164" s="40"/>
      <c r="E164" s="5"/>
    </row>
    <row r="165">
      <c r="A165" s="5"/>
      <c r="B165" s="7"/>
      <c r="C165" s="26"/>
      <c r="D165" s="40"/>
      <c r="E165" s="5"/>
    </row>
    <row r="166">
      <c r="A166" s="5"/>
      <c r="B166" s="7"/>
      <c r="C166" s="26"/>
      <c r="D166" s="40"/>
      <c r="E166" s="5"/>
    </row>
    <row r="167">
      <c r="A167" s="5"/>
      <c r="B167" s="7"/>
      <c r="C167" s="26"/>
      <c r="D167" s="40"/>
      <c r="E167" s="5"/>
    </row>
    <row r="168">
      <c r="A168" s="5"/>
      <c r="B168" s="7"/>
      <c r="C168" s="26"/>
      <c r="D168" s="40"/>
      <c r="E168" s="5"/>
    </row>
    <row r="169">
      <c r="A169" s="5"/>
      <c r="B169" s="7"/>
      <c r="C169" s="26"/>
      <c r="D169" s="40"/>
      <c r="E169" s="5"/>
    </row>
    <row r="170">
      <c r="A170" s="5"/>
      <c r="B170" s="7"/>
      <c r="C170" s="26"/>
      <c r="D170" s="40"/>
      <c r="E170" s="5"/>
    </row>
    <row r="171">
      <c r="A171" s="5"/>
      <c r="B171" s="7"/>
      <c r="C171" s="26"/>
      <c r="D171" s="40"/>
      <c r="E171" s="5"/>
    </row>
    <row r="172">
      <c r="A172" s="5"/>
      <c r="B172" s="7"/>
      <c r="C172" s="26"/>
      <c r="D172" s="40"/>
      <c r="E172" s="5"/>
    </row>
    <row r="173">
      <c r="A173" s="5"/>
      <c r="B173" s="7"/>
      <c r="C173" s="26"/>
      <c r="D173" s="40"/>
      <c r="E173" s="5"/>
    </row>
    <row r="174">
      <c r="A174" s="5"/>
      <c r="B174" s="7"/>
      <c r="C174" s="26"/>
      <c r="D174" s="40"/>
      <c r="E174" s="5"/>
    </row>
    <row r="175">
      <c r="A175" s="5"/>
      <c r="B175" s="7"/>
      <c r="C175" s="26"/>
      <c r="D175" s="40"/>
      <c r="E175" s="5"/>
    </row>
    <row r="176">
      <c r="A176" s="5"/>
      <c r="B176" s="7"/>
      <c r="C176" s="26"/>
      <c r="D176" s="40"/>
      <c r="E176" s="5"/>
    </row>
    <row r="177">
      <c r="A177" s="5"/>
      <c r="B177" s="7"/>
      <c r="C177" s="26"/>
      <c r="D177" s="40"/>
      <c r="E177" s="5"/>
    </row>
    <row r="178">
      <c r="A178" s="5"/>
      <c r="B178" s="7"/>
      <c r="C178" s="26"/>
      <c r="D178" s="40"/>
      <c r="E178" s="5"/>
    </row>
    <row r="179">
      <c r="A179" s="5"/>
      <c r="B179" s="7"/>
      <c r="C179" s="26"/>
      <c r="D179" s="40"/>
      <c r="E179" s="5"/>
    </row>
    <row r="180">
      <c r="A180" s="5"/>
      <c r="B180" s="7"/>
      <c r="C180" s="26"/>
      <c r="D180" s="40"/>
      <c r="E180" s="5"/>
    </row>
    <row r="181">
      <c r="A181" s="5"/>
      <c r="B181" s="7"/>
      <c r="C181" s="26"/>
      <c r="D181" s="40"/>
      <c r="E181" s="5"/>
    </row>
    <row r="182">
      <c r="A182" s="5"/>
      <c r="B182" s="7"/>
      <c r="C182" s="26"/>
      <c r="D182" s="40"/>
      <c r="E182" s="5"/>
    </row>
    <row r="183">
      <c r="A183" s="5"/>
      <c r="B183" s="7"/>
      <c r="C183" s="26"/>
      <c r="D183" s="40"/>
      <c r="E183" s="5"/>
    </row>
    <row r="184">
      <c r="A184" s="5"/>
      <c r="B184" s="7"/>
      <c r="C184" s="26"/>
      <c r="D184" s="40"/>
      <c r="E184" s="5"/>
    </row>
    <row r="185">
      <c r="A185" s="5"/>
      <c r="B185" s="7"/>
      <c r="C185" s="26"/>
      <c r="D185" s="40"/>
      <c r="E185" s="5"/>
    </row>
    <row r="186">
      <c r="A186" s="5"/>
      <c r="B186" s="7"/>
      <c r="C186" s="26"/>
      <c r="D186" s="40"/>
      <c r="E186" s="5"/>
    </row>
    <row r="187">
      <c r="A187" s="5"/>
      <c r="B187" s="7"/>
      <c r="C187" s="26"/>
      <c r="D187" s="40"/>
      <c r="E187" s="5"/>
    </row>
    <row r="188">
      <c r="A188" s="5"/>
      <c r="B188" s="7"/>
      <c r="C188" s="26"/>
      <c r="D188" s="40"/>
      <c r="E188" s="5"/>
    </row>
    <row r="189">
      <c r="A189" s="5"/>
      <c r="B189" s="7"/>
      <c r="C189" s="26"/>
      <c r="D189" s="40"/>
      <c r="E189" s="5"/>
    </row>
    <row r="190">
      <c r="A190" s="5"/>
      <c r="B190" s="7"/>
      <c r="C190" s="26"/>
      <c r="D190" s="40"/>
      <c r="E190" s="5"/>
    </row>
    <row r="191">
      <c r="A191" s="5"/>
      <c r="B191" s="7"/>
      <c r="C191" s="26"/>
      <c r="D191" s="40"/>
      <c r="E191" s="5"/>
    </row>
    <row r="192">
      <c r="A192" s="5"/>
      <c r="B192" s="7"/>
      <c r="C192" s="26"/>
      <c r="D192" s="40"/>
      <c r="E192" s="5"/>
    </row>
    <row r="193">
      <c r="A193" s="5"/>
      <c r="B193" s="7"/>
      <c r="C193" s="26"/>
      <c r="D193" s="40"/>
      <c r="E193" s="5"/>
    </row>
    <row r="194">
      <c r="A194" s="5"/>
      <c r="B194" s="7"/>
      <c r="C194" s="26"/>
      <c r="D194" s="40"/>
      <c r="E194" s="5"/>
    </row>
    <row r="195">
      <c r="A195" s="5"/>
      <c r="B195" s="7"/>
      <c r="C195" s="26"/>
      <c r="D195" s="40"/>
      <c r="E195" s="5"/>
    </row>
    <row r="196">
      <c r="A196" s="5"/>
      <c r="B196" s="7"/>
      <c r="C196" s="26"/>
      <c r="D196" s="40"/>
      <c r="E196" s="5"/>
    </row>
    <row r="197">
      <c r="A197" s="5"/>
      <c r="B197" s="7"/>
      <c r="C197" s="26"/>
      <c r="D197" s="40"/>
      <c r="E197" s="5"/>
    </row>
    <row r="198">
      <c r="A198" s="5"/>
      <c r="B198" s="7"/>
      <c r="C198" s="26"/>
      <c r="D198" s="40"/>
      <c r="E198" s="5"/>
    </row>
    <row r="199">
      <c r="A199" s="5"/>
      <c r="B199" s="7"/>
      <c r="C199" s="26"/>
      <c r="D199" s="40"/>
      <c r="E199" s="5"/>
    </row>
    <row r="200">
      <c r="A200" s="5"/>
      <c r="B200" s="7"/>
      <c r="C200" s="26"/>
      <c r="D200" s="40"/>
      <c r="E200" s="5"/>
    </row>
    <row r="201">
      <c r="A201" s="5"/>
      <c r="B201" s="7"/>
      <c r="C201" s="26"/>
      <c r="D201" s="40"/>
      <c r="E201" s="5"/>
    </row>
    <row r="202">
      <c r="A202" s="5"/>
      <c r="B202" s="7"/>
      <c r="C202" s="26"/>
      <c r="D202" s="40"/>
      <c r="E202" s="5"/>
    </row>
    <row r="203">
      <c r="A203" s="5"/>
      <c r="B203" s="7"/>
      <c r="C203" s="26"/>
      <c r="D203" s="40"/>
      <c r="E203" s="5"/>
    </row>
    <row r="204">
      <c r="A204" s="5"/>
      <c r="B204" s="7"/>
      <c r="C204" s="26"/>
      <c r="D204" s="40"/>
      <c r="E204" s="5"/>
    </row>
    <row r="205">
      <c r="A205" s="5"/>
      <c r="B205" s="7"/>
      <c r="C205" s="26"/>
      <c r="D205" s="40"/>
      <c r="E205" s="5"/>
    </row>
    <row r="206">
      <c r="A206" s="5"/>
      <c r="B206" s="7"/>
      <c r="C206" s="26"/>
      <c r="D206" s="40"/>
      <c r="E206" s="5"/>
    </row>
    <row r="207">
      <c r="A207" s="5"/>
      <c r="B207" s="7"/>
      <c r="C207" s="26"/>
      <c r="D207" s="40"/>
      <c r="E207" s="5"/>
    </row>
    <row r="208">
      <c r="A208" s="5"/>
      <c r="B208" s="7"/>
      <c r="C208" s="26"/>
      <c r="D208" s="40"/>
      <c r="E208" s="5"/>
    </row>
    <row r="209">
      <c r="A209" s="5"/>
      <c r="B209" s="7"/>
      <c r="C209" s="26"/>
      <c r="D209" s="40"/>
      <c r="E209" s="5"/>
    </row>
    <row r="210">
      <c r="A210" s="5"/>
      <c r="B210" s="7"/>
      <c r="C210" s="26"/>
      <c r="D210" s="40"/>
      <c r="E210" s="5"/>
    </row>
    <row r="211">
      <c r="A211" s="5"/>
      <c r="B211" s="7"/>
      <c r="C211" s="26"/>
      <c r="D211" s="40"/>
      <c r="E211" s="5"/>
    </row>
    <row r="212">
      <c r="A212" s="5"/>
      <c r="B212" s="7"/>
      <c r="C212" s="26"/>
      <c r="D212" s="40"/>
      <c r="E212" s="5"/>
    </row>
    <row r="213">
      <c r="A213" s="5"/>
      <c r="B213" s="7"/>
      <c r="C213" s="26"/>
      <c r="D213" s="40"/>
      <c r="E213" s="5"/>
    </row>
    <row r="214">
      <c r="A214" s="5"/>
      <c r="B214" s="7"/>
      <c r="C214" s="26"/>
      <c r="D214" s="40"/>
      <c r="E214" s="5"/>
    </row>
    <row r="215">
      <c r="A215" s="5"/>
      <c r="B215" s="7"/>
      <c r="C215" s="26"/>
      <c r="D215" s="40"/>
      <c r="E215" s="5"/>
    </row>
    <row r="216">
      <c r="A216" s="5"/>
      <c r="B216" s="7"/>
      <c r="C216" s="26"/>
      <c r="D216" s="40"/>
      <c r="E216" s="5"/>
    </row>
    <row r="217">
      <c r="A217" s="5"/>
      <c r="B217" s="7"/>
      <c r="C217" s="26"/>
      <c r="D217" s="40"/>
      <c r="E217" s="5"/>
    </row>
    <row r="218">
      <c r="A218" s="5"/>
      <c r="B218" s="7"/>
      <c r="C218" s="26"/>
      <c r="D218" s="40"/>
      <c r="E218" s="5"/>
    </row>
    <row r="219">
      <c r="A219" s="5"/>
      <c r="B219" s="7"/>
      <c r="C219" s="26"/>
      <c r="D219" s="40"/>
      <c r="E219" s="5"/>
    </row>
    <row r="220">
      <c r="A220" s="5"/>
      <c r="B220" s="7"/>
      <c r="C220" s="26"/>
      <c r="D220" s="40"/>
      <c r="E220" s="5"/>
    </row>
    <row r="221">
      <c r="A221" s="5"/>
      <c r="B221" s="7"/>
      <c r="C221" s="26"/>
      <c r="D221" s="40"/>
      <c r="E221" s="5"/>
    </row>
    <row r="222">
      <c r="A222" s="5"/>
      <c r="B222" s="7"/>
      <c r="C222" s="26"/>
      <c r="D222" s="40"/>
      <c r="E222" s="5"/>
    </row>
    <row r="223">
      <c r="A223" s="5"/>
      <c r="B223" s="7"/>
      <c r="C223" s="26"/>
      <c r="D223" s="40"/>
      <c r="E223" s="5"/>
    </row>
    <row r="224">
      <c r="A224" s="5"/>
      <c r="B224" s="7"/>
      <c r="C224" s="26"/>
      <c r="D224" s="40"/>
      <c r="E224" s="5"/>
    </row>
    <row r="225">
      <c r="A225" s="5"/>
      <c r="B225" s="7"/>
      <c r="C225" s="26"/>
      <c r="D225" s="40"/>
      <c r="E225" s="5"/>
    </row>
    <row r="226">
      <c r="A226" s="5"/>
      <c r="B226" s="7"/>
      <c r="C226" s="26"/>
      <c r="D226" s="40"/>
      <c r="E226" s="5"/>
    </row>
    <row r="227">
      <c r="A227" s="5"/>
      <c r="B227" s="7"/>
      <c r="C227" s="26"/>
      <c r="D227" s="40"/>
      <c r="E227" s="5"/>
    </row>
    <row r="228">
      <c r="A228" s="5"/>
      <c r="B228" s="7"/>
      <c r="C228" s="26"/>
      <c r="D228" s="40"/>
      <c r="E228" s="5"/>
    </row>
    <row r="229">
      <c r="A229" s="5"/>
      <c r="B229" s="7"/>
      <c r="C229" s="26"/>
      <c r="D229" s="40"/>
      <c r="E229" s="5"/>
    </row>
    <row r="230">
      <c r="A230" s="5"/>
      <c r="B230" s="7"/>
      <c r="C230" s="26"/>
      <c r="D230" s="40"/>
      <c r="E230" s="5"/>
    </row>
    <row r="231">
      <c r="A231" s="5"/>
      <c r="B231" s="7"/>
      <c r="C231" s="26"/>
      <c r="D231" s="40"/>
      <c r="E231" s="5"/>
    </row>
    <row r="232">
      <c r="A232" s="5"/>
      <c r="B232" s="7"/>
      <c r="C232" s="26"/>
      <c r="D232" s="40"/>
      <c r="E232" s="5"/>
    </row>
    <row r="233">
      <c r="A233" s="5"/>
      <c r="B233" s="7"/>
      <c r="C233" s="26"/>
      <c r="D233" s="40"/>
      <c r="E233" s="5"/>
    </row>
    <row r="234">
      <c r="A234" s="5"/>
      <c r="B234" s="7"/>
      <c r="C234" s="26"/>
      <c r="D234" s="40"/>
      <c r="E234" s="5"/>
    </row>
    <row r="235">
      <c r="A235" s="5"/>
      <c r="B235" s="7"/>
      <c r="C235" s="26"/>
      <c r="D235" s="40"/>
      <c r="E235" s="5"/>
    </row>
    <row r="236">
      <c r="A236" s="5"/>
      <c r="B236" s="7"/>
      <c r="C236" s="26"/>
      <c r="D236" s="40"/>
      <c r="E236" s="5"/>
    </row>
    <row r="237">
      <c r="A237" s="5"/>
      <c r="B237" s="7"/>
      <c r="C237" s="26"/>
      <c r="D237" s="40"/>
      <c r="E237" s="5"/>
    </row>
    <row r="238">
      <c r="A238" s="5"/>
      <c r="B238" s="7"/>
      <c r="C238" s="26"/>
      <c r="D238" s="40"/>
      <c r="E238" s="5"/>
    </row>
    <row r="239">
      <c r="A239" s="5"/>
      <c r="B239" s="7"/>
      <c r="C239" s="26"/>
      <c r="D239" s="40"/>
      <c r="E239" s="5"/>
    </row>
    <row r="240">
      <c r="A240" s="5"/>
      <c r="B240" s="7"/>
      <c r="C240" s="26"/>
      <c r="D240" s="40"/>
      <c r="E240" s="5"/>
    </row>
    <row r="241">
      <c r="A241" s="5"/>
      <c r="B241" s="7"/>
      <c r="C241" s="26"/>
      <c r="D241" s="40"/>
      <c r="E241" s="5"/>
    </row>
    <row r="242">
      <c r="A242" s="5"/>
      <c r="B242" s="7"/>
      <c r="C242" s="26"/>
      <c r="D242" s="40"/>
      <c r="E242" s="5"/>
    </row>
    <row r="243">
      <c r="A243" s="5"/>
      <c r="B243" s="7"/>
      <c r="C243" s="26"/>
      <c r="D243" s="40"/>
      <c r="E243" s="5"/>
    </row>
    <row r="244">
      <c r="A244" s="5"/>
      <c r="B244" s="7"/>
      <c r="C244" s="26"/>
      <c r="D244" s="40"/>
      <c r="E244" s="5"/>
    </row>
    <row r="245">
      <c r="A245" s="5"/>
      <c r="B245" s="7"/>
      <c r="C245" s="26"/>
      <c r="D245" s="40"/>
      <c r="E245" s="5"/>
    </row>
    <row r="246">
      <c r="A246" s="5"/>
      <c r="B246" s="7"/>
      <c r="C246" s="26"/>
      <c r="D246" s="40"/>
      <c r="E246" s="5"/>
    </row>
    <row r="247">
      <c r="A247" s="5"/>
      <c r="B247" s="7"/>
      <c r="C247" s="26"/>
      <c r="D247" s="40"/>
      <c r="E247" s="5"/>
    </row>
    <row r="248">
      <c r="A248" s="5"/>
      <c r="B248" s="7"/>
      <c r="C248" s="26"/>
      <c r="D248" s="40"/>
      <c r="E248" s="5"/>
    </row>
    <row r="249">
      <c r="A249" s="5"/>
      <c r="B249" s="7"/>
      <c r="C249" s="26"/>
      <c r="D249" s="40"/>
      <c r="E249" s="5"/>
    </row>
    <row r="250">
      <c r="A250" s="5"/>
      <c r="B250" s="7"/>
      <c r="C250" s="26"/>
      <c r="D250" s="40"/>
      <c r="E250" s="5"/>
    </row>
    <row r="251">
      <c r="A251" s="5"/>
      <c r="B251" s="7"/>
      <c r="C251" s="26"/>
      <c r="D251" s="40"/>
      <c r="E251" s="5"/>
    </row>
    <row r="252">
      <c r="A252" s="5"/>
      <c r="B252" s="7"/>
      <c r="C252" s="26"/>
      <c r="D252" s="40"/>
      <c r="E252" s="5"/>
    </row>
    <row r="253">
      <c r="A253" s="5"/>
      <c r="B253" s="7"/>
      <c r="C253" s="26"/>
      <c r="D253" s="40"/>
      <c r="E253" s="5"/>
    </row>
    <row r="254">
      <c r="A254" s="5"/>
      <c r="B254" s="7"/>
      <c r="C254" s="26"/>
      <c r="D254" s="40"/>
      <c r="E254" s="5"/>
    </row>
    <row r="255">
      <c r="A255" s="5"/>
      <c r="B255" s="7"/>
      <c r="C255" s="26"/>
      <c r="D255" s="40"/>
      <c r="E255" s="5"/>
    </row>
    <row r="256">
      <c r="A256" s="5"/>
      <c r="B256" s="7"/>
      <c r="C256" s="26"/>
      <c r="D256" s="40"/>
      <c r="E256" s="5"/>
    </row>
    <row r="257">
      <c r="A257" s="5"/>
      <c r="B257" s="7"/>
      <c r="C257" s="26"/>
      <c r="D257" s="40"/>
      <c r="E257" s="5"/>
    </row>
    <row r="258">
      <c r="A258" s="5"/>
      <c r="B258" s="7"/>
      <c r="C258" s="26"/>
      <c r="D258" s="40"/>
      <c r="E258" s="5"/>
    </row>
    <row r="259">
      <c r="A259" s="5"/>
      <c r="B259" s="7"/>
      <c r="C259" s="26"/>
      <c r="D259" s="40"/>
      <c r="E259" s="5"/>
    </row>
    <row r="260">
      <c r="A260" s="5"/>
      <c r="B260" s="7"/>
      <c r="C260" s="26"/>
      <c r="D260" s="40"/>
      <c r="E260" s="5"/>
    </row>
    <row r="261">
      <c r="A261" s="5"/>
      <c r="B261" s="7"/>
      <c r="C261" s="26"/>
      <c r="D261" s="40"/>
      <c r="E261" s="5"/>
    </row>
    <row r="262">
      <c r="A262" s="5"/>
      <c r="B262" s="7"/>
      <c r="C262" s="26"/>
      <c r="D262" s="40"/>
      <c r="E262" s="5"/>
    </row>
    <row r="263">
      <c r="A263" s="5"/>
      <c r="B263" s="7"/>
      <c r="C263" s="26"/>
      <c r="D263" s="40"/>
      <c r="E263" s="5"/>
    </row>
    <row r="264">
      <c r="A264" s="5"/>
      <c r="B264" s="7"/>
      <c r="C264" s="26"/>
      <c r="D264" s="40"/>
      <c r="E264" s="5"/>
    </row>
    <row r="265">
      <c r="A265" s="5"/>
      <c r="B265" s="7"/>
      <c r="C265" s="26"/>
      <c r="D265" s="40"/>
      <c r="E265" s="5"/>
    </row>
    <row r="266">
      <c r="A266" s="5"/>
      <c r="B266" s="7"/>
      <c r="C266" s="26"/>
      <c r="D266" s="40"/>
      <c r="E266" s="5"/>
    </row>
    <row r="267">
      <c r="A267" s="5"/>
      <c r="B267" s="7"/>
      <c r="C267" s="26"/>
      <c r="D267" s="40"/>
      <c r="E267" s="5"/>
    </row>
    <row r="268">
      <c r="A268" s="5"/>
      <c r="B268" s="7"/>
      <c r="C268" s="26"/>
      <c r="D268" s="40"/>
      <c r="E268" s="5"/>
    </row>
    <row r="269">
      <c r="A269" s="5"/>
      <c r="B269" s="7"/>
      <c r="C269" s="26"/>
      <c r="D269" s="40"/>
      <c r="E269" s="5"/>
    </row>
    <row r="270">
      <c r="A270" s="5"/>
      <c r="B270" s="7"/>
      <c r="C270" s="26"/>
      <c r="D270" s="40"/>
      <c r="E270" s="5"/>
    </row>
    <row r="271">
      <c r="A271" s="5"/>
      <c r="B271" s="7"/>
      <c r="C271" s="26"/>
      <c r="D271" s="40"/>
      <c r="E271" s="5"/>
    </row>
    <row r="272">
      <c r="A272" s="5"/>
      <c r="B272" s="7"/>
      <c r="C272" s="26"/>
      <c r="D272" s="40"/>
      <c r="E272" s="5"/>
    </row>
    <row r="273">
      <c r="A273" s="5"/>
      <c r="B273" s="7"/>
      <c r="C273" s="26"/>
      <c r="D273" s="40"/>
      <c r="E273" s="5"/>
    </row>
    <row r="274">
      <c r="A274" s="5"/>
      <c r="B274" s="7"/>
      <c r="C274" s="26"/>
      <c r="D274" s="40"/>
      <c r="E274" s="5"/>
    </row>
    <row r="275">
      <c r="A275" s="5"/>
      <c r="B275" s="7"/>
      <c r="C275" s="26"/>
      <c r="D275" s="40"/>
      <c r="E275" s="5"/>
    </row>
    <row r="276">
      <c r="A276" s="5"/>
      <c r="B276" s="7"/>
      <c r="C276" s="26"/>
      <c r="D276" s="40"/>
      <c r="E276" s="5"/>
    </row>
    <row r="277">
      <c r="A277" s="5"/>
      <c r="B277" s="7"/>
      <c r="C277" s="26"/>
      <c r="D277" s="40"/>
      <c r="E277" s="5"/>
    </row>
    <row r="278">
      <c r="A278" s="5"/>
      <c r="B278" s="7"/>
      <c r="C278" s="26"/>
      <c r="D278" s="40"/>
      <c r="E278" s="5"/>
    </row>
    <row r="279">
      <c r="A279" s="5"/>
      <c r="B279" s="7"/>
      <c r="C279" s="26"/>
      <c r="D279" s="40"/>
      <c r="E279" s="5"/>
    </row>
    <row r="280">
      <c r="A280" s="5"/>
      <c r="B280" s="7"/>
      <c r="C280" s="26"/>
      <c r="D280" s="40"/>
      <c r="E280" s="5"/>
    </row>
    <row r="281">
      <c r="A281" s="5"/>
      <c r="B281" s="7"/>
      <c r="C281" s="26"/>
      <c r="D281" s="40"/>
      <c r="E281" s="5"/>
    </row>
    <row r="282">
      <c r="A282" s="5"/>
      <c r="B282" s="7"/>
      <c r="C282" s="26"/>
      <c r="D282" s="40"/>
      <c r="E282" s="5"/>
    </row>
    <row r="283">
      <c r="A283" s="5"/>
      <c r="B283" s="7"/>
      <c r="C283" s="26"/>
      <c r="D283" s="40"/>
      <c r="E283" s="5"/>
    </row>
    <row r="284">
      <c r="A284" s="5"/>
      <c r="B284" s="7"/>
      <c r="C284" s="26"/>
      <c r="D284" s="40"/>
      <c r="E284" s="5"/>
    </row>
    <row r="285">
      <c r="A285" s="5"/>
      <c r="B285" s="7"/>
      <c r="C285" s="26"/>
      <c r="D285" s="40"/>
      <c r="E285" s="5"/>
    </row>
    <row r="286">
      <c r="A286" s="5"/>
      <c r="B286" s="7"/>
      <c r="C286" s="26"/>
      <c r="D286" s="40"/>
      <c r="E286" s="5"/>
    </row>
    <row r="287">
      <c r="A287" s="5"/>
      <c r="B287" s="7"/>
      <c r="C287" s="26"/>
      <c r="D287" s="40"/>
      <c r="E287" s="5"/>
    </row>
    <row r="288">
      <c r="A288" s="5"/>
      <c r="B288" s="7"/>
      <c r="C288" s="26"/>
      <c r="D288" s="40"/>
      <c r="E288" s="5"/>
    </row>
    <row r="289">
      <c r="A289" s="5"/>
      <c r="B289" s="7"/>
      <c r="C289" s="26"/>
      <c r="D289" s="40"/>
      <c r="E289" s="5"/>
    </row>
    <row r="290">
      <c r="A290" s="5"/>
      <c r="B290" s="7"/>
      <c r="C290" s="26"/>
      <c r="D290" s="40"/>
      <c r="E290" s="5"/>
    </row>
    <row r="291">
      <c r="A291" s="5"/>
      <c r="B291" s="7"/>
      <c r="C291" s="26"/>
      <c r="D291" s="40"/>
      <c r="E291" s="5"/>
    </row>
    <row r="292">
      <c r="A292" s="5"/>
      <c r="B292" s="7"/>
      <c r="C292" s="26"/>
      <c r="D292" s="40"/>
      <c r="E292" s="5"/>
    </row>
    <row r="293">
      <c r="A293" s="5"/>
      <c r="B293" s="7"/>
      <c r="C293" s="26"/>
      <c r="D293" s="40"/>
      <c r="E293" s="5"/>
    </row>
    <row r="294">
      <c r="A294" s="5"/>
      <c r="B294" s="7"/>
      <c r="C294" s="26"/>
      <c r="D294" s="40"/>
      <c r="E294" s="5"/>
    </row>
    <row r="295">
      <c r="A295" s="5"/>
      <c r="B295" s="7"/>
      <c r="C295" s="26"/>
      <c r="D295" s="40"/>
      <c r="E295" s="5"/>
    </row>
    <row r="296">
      <c r="A296" s="5"/>
      <c r="B296" s="7"/>
      <c r="C296" s="26"/>
      <c r="D296" s="40"/>
      <c r="E296" s="5"/>
    </row>
    <row r="297">
      <c r="A297" s="5"/>
      <c r="B297" s="7"/>
      <c r="C297" s="26"/>
      <c r="D297" s="40"/>
      <c r="E297" s="5"/>
    </row>
    <row r="298">
      <c r="A298" s="5"/>
      <c r="B298" s="7"/>
      <c r="C298" s="26"/>
      <c r="D298" s="40"/>
      <c r="E298" s="5"/>
    </row>
    <row r="299">
      <c r="A299" s="5"/>
      <c r="B299" s="7"/>
      <c r="C299" s="26"/>
      <c r="D299" s="40"/>
      <c r="E299" s="5"/>
    </row>
    <row r="300">
      <c r="A300" s="5"/>
      <c r="B300" s="7"/>
      <c r="C300" s="26"/>
      <c r="D300" s="40"/>
      <c r="E300" s="5"/>
    </row>
    <row r="301">
      <c r="A301" s="5"/>
      <c r="B301" s="7"/>
      <c r="C301" s="26"/>
      <c r="D301" s="40"/>
      <c r="E301" s="5"/>
    </row>
    <row r="302">
      <c r="A302" s="5"/>
      <c r="B302" s="7"/>
      <c r="C302" s="26"/>
      <c r="D302" s="40"/>
      <c r="E302" s="5"/>
    </row>
    <row r="303">
      <c r="A303" s="5"/>
      <c r="B303" s="7"/>
      <c r="C303" s="26"/>
      <c r="D303" s="40"/>
      <c r="E303" s="5"/>
    </row>
    <row r="304">
      <c r="A304" s="5"/>
      <c r="B304" s="7"/>
      <c r="C304" s="26"/>
      <c r="D304" s="40"/>
      <c r="E304" s="5"/>
    </row>
    <row r="305">
      <c r="A305" s="5"/>
      <c r="B305" s="7"/>
      <c r="C305" s="26"/>
      <c r="D305" s="40"/>
      <c r="E305" s="5"/>
    </row>
    <row r="306">
      <c r="A306" s="5"/>
      <c r="B306" s="7"/>
      <c r="C306" s="26"/>
      <c r="D306" s="40"/>
      <c r="E306" s="5"/>
    </row>
    <row r="307">
      <c r="A307" s="5"/>
      <c r="B307" s="7"/>
      <c r="C307" s="26"/>
      <c r="D307" s="40"/>
      <c r="E307" s="5"/>
    </row>
    <row r="308">
      <c r="A308" s="5"/>
      <c r="B308" s="7"/>
      <c r="C308" s="26"/>
      <c r="D308" s="40"/>
      <c r="E308" s="5"/>
    </row>
    <row r="309">
      <c r="A309" s="5"/>
      <c r="B309" s="7"/>
      <c r="C309" s="26"/>
      <c r="D309" s="40"/>
      <c r="E309" s="5"/>
    </row>
    <row r="310">
      <c r="A310" s="5"/>
      <c r="B310" s="7"/>
      <c r="C310" s="26"/>
      <c r="D310" s="40"/>
      <c r="E310" s="5"/>
    </row>
    <row r="311">
      <c r="A311" s="5"/>
      <c r="B311" s="7"/>
      <c r="C311" s="26"/>
      <c r="D311" s="40"/>
      <c r="E311" s="5"/>
    </row>
    <row r="312">
      <c r="A312" s="5"/>
      <c r="B312" s="7"/>
      <c r="C312" s="26"/>
      <c r="D312" s="40"/>
      <c r="E312" s="5"/>
    </row>
    <row r="313">
      <c r="A313" s="5"/>
      <c r="B313" s="7"/>
      <c r="C313" s="26"/>
      <c r="D313" s="40"/>
      <c r="E313" s="5"/>
    </row>
    <row r="314">
      <c r="A314" s="5"/>
      <c r="B314" s="7"/>
      <c r="C314" s="26"/>
      <c r="D314" s="40"/>
      <c r="E314" s="5"/>
    </row>
    <row r="315">
      <c r="A315" s="5"/>
      <c r="B315" s="7"/>
      <c r="C315" s="26"/>
      <c r="D315" s="40"/>
      <c r="E315" s="5"/>
    </row>
    <row r="316">
      <c r="A316" s="5"/>
      <c r="B316" s="7"/>
      <c r="C316" s="26"/>
      <c r="D316" s="40"/>
      <c r="E316" s="5"/>
    </row>
    <row r="317">
      <c r="A317" s="5"/>
      <c r="B317" s="7"/>
      <c r="C317" s="26"/>
      <c r="D317" s="40"/>
      <c r="E317" s="5"/>
    </row>
    <row r="318">
      <c r="A318" s="5"/>
      <c r="B318" s="7"/>
      <c r="C318" s="26"/>
      <c r="D318" s="40"/>
      <c r="E318" s="5"/>
    </row>
    <row r="319">
      <c r="A319" s="5"/>
      <c r="B319" s="7"/>
      <c r="C319" s="26"/>
      <c r="D319" s="40"/>
      <c r="E319" s="5"/>
    </row>
    <row r="320">
      <c r="A320" s="5"/>
      <c r="B320" s="7"/>
      <c r="C320" s="26"/>
      <c r="D320" s="40"/>
      <c r="E320" s="5"/>
    </row>
    <row r="321">
      <c r="A321" s="5"/>
      <c r="B321" s="7"/>
      <c r="C321" s="26"/>
      <c r="D321" s="40"/>
      <c r="E321" s="5"/>
    </row>
    <row r="322">
      <c r="A322" s="5"/>
      <c r="B322" s="7"/>
      <c r="C322" s="26"/>
      <c r="D322" s="40"/>
      <c r="E322" s="5"/>
    </row>
    <row r="323">
      <c r="A323" s="5"/>
      <c r="B323" s="7"/>
      <c r="C323" s="26"/>
      <c r="D323" s="40"/>
      <c r="E323" s="5"/>
    </row>
    <row r="324">
      <c r="A324" s="5"/>
      <c r="B324" s="7"/>
      <c r="C324" s="26"/>
      <c r="D324" s="40"/>
      <c r="E324" s="5"/>
    </row>
    <row r="325">
      <c r="A325" s="5"/>
      <c r="B325" s="7"/>
      <c r="C325" s="26"/>
      <c r="D325" s="40"/>
      <c r="E325" s="5"/>
    </row>
    <row r="326">
      <c r="A326" s="5"/>
      <c r="B326" s="7"/>
      <c r="C326" s="26"/>
      <c r="D326" s="40"/>
      <c r="E326" s="5"/>
    </row>
    <row r="327">
      <c r="A327" s="5"/>
      <c r="B327" s="7"/>
      <c r="C327" s="26"/>
      <c r="D327" s="40"/>
      <c r="E327" s="5"/>
    </row>
    <row r="328">
      <c r="A328" s="5"/>
      <c r="B328" s="7"/>
      <c r="C328" s="26"/>
      <c r="D328" s="40"/>
      <c r="E328" s="5"/>
    </row>
    <row r="329">
      <c r="A329" s="5"/>
      <c r="B329" s="7"/>
      <c r="C329" s="26"/>
      <c r="D329" s="40"/>
      <c r="E329" s="5"/>
    </row>
    <row r="330">
      <c r="A330" s="5"/>
      <c r="B330" s="7"/>
      <c r="C330" s="26"/>
      <c r="D330" s="40"/>
      <c r="E330" s="5"/>
    </row>
    <row r="331">
      <c r="A331" s="5"/>
      <c r="B331" s="7"/>
      <c r="C331" s="26"/>
      <c r="D331" s="40"/>
      <c r="E331" s="5"/>
    </row>
    <row r="332">
      <c r="A332" s="5"/>
      <c r="B332" s="7"/>
      <c r="C332" s="26"/>
      <c r="D332" s="40"/>
      <c r="E332" s="5"/>
    </row>
    <row r="333">
      <c r="A333" s="5"/>
      <c r="B333" s="7"/>
      <c r="C333" s="26"/>
      <c r="D333" s="40"/>
      <c r="E333" s="5"/>
    </row>
    <row r="334">
      <c r="A334" s="5"/>
      <c r="B334" s="7"/>
      <c r="C334" s="26"/>
      <c r="D334" s="40"/>
      <c r="E334" s="5"/>
    </row>
    <row r="335">
      <c r="A335" s="5"/>
      <c r="B335" s="7"/>
      <c r="C335" s="26"/>
      <c r="D335" s="40"/>
      <c r="E335" s="5"/>
    </row>
    <row r="336">
      <c r="A336" s="5"/>
      <c r="B336" s="7"/>
      <c r="C336" s="26"/>
      <c r="D336" s="40"/>
      <c r="E336" s="5"/>
    </row>
    <row r="337">
      <c r="A337" s="5"/>
      <c r="B337" s="7"/>
      <c r="C337" s="26"/>
      <c r="D337" s="40"/>
      <c r="E337" s="5"/>
    </row>
    <row r="338">
      <c r="A338" s="5"/>
      <c r="B338" s="7"/>
      <c r="C338" s="26"/>
      <c r="D338" s="40"/>
      <c r="E338" s="5"/>
    </row>
    <row r="339">
      <c r="A339" s="5"/>
      <c r="B339" s="7"/>
      <c r="C339" s="26"/>
      <c r="D339" s="40"/>
      <c r="E339" s="5"/>
    </row>
    <row r="340">
      <c r="A340" s="5"/>
      <c r="B340" s="7"/>
      <c r="C340" s="26"/>
      <c r="D340" s="40"/>
      <c r="E340" s="5"/>
    </row>
    <row r="341">
      <c r="A341" s="5"/>
      <c r="B341" s="7"/>
      <c r="C341" s="26"/>
      <c r="D341" s="40"/>
      <c r="E341" s="5"/>
    </row>
    <row r="342">
      <c r="A342" s="5"/>
      <c r="B342" s="7"/>
      <c r="C342" s="26"/>
      <c r="D342" s="40"/>
      <c r="E342" s="5"/>
    </row>
    <row r="343">
      <c r="A343" s="5"/>
      <c r="B343" s="7"/>
      <c r="C343" s="26"/>
      <c r="D343" s="40"/>
      <c r="E343" s="5"/>
    </row>
    <row r="344">
      <c r="A344" s="5"/>
      <c r="B344" s="7"/>
      <c r="C344" s="26"/>
      <c r="D344" s="40"/>
      <c r="E344" s="5"/>
    </row>
    <row r="345">
      <c r="A345" s="5"/>
      <c r="B345" s="7"/>
      <c r="C345" s="26"/>
      <c r="D345" s="40"/>
      <c r="E345" s="5"/>
    </row>
    <row r="346">
      <c r="A346" s="5"/>
      <c r="B346" s="7"/>
      <c r="C346" s="26"/>
      <c r="D346" s="40"/>
      <c r="E346" s="5"/>
    </row>
    <row r="347">
      <c r="A347" s="5"/>
      <c r="B347" s="7"/>
      <c r="C347" s="26"/>
      <c r="D347" s="40"/>
      <c r="E347" s="5"/>
    </row>
    <row r="348">
      <c r="A348" s="5"/>
      <c r="B348" s="7"/>
      <c r="C348" s="26"/>
      <c r="D348" s="40"/>
      <c r="E348" s="5"/>
    </row>
    <row r="349">
      <c r="A349" s="5"/>
      <c r="B349" s="7"/>
      <c r="C349" s="26"/>
      <c r="D349" s="40"/>
      <c r="E349" s="5"/>
    </row>
    <row r="350">
      <c r="A350" s="5"/>
      <c r="B350" s="7"/>
      <c r="C350" s="26"/>
      <c r="D350" s="40"/>
      <c r="E350" s="5"/>
    </row>
    <row r="351">
      <c r="A351" s="5"/>
      <c r="B351" s="7"/>
      <c r="C351" s="26"/>
      <c r="D351" s="40"/>
      <c r="E351" s="5"/>
    </row>
    <row r="352">
      <c r="A352" s="5"/>
      <c r="B352" s="7"/>
      <c r="C352" s="26"/>
      <c r="D352" s="40"/>
      <c r="E352" s="5"/>
    </row>
    <row r="353">
      <c r="A353" s="5"/>
      <c r="B353" s="7"/>
      <c r="C353" s="26"/>
      <c r="D353" s="40"/>
      <c r="E353" s="5"/>
    </row>
    <row r="354">
      <c r="A354" s="5"/>
      <c r="B354" s="7"/>
      <c r="C354" s="26"/>
      <c r="D354" s="40"/>
      <c r="E354" s="5"/>
    </row>
    <row r="355">
      <c r="A355" s="5"/>
      <c r="B355" s="7"/>
      <c r="C355" s="26"/>
      <c r="D355" s="40"/>
      <c r="E355" s="5"/>
    </row>
    <row r="356">
      <c r="A356" s="5"/>
      <c r="B356" s="7"/>
      <c r="C356" s="26"/>
      <c r="D356" s="40"/>
      <c r="E356" s="5"/>
    </row>
    <row r="357">
      <c r="A357" s="5"/>
      <c r="B357" s="7"/>
      <c r="C357" s="26"/>
      <c r="D357" s="40"/>
      <c r="E357" s="5"/>
    </row>
    <row r="358">
      <c r="A358" s="5"/>
      <c r="B358" s="7"/>
      <c r="C358" s="26"/>
      <c r="D358" s="40"/>
      <c r="E358" s="5"/>
    </row>
    <row r="359">
      <c r="A359" s="5"/>
      <c r="B359" s="7"/>
      <c r="C359" s="26"/>
      <c r="D359" s="40"/>
      <c r="E359" s="5"/>
    </row>
    <row r="360">
      <c r="A360" s="5"/>
      <c r="B360" s="7"/>
      <c r="C360" s="26"/>
      <c r="D360" s="40"/>
      <c r="E360" s="5"/>
    </row>
    <row r="361">
      <c r="A361" s="5"/>
      <c r="B361" s="7"/>
      <c r="C361" s="26"/>
      <c r="D361" s="40"/>
      <c r="E361" s="5"/>
    </row>
    <row r="362">
      <c r="A362" s="5"/>
      <c r="B362" s="7"/>
      <c r="C362" s="26"/>
      <c r="D362" s="40"/>
      <c r="E362" s="5"/>
    </row>
    <row r="363">
      <c r="A363" s="5"/>
      <c r="B363" s="7"/>
      <c r="C363" s="26"/>
      <c r="D363" s="40"/>
      <c r="E363" s="5"/>
    </row>
    <row r="364">
      <c r="A364" s="5"/>
      <c r="B364" s="7"/>
      <c r="C364" s="26"/>
      <c r="D364" s="40"/>
      <c r="E364" s="5"/>
    </row>
    <row r="365">
      <c r="A365" s="5"/>
      <c r="B365" s="7"/>
      <c r="C365" s="26"/>
      <c r="D365" s="40"/>
      <c r="E365" s="5"/>
    </row>
    <row r="366">
      <c r="A366" s="5"/>
      <c r="B366" s="7"/>
      <c r="C366" s="26"/>
      <c r="D366" s="40"/>
      <c r="E366" s="5"/>
    </row>
    <row r="367">
      <c r="A367" s="5"/>
      <c r="B367" s="7"/>
      <c r="C367" s="26"/>
      <c r="D367" s="40"/>
      <c r="E367" s="5"/>
    </row>
    <row r="368">
      <c r="A368" s="5"/>
      <c r="B368" s="7"/>
      <c r="C368" s="26"/>
      <c r="D368" s="40"/>
      <c r="E368" s="5"/>
    </row>
    <row r="369">
      <c r="A369" s="5"/>
      <c r="B369" s="7"/>
      <c r="C369" s="26"/>
      <c r="D369" s="40"/>
      <c r="E369" s="5"/>
    </row>
    <row r="370">
      <c r="A370" s="5"/>
      <c r="B370" s="7"/>
      <c r="C370" s="26"/>
      <c r="D370" s="40"/>
      <c r="E370" s="5"/>
    </row>
    <row r="371">
      <c r="A371" s="5"/>
      <c r="B371" s="7"/>
      <c r="C371" s="26"/>
      <c r="D371" s="40"/>
      <c r="E371" s="5"/>
    </row>
    <row r="372">
      <c r="A372" s="5"/>
      <c r="B372" s="7"/>
      <c r="C372" s="26"/>
      <c r="D372" s="40"/>
      <c r="E372" s="5"/>
    </row>
    <row r="373">
      <c r="A373" s="5"/>
      <c r="B373" s="7"/>
      <c r="C373" s="26"/>
      <c r="D373" s="40"/>
      <c r="E373" s="5"/>
    </row>
    <row r="374">
      <c r="A374" s="5"/>
      <c r="B374" s="7"/>
      <c r="C374" s="26"/>
      <c r="D374" s="40"/>
      <c r="E374" s="5"/>
    </row>
    <row r="375">
      <c r="A375" s="5"/>
      <c r="B375" s="7"/>
      <c r="C375" s="26"/>
      <c r="D375" s="40"/>
      <c r="E375" s="5"/>
    </row>
    <row r="376">
      <c r="A376" s="5"/>
      <c r="B376" s="7"/>
      <c r="C376" s="26"/>
      <c r="D376" s="40"/>
      <c r="E376" s="5"/>
    </row>
    <row r="377">
      <c r="A377" s="5"/>
      <c r="B377" s="7"/>
      <c r="C377" s="26"/>
      <c r="D377" s="40"/>
      <c r="E377" s="5"/>
    </row>
    <row r="378">
      <c r="A378" s="5"/>
      <c r="B378" s="7"/>
      <c r="C378" s="26"/>
      <c r="D378" s="40"/>
      <c r="E378" s="5"/>
    </row>
    <row r="379">
      <c r="A379" s="5"/>
      <c r="B379" s="7"/>
      <c r="C379" s="26"/>
      <c r="D379" s="40"/>
      <c r="E379" s="5"/>
    </row>
    <row r="380">
      <c r="A380" s="5"/>
      <c r="B380" s="7"/>
      <c r="C380" s="26"/>
      <c r="D380" s="40"/>
      <c r="E380" s="5"/>
    </row>
    <row r="381">
      <c r="A381" s="5"/>
      <c r="B381" s="7"/>
      <c r="C381" s="26"/>
      <c r="D381" s="40"/>
      <c r="E381" s="5"/>
    </row>
    <row r="382">
      <c r="A382" s="5"/>
      <c r="B382" s="7"/>
      <c r="C382" s="26"/>
      <c r="D382" s="40"/>
      <c r="E382" s="5"/>
    </row>
    <row r="383">
      <c r="A383" s="5"/>
      <c r="B383" s="7"/>
      <c r="C383" s="26"/>
      <c r="D383" s="40"/>
      <c r="E383" s="5"/>
    </row>
    <row r="384">
      <c r="A384" s="5"/>
      <c r="B384" s="7"/>
      <c r="C384" s="26"/>
      <c r="D384" s="40"/>
      <c r="E384" s="5"/>
    </row>
    <row r="385">
      <c r="A385" s="5"/>
      <c r="B385" s="7"/>
      <c r="C385" s="26"/>
      <c r="D385" s="40"/>
      <c r="E385" s="5"/>
    </row>
    <row r="386">
      <c r="A386" s="5"/>
      <c r="B386" s="7"/>
      <c r="C386" s="26"/>
      <c r="D386" s="40"/>
      <c r="E386" s="5"/>
    </row>
    <row r="387">
      <c r="A387" s="5"/>
      <c r="B387" s="7"/>
      <c r="C387" s="26"/>
      <c r="D387" s="40"/>
      <c r="E387" s="5"/>
    </row>
    <row r="388">
      <c r="A388" s="5"/>
      <c r="B388" s="7"/>
      <c r="C388" s="26"/>
      <c r="D388" s="40"/>
      <c r="E388" s="5"/>
    </row>
    <row r="389">
      <c r="A389" s="5"/>
      <c r="B389" s="7"/>
      <c r="C389" s="26"/>
      <c r="D389" s="40"/>
      <c r="E389" s="5"/>
    </row>
    <row r="390">
      <c r="A390" s="5"/>
      <c r="B390" s="7"/>
      <c r="C390" s="26"/>
      <c r="D390" s="40"/>
      <c r="E390" s="5"/>
    </row>
    <row r="391">
      <c r="A391" s="5"/>
      <c r="B391" s="7"/>
      <c r="C391" s="26"/>
      <c r="D391" s="40"/>
      <c r="E391" s="5"/>
    </row>
    <row r="392">
      <c r="A392" s="5"/>
      <c r="B392" s="7"/>
      <c r="C392" s="26"/>
      <c r="D392" s="40"/>
      <c r="E392" s="5"/>
    </row>
    <row r="393">
      <c r="A393" s="5"/>
      <c r="B393" s="7"/>
      <c r="C393" s="26"/>
      <c r="D393" s="40"/>
      <c r="E393" s="5"/>
    </row>
    <row r="394">
      <c r="A394" s="5"/>
      <c r="B394" s="7"/>
      <c r="C394" s="26"/>
      <c r="D394" s="40"/>
      <c r="E394" s="5"/>
    </row>
    <row r="395">
      <c r="A395" s="5"/>
      <c r="B395" s="7"/>
      <c r="C395" s="26"/>
      <c r="D395" s="40"/>
      <c r="E395" s="5"/>
    </row>
    <row r="396">
      <c r="A396" s="5"/>
      <c r="B396" s="7"/>
      <c r="C396" s="26"/>
      <c r="D396" s="40"/>
      <c r="E396" s="5"/>
    </row>
    <row r="397">
      <c r="A397" s="5"/>
      <c r="B397" s="7"/>
      <c r="C397" s="26"/>
      <c r="D397" s="40"/>
      <c r="E397" s="5"/>
    </row>
    <row r="398">
      <c r="A398" s="5"/>
      <c r="B398" s="7"/>
      <c r="C398" s="26"/>
      <c r="D398" s="40"/>
      <c r="E398" s="5"/>
    </row>
    <row r="399">
      <c r="A399" s="5"/>
      <c r="B399" s="7"/>
      <c r="C399" s="26"/>
      <c r="D399" s="40"/>
      <c r="E399" s="5"/>
    </row>
    <row r="400">
      <c r="A400" s="5"/>
      <c r="B400" s="7"/>
      <c r="C400" s="26"/>
      <c r="D400" s="40"/>
      <c r="E400" s="5"/>
    </row>
    <row r="401">
      <c r="A401" s="5"/>
      <c r="B401" s="7"/>
      <c r="C401" s="26"/>
      <c r="D401" s="40"/>
      <c r="E401" s="5"/>
    </row>
    <row r="402">
      <c r="A402" s="5"/>
      <c r="B402" s="7"/>
      <c r="C402" s="26"/>
      <c r="D402" s="40"/>
      <c r="E402" s="5"/>
    </row>
    <row r="403">
      <c r="A403" s="5"/>
      <c r="B403" s="7"/>
      <c r="C403" s="26"/>
      <c r="D403" s="40"/>
      <c r="E403" s="5"/>
    </row>
    <row r="404">
      <c r="A404" s="5"/>
      <c r="B404" s="7"/>
      <c r="C404" s="26"/>
      <c r="D404" s="40"/>
      <c r="E404" s="5"/>
    </row>
    <row r="405">
      <c r="A405" s="5"/>
      <c r="B405" s="7"/>
      <c r="C405" s="26"/>
      <c r="D405" s="40"/>
      <c r="E405" s="5"/>
    </row>
    <row r="406">
      <c r="A406" s="5"/>
      <c r="B406" s="7"/>
      <c r="C406" s="26"/>
      <c r="D406" s="40"/>
      <c r="E406" s="5"/>
    </row>
    <row r="407">
      <c r="A407" s="5"/>
      <c r="B407" s="7"/>
      <c r="C407" s="26"/>
      <c r="D407" s="40"/>
      <c r="E407" s="5"/>
    </row>
    <row r="408">
      <c r="A408" s="5"/>
      <c r="B408" s="7"/>
      <c r="C408" s="26"/>
      <c r="D408" s="40"/>
      <c r="E408" s="5"/>
    </row>
    <row r="409">
      <c r="A409" s="5"/>
      <c r="B409" s="7"/>
      <c r="C409" s="26"/>
      <c r="D409" s="40"/>
      <c r="E409" s="5"/>
    </row>
    <row r="410">
      <c r="A410" s="5"/>
      <c r="B410" s="7"/>
      <c r="C410" s="26"/>
      <c r="D410" s="40"/>
      <c r="E410" s="5"/>
    </row>
    <row r="411">
      <c r="A411" s="5"/>
      <c r="B411" s="7"/>
      <c r="C411" s="26"/>
      <c r="D411" s="40"/>
      <c r="E411" s="5"/>
    </row>
    <row r="412">
      <c r="A412" s="5"/>
      <c r="B412" s="7"/>
      <c r="C412" s="26"/>
      <c r="D412" s="40"/>
      <c r="E412" s="5"/>
    </row>
    <row r="413">
      <c r="A413" s="5"/>
      <c r="B413" s="7"/>
      <c r="C413" s="26"/>
      <c r="D413" s="40"/>
      <c r="E413" s="5"/>
    </row>
    <row r="414">
      <c r="A414" s="5"/>
      <c r="B414" s="7"/>
      <c r="C414" s="26"/>
      <c r="D414" s="40"/>
      <c r="E414" s="5"/>
    </row>
    <row r="415">
      <c r="A415" s="5"/>
      <c r="B415" s="7"/>
      <c r="C415" s="26"/>
      <c r="D415" s="40"/>
      <c r="E415" s="5"/>
    </row>
    <row r="416">
      <c r="A416" s="5"/>
      <c r="B416" s="7"/>
      <c r="C416" s="26"/>
      <c r="D416" s="40"/>
      <c r="E416" s="5"/>
    </row>
    <row r="417">
      <c r="A417" s="5"/>
      <c r="B417" s="7"/>
      <c r="C417" s="26"/>
      <c r="D417" s="40"/>
      <c r="E417" s="5"/>
    </row>
    <row r="418">
      <c r="A418" s="5"/>
      <c r="B418" s="7"/>
      <c r="C418" s="26"/>
      <c r="D418" s="40"/>
      <c r="E418" s="5"/>
    </row>
    <row r="419">
      <c r="A419" s="5"/>
      <c r="B419" s="7"/>
      <c r="C419" s="26"/>
      <c r="D419" s="40"/>
      <c r="E419" s="5"/>
    </row>
    <row r="420">
      <c r="A420" s="5"/>
      <c r="B420" s="7"/>
      <c r="C420" s="26"/>
      <c r="D420" s="40"/>
      <c r="E420" s="5"/>
    </row>
    <row r="421">
      <c r="A421" s="5"/>
      <c r="B421" s="7"/>
      <c r="C421" s="26"/>
      <c r="D421" s="40"/>
      <c r="E421" s="5"/>
    </row>
    <row r="422">
      <c r="A422" s="5"/>
      <c r="B422" s="7"/>
      <c r="C422" s="26"/>
      <c r="D422" s="40"/>
      <c r="E422" s="5"/>
    </row>
    <row r="423">
      <c r="A423" s="5"/>
      <c r="B423" s="7"/>
      <c r="C423" s="26"/>
      <c r="D423" s="40"/>
      <c r="E423" s="5"/>
    </row>
    <row r="424">
      <c r="A424" s="5"/>
      <c r="B424" s="7"/>
      <c r="C424" s="26"/>
      <c r="D424" s="40"/>
      <c r="E424" s="5"/>
    </row>
    <row r="425">
      <c r="A425" s="5"/>
      <c r="B425" s="7"/>
      <c r="C425" s="26"/>
      <c r="D425" s="40"/>
      <c r="E425" s="5"/>
    </row>
    <row r="426">
      <c r="A426" s="5"/>
      <c r="B426" s="7"/>
      <c r="C426" s="26"/>
      <c r="D426" s="40"/>
      <c r="E426" s="5"/>
    </row>
    <row r="427">
      <c r="A427" s="5"/>
      <c r="B427" s="7"/>
      <c r="C427" s="26"/>
      <c r="D427" s="40"/>
      <c r="E427" s="5"/>
    </row>
    <row r="428">
      <c r="A428" s="5"/>
      <c r="B428" s="7"/>
      <c r="C428" s="26"/>
      <c r="D428" s="40"/>
      <c r="E428" s="5"/>
    </row>
    <row r="429">
      <c r="A429" s="5"/>
      <c r="B429" s="7"/>
      <c r="C429" s="26"/>
      <c r="D429" s="40"/>
      <c r="E429" s="5"/>
    </row>
    <row r="430">
      <c r="A430" s="5"/>
      <c r="B430" s="7"/>
      <c r="C430" s="26"/>
      <c r="D430" s="40"/>
      <c r="E430" s="5"/>
    </row>
    <row r="431">
      <c r="A431" s="5"/>
      <c r="B431" s="7"/>
      <c r="C431" s="26"/>
      <c r="D431" s="40"/>
      <c r="E431" s="5"/>
    </row>
    <row r="432">
      <c r="A432" s="5"/>
      <c r="B432" s="7"/>
      <c r="C432" s="26"/>
      <c r="D432" s="40"/>
      <c r="E432" s="5"/>
    </row>
    <row r="433">
      <c r="A433" s="5"/>
      <c r="B433" s="7"/>
      <c r="C433" s="26"/>
      <c r="D433" s="40"/>
      <c r="E433" s="5"/>
    </row>
    <row r="434">
      <c r="A434" s="5"/>
      <c r="B434" s="7"/>
      <c r="C434" s="26"/>
      <c r="D434" s="40"/>
      <c r="E434" s="5"/>
    </row>
    <row r="435">
      <c r="A435" s="5"/>
      <c r="B435" s="7"/>
      <c r="C435" s="26"/>
      <c r="D435" s="40"/>
      <c r="E435" s="5"/>
    </row>
    <row r="436">
      <c r="A436" s="5"/>
      <c r="B436" s="7"/>
      <c r="C436" s="26"/>
      <c r="D436" s="40"/>
      <c r="E436" s="5"/>
    </row>
    <row r="437">
      <c r="A437" s="5"/>
      <c r="B437" s="7"/>
      <c r="C437" s="26"/>
      <c r="D437" s="40"/>
      <c r="E437" s="5"/>
    </row>
    <row r="438">
      <c r="A438" s="5"/>
      <c r="B438" s="7"/>
      <c r="C438" s="26"/>
      <c r="D438" s="40"/>
      <c r="E438" s="5"/>
    </row>
    <row r="439">
      <c r="A439" s="5"/>
      <c r="B439" s="7"/>
      <c r="C439" s="26"/>
      <c r="D439" s="40"/>
      <c r="E439" s="5"/>
    </row>
    <row r="440">
      <c r="A440" s="5"/>
      <c r="B440" s="7"/>
      <c r="C440" s="26"/>
      <c r="D440" s="40"/>
      <c r="E440" s="5"/>
    </row>
    <row r="441">
      <c r="A441" s="5"/>
      <c r="B441" s="7"/>
      <c r="C441" s="26"/>
      <c r="D441" s="40"/>
      <c r="E441" s="5"/>
    </row>
    <row r="442">
      <c r="A442" s="5"/>
      <c r="B442" s="7"/>
      <c r="C442" s="26"/>
      <c r="D442" s="40"/>
      <c r="E442" s="5"/>
    </row>
    <row r="443">
      <c r="A443" s="5"/>
      <c r="B443" s="7"/>
      <c r="C443" s="26"/>
      <c r="D443" s="40"/>
      <c r="E443" s="5"/>
    </row>
    <row r="444">
      <c r="A444" s="5"/>
      <c r="B444" s="7"/>
      <c r="C444" s="26"/>
      <c r="D444" s="40"/>
      <c r="E444" s="5"/>
    </row>
    <row r="445">
      <c r="A445" s="5"/>
      <c r="B445" s="7"/>
      <c r="C445" s="26"/>
      <c r="D445" s="40"/>
      <c r="E445" s="5"/>
    </row>
    <row r="446">
      <c r="A446" s="5"/>
      <c r="B446" s="7"/>
      <c r="C446" s="26"/>
      <c r="D446" s="40"/>
      <c r="E446" s="5"/>
    </row>
    <row r="447">
      <c r="A447" s="5"/>
      <c r="B447" s="7"/>
      <c r="C447" s="26"/>
      <c r="D447" s="40"/>
      <c r="E447" s="5"/>
    </row>
    <row r="448">
      <c r="A448" s="5"/>
      <c r="B448" s="7"/>
      <c r="C448" s="26"/>
      <c r="D448" s="40"/>
      <c r="E448" s="5"/>
    </row>
    <row r="449">
      <c r="A449" s="5"/>
      <c r="B449" s="7"/>
      <c r="C449" s="26"/>
      <c r="D449" s="40"/>
      <c r="E449" s="5"/>
    </row>
    <row r="450">
      <c r="A450" s="5"/>
      <c r="B450" s="7"/>
      <c r="C450" s="26"/>
      <c r="D450" s="40"/>
      <c r="E450" s="5"/>
    </row>
    <row r="451">
      <c r="A451" s="5"/>
      <c r="B451" s="7"/>
      <c r="C451" s="26"/>
      <c r="D451" s="40"/>
      <c r="E451" s="5"/>
    </row>
    <row r="452">
      <c r="A452" s="5"/>
      <c r="B452" s="7"/>
      <c r="C452" s="26"/>
      <c r="D452" s="40"/>
      <c r="E452" s="5"/>
    </row>
    <row r="453">
      <c r="A453" s="5"/>
      <c r="B453" s="7"/>
      <c r="C453" s="26"/>
      <c r="D453" s="40"/>
      <c r="E453" s="5"/>
    </row>
    <row r="454">
      <c r="A454" s="5"/>
      <c r="B454" s="7"/>
      <c r="C454" s="26"/>
      <c r="D454" s="40"/>
      <c r="E454" s="5"/>
    </row>
    <row r="455">
      <c r="A455" s="5"/>
      <c r="B455" s="7"/>
      <c r="C455" s="26"/>
      <c r="D455" s="40"/>
      <c r="E455" s="5"/>
    </row>
    <row r="456">
      <c r="A456" s="5"/>
      <c r="B456" s="7"/>
      <c r="C456" s="26"/>
      <c r="D456" s="40"/>
      <c r="E456" s="5"/>
    </row>
    <row r="457">
      <c r="A457" s="5"/>
      <c r="B457" s="7"/>
      <c r="C457" s="26"/>
      <c r="D457" s="40"/>
      <c r="E457" s="5"/>
    </row>
    <row r="458">
      <c r="A458" s="5"/>
      <c r="B458" s="7"/>
      <c r="C458" s="26"/>
      <c r="D458" s="40"/>
      <c r="E458" s="5"/>
    </row>
    <row r="459">
      <c r="A459" s="5"/>
      <c r="B459" s="7"/>
      <c r="C459" s="26"/>
      <c r="D459" s="40"/>
      <c r="E459" s="5"/>
    </row>
    <row r="460">
      <c r="A460" s="5"/>
      <c r="B460" s="7"/>
      <c r="C460" s="26"/>
      <c r="D460" s="40"/>
      <c r="E460" s="5"/>
    </row>
    <row r="461">
      <c r="A461" s="5"/>
      <c r="B461" s="7"/>
      <c r="C461" s="26"/>
      <c r="D461" s="40"/>
      <c r="E461" s="5"/>
    </row>
    <row r="462">
      <c r="A462" s="5"/>
      <c r="B462" s="7"/>
      <c r="C462" s="26"/>
      <c r="D462" s="40"/>
      <c r="E462" s="5"/>
    </row>
    <row r="463">
      <c r="A463" s="5"/>
      <c r="B463" s="7"/>
      <c r="C463" s="26"/>
      <c r="D463" s="40"/>
      <c r="E463" s="5"/>
    </row>
    <row r="464">
      <c r="A464" s="5"/>
      <c r="B464" s="7"/>
      <c r="C464" s="26"/>
      <c r="D464" s="40"/>
      <c r="E464" s="5"/>
    </row>
    <row r="465">
      <c r="A465" s="5"/>
      <c r="B465" s="7"/>
      <c r="C465" s="26"/>
      <c r="D465" s="40"/>
      <c r="E465" s="5"/>
    </row>
    <row r="466">
      <c r="A466" s="5"/>
      <c r="B466" s="7"/>
      <c r="C466" s="26"/>
      <c r="D466" s="40"/>
      <c r="E466" s="5"/>
    </row>
    <row r="467">
      <c r="A467" s="5"/>
      <c r="B467" s="7"/>
      <c r="C467" s="26"/>
      <c r="D467" s="40"/>
      <c r="E467" s="5"/>
    </row>
    <row r="468">
      <c r="A468" s="5"/>
      <c r="B468" s="7"/>
      <c r="C468" s="26"/>
      <c r="D468" s="40"/>
      <c r="E468" s="5"/>
    </row>
    <row r="469">
      <c r="A469" s="5"/>
      <c r="B469" s="7"/>
      <c r="C469" s="26"/>
      <c r="D469" s="40"/>
      <c r="E469" s="5"/>
    </row>
    <row r="470">
      <c r="A470" s="5"/>
      <c r="B470" s="7"/>
      <c r="C470" s="26"/>
      <c r="D470" s="40"/>
      <c r="E470" s="5"/>
    </row>
    <row r="471">
      <c r="A471" s="5"/>
      <c r="B471" s="7"/>
      <c r="C471" s="26"/>
      <c r="D471" s="40"/>
      <c r="E471" s="5"/>
    </row>
    <row r="472">
      <c r="A472" s="5"/>
      <c r="B472" s="7"/>
      <c r="C472" s="26"/>
      <c r="D472" s="40"/>
      <c r="E472" s="5"/>
    </row>
    <row r="473">
      <c r="A473" s="5"/>
      <c r="B473" s="7"/>
      <c r="C473" s="26"/>
      <c r="D473" s="40"/>
      <c r="E473" s="5"/>
    </row>
    <row r="474">
      <c r="A474" s="5"/>
      <c r="B474" s="7"/>
      <c r="C474" s="26"/>
      <c r="D474" s="40"/>
      <c r="E474" s="5"/>
    </row>
    <row r="475">
      <c r="A475" s="5"/>
      <c r="B475" s="7"/>
      <c r="C475" s="26"/>
      <c r="D475" s="40"/>
      <c r="E475" s="5"/>
    </row>
    <row r="476">
      <c r="A476" s="5"/>
      <c r="B476" s="7"/>
      <c r="C476" s="26"/>
      <c r="D476" s="40"/>
      <c r="E476" s="5"/>
    </row>
    <row r="477">
      <c r="A477" s="5"/>
      <c r="B477" s="7"/>
      <c r="C477" s="26"/>
      <c r="D477" s="40"/>
      <c r="E477" s="5"/>
    </row>
    <row r="478">
      <c r="A478" s="5"/>
      <c r="B478" s="7"/>
      <c r="C478" s="26"/>
      <c r="D478" s="40"/>
      <c r="E478" s="5"/>
    </row>
    <row r="479">
      <c r="A479" s="5"/>
      <c r="B479" s="7"/>
      <c r="C479" s="26"/>
      <c r="D479" s="40"/>
      <c r="E479" s="5"/>
    </row>
    <row r="480">
      <c r="A480" s="5"/>
      <c r="B480" s="7"/>
      <c r="C480" s="26"/>
      <c r="D480" s="40"/>
      <c r="E480" s="5"/>
    </row>
    <row r="481">
      <c r="A481" s="5"/>
      <c r="B481" s="7"/>
      <c r="C481" s="26"/>
      <c r="D481" s="40"/>
      <c r="E481" s="5"/>
    </row>
    <row r="482">
      <c r="A482" s="5"/>
      <c r="B482" s="7"/>
      <c r="C482" s="26"/>
      <c r="D482" s="40"/>
      <c r="E482" s="5"/>
    </row>
    <row r="483">
      <c r="A483" s="5"/>
      <c r="B483" s="7"/>
      <c r="C483" s="26"/>
      <c r="D483" s="40"/>
      <c r="E483" s="5"/>
    </row>
    <row r="484">
      <c r="A484" s="5"/>
      <c r="B484" s="7"/>
      <c r="C484" s="26"/>
      <c r="D484" s="40"/>
      <c r="E484" s="5"/>
    </row>
    <row r="485">
      <c r="A485" s="5"/>
      <c r="B485" s="7"/>
      <c r="C485" s="26"/>
      <c r="D485" s="40"/>
      <c r="E485" s="5"/>
    </row>
    <row r="486">
      <c r="A486" s="5"/>
      <c r="B486" s="7"/>
      <c r="C486" s="26"/>
      <c r="D486" s="40"/>
      <c r="E486" s="5"/>
    </row>
    <row r="487">
      <c r="A487" s="5"/>
      <c r="B487" s="7"/>
      <c r="C487" s="26"/>
      <c r="D487" s="40"/>
      <c r="E487" s="5"/>
    </row>
    <row r="488">
      <c r="A488" s="5"/>
      <c r="B488" s="7"/>
      <c r="C488" s="26"/>
      <c r="D488" s="40"/>
      <c r="E488" s="5"/>
    </row>
    <row r="489">
      <c r="A489" s="5"/>
      <c r="B489" s="7"/>
      <c r="C489" s="26"/>
      <c r="D489" s="40"/>
      <c r="E489" s="5"/>
    </row>
    <row r="490">
      <c r="A490" s="5"/>
      <c r="B490" s="7"/>
      <c r="C490" s="26"/>
      <c r="D490" s="40"/>
      <c r="E490" s="5"/>
    </row>
    <row r="491">
      <c r="A491" s="5"/>
      <c r="B491" s="7"/>
      <c r="C491" s="26"/>
      <c r="D491" s="40"/>
      <c r="E491" s="5"/>
    </row>
    <row r="492">
      <c r="A492" s="5"/>
      <c r="B492" s="7"/>
      <c r="C492" s="26"/>
      <c r="D492" s="40"/>
      <c r="E492" s="5"/>
    </row>
    <row r="493">
      <c r="A493" s="5"/>
      <c r="B493" s="7"/>
      <c r="C493" s="26"/>
      <c r="D493" s="40"/>
      <c r="E493" s="5"/>
    </row>
    <row r="494">
      <c r="A494" s="5"/>
      <c r="B494" s="7"/>
      <c r="C494" s="26"/>
      <c r="D494" s="40"/>
      <c r="E494" s="5"/>
    </row>
    <row r="495">
      <c r="A495" s="5"/>
      <c r="B495" s="7"/>
      <c r="C495" s="26"/>
      <c r="D495" s="40"/>
      <c r="E495" s="5"/>
    </row>
    <row r="496">
      <c r="A496" s="5"/>
      <c r="B496" s="7"/>
      <c r="C496" s="26"/>
      <c r="D496" s="40"/>
      <c r="E496" s="5"/>
    </row>
    <row r="497">
      <c r="A497" s="5"/>
      <c r="B497" s="7"/>
      <c r="C497" s="26"/>
      <c r="D497" s="40"/>
      <c r="E497" s="5"/>
    </row>
    <row r="498">
      <c r="A498" s="5"/>
      <c r="B498" s="7"/>
      <c r="C498" s="26"/>
      <c r="D498" s="40"/>
      <c r="E498" s="5"/>
    </row>
    <row r="499">
      <c r="A499" s="5"/>
      <c r="B499" s="7"/>
      <c r="C499" s="26"/>
      <c r="D499" s="40"/>
      <c r="E499" s="5"/>
    </row>
    <row r="500">
      <c r="A500" s="5"/>
      <c r="B500" s="7"/>
      <c r="C500" s="26"/>
      <c r="D500" s="40"/>
      <c r="E500" s="5"/>
    </row>
    <row r="501">
      <c r="A501" s="5"/>
      <c r="B501" s="7"/>
      <c r="C501" s="26"/>
      <c r="D501" s="40"/>
      <c r="E501" s="5"/>
    </row>
    <row r="502">
      <c r="A502" s="5"/>
      <c r="B502" s="7"/>
      <c r="C502" s="26"/>
      <c r="D502" s="40"/>
      <c r="E502" s="5"/>
    </row>
    <row r="503">
      <c r="A503" s="5"/>
      <c r="B503" s="7"/>
      <c r="C503" s="26"/>
      <c r="D503" s="40"/>
      <c r="E503" s="5"/>
    </row>
    <row r="504">
      <c r="A504" s="5"/>
      <c r="B504" s="7"/>
      <c r="C504" s="26"/>
      <c r="D504" s="40"/>
      <c r="E504" s="5"/>
    </row>
    <row r="505">
      <c r="A505" s="5"/>
      <c r="B505" s="7"/>
      <c r="C505" s="26"/>
      <c r="D505" s="40"/>
      <c r="E505" s="5"/>
    </row>
    <row r="506">
      <c r="A506" s="5"/>
      <c r="B506" s="7"/>
      <c r="C506" s="26"/>
      <c r="D506" s="40"/>
      <c r="E506" s="5"/>
    </row>
    <row r="507">
      <c r="A507" s="5"/>
      <c r="B507" s="7"/>
      <c r="C507" s="26"/>
      <c r="D507" s="40"/>
      <c r="E507" s="5"/>
    </row>
    <row r="508">
      <c r="A508" s="5"/>
      <c r="B508" s="7"/>
      <c r="C508" s="26"/>
      <c r="D508" s="40"/>
      <c r="E508" s="5"/>
    </row>
    <row r="509">
      <c r="A509" s="5"/>
      <c r="B509" s="7"/>
      <c r="C509" s="26"/>
      <c r="D509" s="40"/>
      <c r="E509" s="5"/>
    </row>
    <row r="510">
      <c r="A510" s="5"/>
      <c r="B510" s="7"/>
      <c r="C510" s="26"/>
      <c r="D510" s="40"/>
      <c r="E510" s="5"/>
    </row>
    <row r="511">
      <c r="A511" s="5"/>
      <c r="B511" s="7"/>
      <c r="C511" s="26"/>
      <c r="D511" s="40"/>
      <c r="E511" s="5"/>
    </row>
    <row r="512">
      <c r="A512" s="5"/>
      <c r="B512" s="7"/>
      <c r="C512" s="26"/>
      <c r="D512" s="40"/>
      <c r="E512" s="5"/>
    </row>
    <row r="513">
      <c r="A513" s="5"/>
      <c r="B513" s="7"/>
      <c r="C513" s="26"/>
      <c r="D513" s="40"/>
      <c r="E513" s="5"/>
    </row>
    <row r="514">
      <c r="A514" s="5"/>
      <c r="B514" s="7"/>
      <c r="C514" s="26"/>
      <c r="D514" s="40"/>
      <c r="E514" s="5"/>
    </row>
    <row r="515">
      <c r="A515" s="5"/>
      <c r="B515" s="7"/>
      <c r="C515" s="26"/>
      <c r="D515" s="40"/>
      <c r="E515" s="5"/>
    </row>
    <row r="516">
      <c r="A516" s="5"/>
      <c r="B516" s="7"/>
      <c r="C516" s="26"/>
      <c r="D516" s="40"/>
      <c r="E516" s="5"/>
    </row>
    <row r="517">
      <c r="A517" s="5"/>
      <c r="B517" s="7"/>
      <c r="C517" s="26"/>
      <c r="D517" s="40"/>
      <c r="E517" s="5"/>
    </row>
    <row r="518">
      <c r="A518" s="5"/>
      <c r="B518" s="7"/>
      <c r="C518" s="26"/>
      <c r="D518" s="40"/>
      <c r="E518" s="5"/>
    </row>
    <row r="519">
      <c r="A519" s="5"/>
      <c r="B519" s="7"/>
      <c r="C519" s="26"/>
      <c r="D519" s="40"/>
      <c r="E519" s="5"/>
    </row>
    <row r="520">
      <c r="A520" s="5"/>
      <c r="B520" s="7"/>
      <c r="C520" s="26"/>
      <c r="D520" s="40"/>
      <c r="E520" s="5"/>
    </row>
    <row r="521">
      <c r="A521" s="5"/>
      <c r="B521" s="7"/>
      <c r="C521" s="26"/>
      <c r="D521" s="40"/>
      <c r="E521" s="5"/>
    </row>
    <row r="522">
      <c r="A522" s="5"/>
      <c r="B522" s="7"/>
      <c r="C522" s="26"/>
      <c r="D522" s="40"/>
      <c r="E522" s="5"/>
    </row>
    <row r="523">
      <c r="A523" s="5"/>
      <c r="B523" s="7"/>
      <c r="C523" s="26"/>
      <c r="D523" s="40"/>
      <c r="E523" s="5"/>
    </row>
    <row r="524">
      <c r="A524" s="5"/>
      <c r="B524" s="7"/>
      <c r="C524" s="26"/>
      <c r="D524" s="40"/>
      <c r="E524" s="5"/>
    </row>
    <row r="525">
      <c r="A525" s="5"/>
      <c r="B525" s="7"/>
      <c r="C525" s="26"/>
      <c r="D525" s="40"/>
      <c r="E525" s="5"/>
    </row>
    <row r="526">
      <c r="A526" s="5"/>
      <c r="B526" s="7"/>
      <c r="C526" s="26"/>
      <c r="D526" s="40"/>
      <c r="E526" s="5"/>
    </row>
    <row r="527">
      <c r="A527" s="5"/>
      <c r="B527" s="7"/>
      <c r="C527" s="26"/>
      <c r="D527" s="40"/>
      <c r="E527" s="5"/>
    </row>
    <row r="528">
      <c r="A528" s="5"/>
      <c r="B528" s="7"/>
      <c r="C528" s="26"/>
      <c r="D528" s="40"/>
      <c r="E528" s="5"/>
    </row>
    <row r="529">
      <c r="A529" s="5"/>
      <c r="B529" s="7"/>
      <c r="C529" s="26"/>
      <c r="D529" s="40"/>
      <c r="E529" s="5"/>
    </row>
    <row r="530">
      <c r="A530" s="5"/>
      <c r="B530" s="7"/>
      <c r="C530" s="26"/>
      <c r="D530" s="40"/>
      <c r="E530" s="5"/>
    </row>
    <row r="531">
      <c r="A531" s="5"/>
      <c r="B531" s="7"/>
      <c r="C531" s="26"/>
      <c r="D531" s="40"/>
      <c r="E531" s="5"/>
    </row>
    <row r="532">
      <c r="A532" s="5"/>
      <c r="B532" s="7"/>
      <c r="C532" s="26"/>
      <c r="D532" s="40"/>
      <c r="E532" s="5"/>
    </row>
    <row r="533">
      <c r="A533" s="5"/>
      <c r="B533" s="7"/>
      <c r="C533" s="26"/>
      <c r="D533" s="40"/>
      <c r="E533" s="5"/>
    </row>
    <row r="534">
      <c r="A534" s="5"/>
      <c r="B534" s="7"/>
      <c r="C534" s="26"/>
      <c r="D534" s="40"/>
      <c r="E534" s="5"/>
    </row>
    <row r="535">
      <c r="A535" s="5"/>
      <c r="B535" s="7"/>
      <c r="C535" s="26"/>
      <c r="D535" s="40"/>
      <c r="E535" s="5"/>
    </row>
    <row r="536">
      <c r="A536" s="5"/>
      <c r="B536" s="7"/>
      <c r="C536" s="26"/>
      <c r="D536" s="40"/>
      <c r="E536" s="5"/>
    </row>
    <row r="537">
      <c r="A537" s="5"/>
      <c r="B537" s="7"/>
      <c r="C537" s="26"/>
      <c r="D537" s="40"/>
      <c r="E537" s="5"/>
    </row>
    <row r="538">
      <c r="A538" s="5"/>
      <c r="B538" s="7"/>
      <c r="C538" s="26"/>
      <c r="D538" s="40"/>
      <c r="E538" s="5"/>
    </row>
    <row r="539">
      <c r="A539" s="5"/>
      <c r="B539" s="7"/>
      <c r="C539" s="26"/>
      <c r="D539" s="40"/>
      <c r="E539" s="5"/>
    </row>
    <row r="540">
      <c r="A540" s="5"/>
      <c r="B540" s="7"/>
      <c r="C540" s="26"/>
      <c r="D540" s="40"/>
      <c r="E540" s="5"/>
    </row>
    <row r="541">
      <c r="A541" s="5"/>
      <c r="B541" s="7"/>
      <c r="C541" s="26"/>
      <c r="D541" s="40"/>
      <c r="E541" s="5"/>
    </row>
    <row r="542">
      <c r="A542" s="5"/>
      <c r="B542" s="7"/>
      <c r="C542" s="26"/>
      <c r="D542" s="40"/>
      <c r="E542" s="5"/>
    </row>
    <row r="543">
      <c r="A543" s="5"/>
      <c r="B543" s="7"/>
      <c r="C543" s="26"/>
      <c r="D543" s="40"/>
      <c r="E543" s="5"/>
    </row>
    <row r="544">
      <c r="A544" s="5"/>
      <c r="B544" s="7"/>
      <c r="C544" s="26"/>
      <c r="D544" s="40"/>
      <c r="E544" s="5"/>
    </row>
    <row r="545">
      <c r="A545" s="5"/>
      <c r="B545" s="7"/>
      <c r="C545" s="26"/>
      <c r="D545" s="40"/>
      <c r="E545" s="5"/>
    </row>
    <row r="546">
      <c r="A546" s="5"/>
      <c r="B546" s="7"/>
      <c r="C546" s="26"/>
      <c r="D546" s="40"/>
      <c r="E546" s="5"/>
    </row>
    <row r="547">
      <c r="A547" s="5"/>
      <c r="B547" s="7"/>
      <c r="C547" s="26"/>
      <c r="D547" s="40"/>
      <c r="E547" s="5"/>
    </row>
    <row r="548">
      <c r="A548" s="5"/>
      <c r="B548" s="7"/>
      <c r="C548" s="26"/>
      <c r="D548" s="40"/>
      <c r="E548" s="5"/>
    </row>
    <row r="549">
      <c r="A549" s="5"/>
      <c r="B549" s="7"/>
      <c r="C549" s="26"/>
      <c r="D549" s="40"/>
      <c r="E549" s="5"/>
    </row>
    <row r="550">
      <c r="A550" s="5"/>
      <c r="B550" s="7"/>
      <c r="C550" s="26"/>
      <c r="D550" s="40"/>
      <c r="E550" s="5"/>
    </row>
    <row r="551">
      <c r="A551" s="5"/>
      <c r="B551" s="7"/>
      <c r="C551" s="26"/>
      <c r="D551" s="40"/>
      <c r="E551" s="5"/>
    </row>
    <row r="552">
      <c r="A552" s="5"/>
      <c r="B552" s="7"/>
      <c r="C552" s="26"/>
      <c r="D552" s="40"/>
      <c r="E552" s="5"/>
    </row>
    <row r="553">
      <c r="A553" s="5"/>
      <c r="B553" s="7"/>
      <c r="C553" s="26"/>
      <c r="D553" s="40"/>
      <c r="E553" s="5"/>
    </row>
    <row r="554">
      <c r="A554" s="5"/>
      <c r="B554" s="7"/>
      <c r="C554" s="26"/>
      <c r="D554" s="40"/>
      <c r="E554" s="5"/>
    </row>
    <row r="555">
      <c r="A555" s="5"/>
      <c r="B555" s="7"/>
      <c r="C555" s="26"/>
      <c r="D555" s="40"/>
      <c r="E555" s="5"/>
    </row>
    <row r="556">
      <c r="A556" s="5"/>
      <c r="B556" s="7"/>
      <c r="C556" s="26"/>
      <c r="D556" s="40"/>
      <c r="E556" s="5"/>
    </row>
    <row r="557">
      <c r="A557" s="5"/>
      <c r="B557" s="7"/>
      <c r="C557" s="26"/>
      <c r="D557" s="40"/>
      <c r="E557" s="5"/>
    </row>
    <row r="558">
      <c r="A558" s="5"/>
      <c r="B558" s="7"/>
      <c r="C558" s="26"/>
      <c r="D558" s="40"/>
      <c r="E558" s="5"/>
    </row>
    <row r="559">
      <c r="A559" s="5"/>
      <c r="B559" s="7"/>
      <c r="C559" s="26"/>
      <c r="D559" s="40"/>
      <c r="E559" s="5"/>
    </row>
    <row r="560">
      <c r="A560" s="5"/>
      <c r="B560" s="7"/>
      <c r="C560" s="26"/>
      <c r="D560" s="40"/>
      <c r="E560" s="5"/>
    </row>
    <row r="561">
      <c r="A561" s="5"/>
      <c r="B561" s="7"/>
      <c r="C561" s="26"/>
      <c r="D561" s="40"/>
      <c r="E561" s="5"/>
    </row>
    <row r="562">
      <c r="A562" s="5"/>
      <c r="B562" s="7"/>
      <c r="C562" s="26"/>
      <c r="D562" s="40"/>
      <c r="E562" s="5"/>
    </row>
    <row r="563">
      <c r="A563" s="5"/>
      <c r="B563" s="7"/>
      <c r="C563" s="26"/>
      <c r="D563" s="40"/>
      <c r="E563" s="5"/>
    </row>
    <row r="564">
      <c r="A564" s="5"/>
      <c r="B564" s="7"/>
      <c r="C564" s="26"/>
      <c r="D564" s="40"/>
      <c r="E564" s="5"/>
    </row>
    <row r="565">
      <c r="A565" s="5"/>
      <c r="B565" s="7"/>
      <c r="C565" s="26"/>
      <c r="D565" s="40"/>
      <c r="E565" s="5"/>
    </row>
    <row r="566">
      <c r="A566" s="5"/>
      <c r="B566" s="7"/>
      <c r="C566" s="26"/>
      <c r="D566" s="40"/>
      <c r="E566" s="5"/>
    </row>
    <row r="567">
      <c r="A567" s="5"/>
      <c r="B567" s="7"/>
      <c r="C567" s="26"/>
      <c r="D567" s="40"/>
      <c r="E567" s="5"/>
    </row>
    <row r="568">
      <c r="A568" s="5"/>
      <c r="B568" s="7"/>
      <c r="C568" s="26"/>
      <c r="D568" s="40"/>
      <c r="E568" s="5"/>
    </row>
    <row r="569">
      <c r="A569" s="5"/>
      <c r="B569" s="7"/>
      <c r="C569" s="26"/>
      <c r="D569" s="40"/>
      <c r="E569" s="5"/>
    </row>
    <row r="570">
      <c r="A570" s="5"/>
      <c r="B570" s="7"/>
      <c r="C570" s="26"/>
      <c r="D570" s="40"/>
      <c r="E570" s="5"/>
    </row>
    <row r="571">
      <c r="A571" s="5"/>
      <c r="B571" s="7"/>
      <c r="C571" s="26"/>
      <c r="D571" s="40"/>
      <c r="E571" s="5"/>
    </row>
    <row r="572">
      <c r="A572" s="5"/>
      <c r="B572" s="7"/>
      <c r="C572" s="26"/>
      <c r="D572" s="40"/>
      <c r="E572" s="5"/>
    </row>
    <row r="573">
      <c r="A573" s="5"/>
      <c r="B573" s="7"/>
      <c r="C573" s="26"/>
      <c r="D573" s="40"/>
      <c r="E573" s="5"/>
    </row>
    <row r="574">
      <c r="A574" s="5"/>
      <c r="B574" s="7"/>
      <c r="C574" s="26"/>
      <c r="D574" s="40"/>
      <c r="E574" s="5"/>
    </row>
    <row r="575">
      <c r="A575" s="5"/>
      <c r="B575" s="7"/>
      <c r="C575" s="26"/>
      <c r="D575" s="40"/>
      <c r="E575" s="5"/>
    </row>
    <row r="576">
      <c r="A576" s="5"/>
      <c r="B576" s="7"/>
      <c r="C576" s="26"/>
      <c r="D576" s="40"/>
      <c r="E576" s="5"/>
    </row>
    <row r="577">
      <c r="A577" s="5"/>
      <c r="B577" s="7"/>
      <c r="C577" s="26"/>
      <c r="D577" s="40"/>
      <c r="E577" s="5"/>
    </row>
    <row r="578">
      <c r="A578" s="5"/>
      <c r="B578" s="7"/>
      <c r="C578" s="26"/>
      <c r="D578" s="40"/>
      <c r="E578" s="5"/>
    </row>
    <row r="579">
      <c r="A579" s="5"/>
      <c r="B579" s="7"/>
      <c r="C579" s="26"/>
      <c r="D579" s="40"/>
      <c r="E579" s="5"/>
    </row>
    <row r="580">
      <c r="A580" s="5"/>
      <c r="B580" s="7"/>
      <c r="C580" s="26"/>
      <c r="D580" s="40"/>
      <c r="E580" s="5"/>
    </row>
    <row r="581">
      <c r="A581" s="5"/>
      <c r="B581" s="7"/>
      <c r="C581" s="26"/>
      <c r="D581" s="40"/>
      <c r="E581" s="5"/>
    </row>
    <row r="582">
      <c r="A582" s="5"/>
      <c r="B582" s="7"/>
      <c r="C582" s="26"/>
      <c r="D582" s="40"/>
      <c r="E582" s="5"/>
    </row>
    <row r="583">
      <c r="A583" s="5"/>
      <c r="B583" s="7"/>
      <c r="C583" s="26"/>
      <c r="D583" s="40"/>
      <c r="E583" s="5"/>
    </row>
    <row r="584">
      <c r="A584" s="5"/>
      <c r="B584" s="7"/>
      <c r="C584" s="26"/>
      <c r="D584" s="40"/>
      <c r="E584" s="5"/>
    </row>
    <row r="585">
      <c r="A585" s="5"/>
      <c r="B585" s="7"/>
      <c r="C585" s="26"/>
      <c r="D585" s="40"/>
      <c r="E585" s="5"/>
    </row>
    <row r="586">
      <c r="A586" s="5"/>
      <c r="B586" s="7"/>
      <c r="C586" s="26"/>
      <c r="D586" s="40"/>
      <c r="E586" s="5"/>
    </row>
    <row r="587">
      <c r="A587" s="5"/>
      <c r="B587" s="7"/>
      <c r="C587" s="26"/>
      <c r="D587" s="40"/>
      <c r="E587" s="5"/>
    </row>
    <row r="588">
      <c r="A588" s="5"/>
      <c r="B588" s="7"/>
      <c r="C588" s="26"/>
      <c r="D588" s="40"/>
      <c r="E588" s="5"/>
    </row>
    <row r="589">
      <c r="A589" s="5"/>
      <c r="B589" s="7"/>
      <c r="C589" s="26"/>
      <c r="D589" s="40"/>
      <c r="E589" s="5"/>
    </row>
    <row r="590">
      <c r="A590" s="5"/>
      <c r="B590" s="7"/>
      <c r="C590" s="26"/>
      <c r="D590" s="40"/>
      <c r="E590" s="5"/>
    </row>
    <row r="591">
      <c r="A591" s="5"/>
      <c r="B591" s="7"/>
      <c r="C591" s="26"/>
      <c r="D591" s="40"/>
      <c r="E591" s="5"/>
    </row>
    <row r="592">
      <c r="A592" s="5"/>
      <c r="B592" s="7"/>
      <c r="C592" s="26"/>
      <c r="D592" s="40"/>
      <c r="E592" s="5"/>
    </row>
    <row r="593">
      <c r="A593" s="5"/>
      <c r="B593" s="7"/>
      <c r="C593" s="26"/>
      <c r="D593" s="40"/>
      <c r="E593" s="5"/>
    </row>
    <row r="594">
      <c r="A594" s="5"/>
      <c r="B594" s="7"/>
      <c r="C594" s="26"/>
      <c r="D594" s="40"/>
      <c r="E594" s="5"/>
    </row>
    <row r="595">
      <c r="A595" s="5"/>
      <c r="B595" s="7"/>
      <c r="C595" s="26"/>
      <c r="D595" s="40"/>
      <c r="E595" s="5"/>
    </row>
    <row r="596">
      <c r="A596" s="5"/>
      <c r="B596" s="7"/>
      <c r="C596" s="26"/>
      <c r="D596" s="40"/>
      <c r="E596" s="5"/>
    </row>
    <row r="597">
      <c r="A597" s="5"/>
      <c r="B597" s="7"/>
      <c r="C597" s="26"/>
      <c r="D597" s="40"/>
      <c r="E597" s="5"/>
    </row>
    <row r="598">
      <c r="A598" s="5"/>
      <c r="B598" s="7"/>
      <c r="C598" s="26"/>
      <c r="D598" s="40"/>
      <c r="E598" s="5"/>
    </row>
    <row r="599">
      <c r="A599" s="5"/>
      <c r="B599" s="7"/>
      <c r="C599" s="26"/>
      <c r="D599" s="40"/>
      <c r="E599" s="5"/>
    </row>
    <row r="600">
      <c r="A600" s="5"/>
      <c r="B600" s="7"/>
      <c r="C600" s="26"/>
      <c r="D600" s="40"/>
      <c r="E600" s="5"/>
    </row>
    <row r="601">
      <c r="A601" s="5"/>
      <c r="B601" s="7"/>
      <c r="C601" s="26"/>
      <c r="D601" s="40"/>
      <c r="E601" s="5"/>
    </row>
    <row r="602">
      <c r="A602" s="5"/>
      <c r="B602" s="7"/>
      <c r="C602" s="26"/>
      <c r="D602" s="40"/>
      <c r="E602" s="5"/>
    </row>
    <row r="603">
      <c r="A603" s="5"/>
      <c r="B603" s="7"/>
      <c r="C603" s="26"/>
      <c r="D603" s="40"/>
      <c r="E603" s="5"/>
    </row>
    <row r="604">
      <c r="A604" s="5"/>
      <c r="B604" s="7"/>
      <c r="C604" s="26"/>
      <c r="D604" s="40"/>
      <c r="E604" s="5"/>
    </row>
    <row r="605">
      <c r="A605" s="5"/>
      <c r="B605" s="7"/>
      <c r="C605" s="26"/>
      <c r="D605" s="40"/>
      <c r="E605" s="5"/>
    </row>
    <row r="606">
      <c r="A606" s="5"/>
      <c r="B606" s="7"/>
      <c r="C606" s="26"/>
      <c r="D606" s="40"/>
      <c r="E606" s="5"/>
    </row>
    <row r="607">
      <c r="A607" s="5"/>
      <c r="B607" s="7"/>
      <c r="C607" s="26"/>
      <c r="D607" s="40"/>
      <c r="E607" s="5"/>
    </row>
    <row r="608">
      <c r="A608" s="5"/>
      <c r="B608" s="7"/>
      <c r="C608" s="26"/>
      <c r="D608" s="40"/>
      <c r="E608" s="5"/>
    </row>
    <row r="609">
      <c r="A609" s="5"/>
      <c r="B609" s="7"/>
      <c r="C609" s="26"/>
      <c r="D609" s="40"/>
      <c r="E609" s="5"/>
    </row>
    <row r="610">
      <c r="A610" s="5"/>
      <c r="B610" s="7"/>
      <c r="C610" s="26"/>
      <c r="D610" s="40"/>
      <c r="E610" s="5"/>
    </row>
    <row r="611">
      <c r="A611" s="5"/>
      <c r="B611" s="7"/>
      <c r="C611" s="26"/>
      <c r="D611" s="40"/>
      <c r="E611" s="5"/>
    </row>
    <row r="612">
      <c r="A612" s="5"/>
      <c r="B612" s="7"/>
      <c r="C612" s="26"/>
      <c r="D612" s="40"/>
      <c r="E612" s="5"/>
    </row>
    <row r="613">
      <c r="A613" s="5"/>
      <c r="B613" s="7"/>
      <c r="C613" s="26"/>
      <c r="D613" s="40"/>
      <c r="E613" s="5"/>
    </row>
    <row r="614">
      <c r="A614" s="5"/>
      <c r="B614" s="7"/>
      <c r="C614" s="26"/>
      <c r="D614" s="40"/>
      <c r="E614" s="5"/>
    </row>
    <row r="615">
      <c r="A615" s="5"/>
      <c r="B615" s="7"/>
      <c r="C615" s="26"/>
      <c r="D615" s="40"/>
      <c r="E615" s="5"/>
    </row>
    <row r="616">
      <c r="A616" s="5"/>
      <c r="B616" s="7"/>
      <c r="C616" s="26"/>
      <c r="D616" s="40"/>
      <c r="E616" s="5"/>
    </row>
    <row r="617">
      <c r="A617" s="5"/>
      <c r="B617" s="7"/>
      <c r="C617" s="26"/>
      <c r="D617" s="40"/>
      <c r="E617" s="5"/>
    </row>
    <row r="618">
      <c r="A618" s="5"/>
      <c r="B618" s="7"/>
      <c r="C618" s="26"/>
      <c r="D618" s="40"/>
      <c r="E618" s="5"/>
    </row>
    <row r="619">
      <c r="A619" s="5"/>
      <c r="B619" s="7"/>
      <c r="C619" s="26"/>
      <c r="D619" s="40"/>
      <c r="E619" s="5"/>
    </row>
    <row r="620">
      <c r="A620" s="5"/>
      <c r="B620" s="7"/>
      <c r="C620" s="26"/>
      <c r="D620" s="40"/>
      <c r="E620" s="5"/>
    </row>
    <row r="621">
      <c r="A621" s="5"/>
      <c r="B621" s="7"/>
      <c r="C621" s="26"/>
      <c r="D621" s="40"/>
      <c r="E621" s="5"/>
    </row>
    <row r="622">
      <c r="A622" s="5"/>
      <c r="B622" s="7"/>
      <c r="C622" s="26"/>
      <c r="D622" s="40"/>
      <c r="E622" s="5"/>
    </row>
    <row r="623">
      <c r="A623" s="5"/>
      <c r="B623" s="7"/>
      <c r="C623" s="26"/>
      <c r="D623" s="40"/>
      <c r="E623" s="5"/>
    </row>
    <row r="624">
      <c r="A624" s="5"/>
      <c r="B624" s="7"/>
      <c r="C624" s="26"/>
      <c r="D624" s="40"/>
      <c r="E624" s="5"/>
    </row>
    <row r="625">
      <c r="A625" s="5"/>
      <c r="B625" s="7"/>
      <c r="C625" s="26"/>
      <c r="D625" s="40"/>
      <c r="E625" s="5"/>
    </row>
    <row r="626">
      <c r="A626" s="5"/>
      <c r="B626" s="7"/>
      <c r="C626" s="26"/>
      <c r="D626" s="40"/>
      <c r="E626" s="5"/>
    </row>
    <row r="627">
      <c r="A627" s="5"/>
      <c r="B627" s="7"/>
      <c r="C627" s="26"/>
      <c r="D627" s="40"/>
      <c r="E627" s="5"/>
    </row>
    <row r="628">
      <c r="A628" s="5"/>
      <c r="B628" s="7"/>
      <c r="C628" s="26"/>
      <c r="D628" s="40"/>
      <c r="E628" s="5"/>
    </row>
    <row r="629">
      <c r="A629" s="5"/>
      <c r="B629" s="7"/>
      <c r="C629" s="26"/>
      <c r="D629" s="40"/>
      <c r="E629" s="5"/>
    </row>
    <row r="630">
      <c r="A630" s="5"/>
      <c r="B630" s="7"/>
      <c r="C630" s="26"/>
      <c r="D630" s="40"/>
      <c r="E630" s="5"/>
    </row>
    <row r="631">
      <c r="A631" s="5"/>
      <c r="B631" s="7"/>
      <c r="C631" s="26"/>
      <c r="D631" s="40"/>
      <c r="E631" s="5"/>
    </row>
    <row r="632">
      <c r="A632" s="5"/>
      <c r="B632" s="7"/>
      <c r="C632" s="26"/>
      <c r="D632" s="40"/>
      <c r="E632" s="5"/>
    </row>
    <row r="633">
      <c r="A633" s="5"/>
      <c r="B633" s="7"/>
      <c r="C633" s="26"/>
      <c r="D633" s="40"/>
      <c r="E633" s="5"/>
    </row>
    <row r="634">
      <c r="A634" s="5"/>
      <c r="B634" s="7"/>
      <c r="C634" s="26"/>
      <c r="D634" s="40"/>
      <c r="E634" s="5"/>
    </row>
    <row r="635">
      <c r="A635" s="5"/>
      <c r="B635" s="7"/>
      <c r="C635" s="26"/>
      <c r="D635" s="40"/>
      <c r="E635" s="5"/>
    </row>
    <row r="636">
      <c r="A636" s="5"/>
      <c r="B636" s="7"/>
      <c r="C636" s="26"/>
      <c r="D636" s="40"/>
      <c r="E636" s="5"/>
    </row>
    <row r="637">
      <c r="A637" s="5"/>
      <c r="B637" s="7"/>
      <c r="C637" s="26"/>
      <c r="D637" s="40"/>
      <c r="E637" s="5"/>
    </row>
    <row r="638">
      <c r="A638" s="5"/>
      <c r="B638" s="7"/>
      <c r="C638" s="26"/>
      <c r="D638" s="40"/>
      <c r="E638" s="5"/>
    </row>
    <row r="639">
      <c r="A639" s="5"/>
      <c r="B639" s="7"/>
      <c r="C639" s="26"/>
      <c r="D639" s="40"/>
      <c r="E639" s="5"/>
    </row>
    <row r="640">
      <c r="A640" s="5"/>
      <c r="B640" s="7"/>
      <c r="C640" s="26"/>
      <c r="D640" s="40"/>
      <c r="E640" s="5"/>
    </row>
    <row r="641">
      <c r="A641" s="5"/>
      <c r="B641" s="7"/>
      <c r="C641" s="26"/>
      <c r="D641" s="40"/>
      <c r="E641" s="5"/>
    </row>
    <row r="642">
      <c r="A642" s="5"/>
      <c r="B642" s="7"/>
      <c r="C642" s="26"/>
      <c r="D642" s="40"/>
      <c r="E642" s="5"/>
    </row>
    <row r="643">
      <c r="A643" s="5"/>
      <c r="B643" s="7"/>
      <c r="C643" s="26"/>
      <c r="D643" s="40"/>
      <c r="E643" s="5"/>
    </row>
    <row r="644">
      <c r="A644" s="5"/>
      <c r="B644" s="7"/>
      <c r="C644" s="26"/>
      <c r="D644" s="40"/>
      <c r="E644" s="5"/>
    </row>
    <row r="645">
      <c r="A645" s="5"/>
      <c r="B645" s="7"/>
      <c r="C645" s="26"/>
      <c r="D645" s="40"/>
      <c r="E645" s="5"/>
    </row>
    <row r="646">
      <c r="A646" s="5"/>
      <c r="B646" s="7"/>
      <c r="C646" s="26"/>
      <c r="D646" s="40"/>
      <c r="E646" s="5"/>
    </row>
    <row r="647">
      <c r="A647" s="5"/>
      <c r="B647" s="7"/>
      <c r="C647" s="26"/>
      <c r="D647" s="40"/>
      <c r="E647" s="5"/>
    </row>
    <row r="648">
      <c r="A648" s="5"/>
      <c r="B648" s="7"/>
      <c r="C648" s="26"/>
      <c r="D648" s="40"/>
      <c r="E648" s="5"/>
    </row>
    <row r="649">
      <c r="A649" s="5"/>
      <c r="B649" s="7"/>
      <c r="C649" s="26"/>
      <c r="D649" s="40"/>
      <c r="E649" s="5"/>
    </row>
    <row r="650">
      <c r="A650" s="5"/>
      <c r="B650" s="7"/>
      <c r="C650" s="26"/>
      <c r="D650" s="40"/>
      <c r="E650" s="5"/>
    </row>
    <row r="651">
      <c r="A651" s="5"/>
      <c r="B651" s="7"/>
      <c r="C651" s="26"/>
      <c r="D651" s="40"/>
      <c r="E651" s="5"/>
    </row>
    <row r="652">
      <c r="A652" s="5"/>
      <c r="B652" s="7"/>
      <c r="C652" s="26"/>
      <c r="D652" s="40"/>
      <c r="E652" s="5"/>
    </row>
    <row r="653">
      <c r="A653" s="5"/>
      <c r="B653" s="7"/>
      <c r="C653" s="26"/>
      <c r="D653" s="40"/>
      <c r="E653" s="5"/>
    </row>
    <row r="654">
      <c r="A654" s="5"/>
      <c r="B654" s="7"/>
      <c r="C654" s="26"/>
      <c r="D654" s="40"/>
      <c r="E654" s="5"/>
    </row>
    <row r="655">
      <c r="A655" s="5"/>
      <c r="B655" s="7"/>
      <c r="C655" s="26"/>
      <c r="D655" s="40"/>
      <c r="E655" s="5"/>
    </row>
    <row r="656">
      <c r="A656" s="5"/>
      <c r="B656" s="7"/>
      <c r="C656" s="26"/>
      <c r="D656" s="40"/>
      <c r="E656" s="5"/>
    </row>
    <row r="657">
      <c r="A657" s="5"/>
      <c r="B657" s="7"/>
      <c r="C657" s="26"/>
      <c r="D657" s="40"/>
      <c r="E657" s="5"/>
    </row>
    <row r="658">
      <c r="A658" s="5"/>
      <c r="B658" s="7"/>
      <c r="C658" s="26"/>
      <c r="D658" s="40"/>
      <c r="E658" s="5"/>
    </row>
    <row r="659">
      <c r="A659" s="5"/>
      <c r="B659" s="7"/>
      <c r="C659" s="26"/>
      <c r="D659" s="40"/>
      <c r="E659" s="5"/>
    </row>
    <row r="660">
      <c r="A660" s="5"/>
      <c r="B660" s="7"/>
      <c r="C660" s="26"/>
      <c r="D660" s="40"/>
      <c r="E660" s="5"/>
    </row>
    <row r="661">
      <c r="A661" s="5"/>
      <c r="B661" s="7"/>
      <c r="C661" s="26"/>
      <c r="D661" s="40"/>
      <c r="E661" s="5"/>
    </row>
    <row r="662">
      <c r="A662" s="5"/>
      <c r="B662" s="7"/>
      <c r="C662" s="26"/>
      <c r="D662" s="40"/>
      <c r="E662" s="5"/>
    </row>
    <row r="663">
      <c r="A663" s="5"/>
      <c r="B663" s="7"/>
      <c r="C663" s="26"/>
      <c r="D663" s="40"/>
      <c r="E663" s="5"/>
    </row>
    <row r="664">
      <c r="A664" s="5"/>
      <c r="B664" s="7"/>
      <c r="C664" s="26"/>
      <c r="D664" s="40"/>
      <c r="E664" s="5"/>
    </row>
    <row r="665">
      <c r="A665" s="5"/>
      <c r="B665" s="7"/>
      <c r="C665" s="26"/>
      <c r="D665" s="40"/>
      <c r="E665" s="5"/>
    </row>
    <row r="666">
      <c r="A666" s="5"/>
      <c r="B666" s="7"/>
      <c r="C666" s="26"/>
      <c r="D666" s="40"/>
      <c r="E666" s="5"/>
    </row>
    <row r="667">
      <c r="A667" s="5"/>
      <c r="B667" s="7"/>
      <c r="C667" s="26"/>
      <c r="D667" s="40"/>
      <c r="E667" s="5"/>
    </row>
    <row r="668">
      <c r="A668" s="5"/>
      <c r="B668" s="7"/>
      <c r="C668" s="26"/>
      <c r="D668" s="40"/>
      <c r="E668" s="5"/>
    </row>
    <row r="669">
      <c r="A669" s="5"/>
      <c r="B669" s="7"/>
      <c r="C669" s="26"/>
      <c r="D669" s="40"/>
      <c r="E669" s="5"/>
    </row>
    <row r="670">
      <c r="A670" s="5"/>
      <c r="B670" s="7"/>
      <c r="C670" s="26"/>
      <c r="D670" s="40"/>
      <c r="E670" s="5"/>
    </row>
    <row r="671">
      <c r="A671" s="5"/>
      <c r="B671" s="7"/>
      <c r="C671" s="26"/>
      <c r="D671" s="40"/>
      <c r="E671" s="5"/>
    </row>
    <row r="672">
      <c r="A672" s="5"/>
      <c r="B672" s="7"/>
      <c r="C672" s="26"/>
      <c r="D672" s="40"/>
      <c r="E672" s="5"/>
    </row>
    <row r="673">
      <c r="A673" s="5"/>
      <c r="B673" s="7"/>
      <c r="C673" s="26"/>
      <c r="D673" s="40"/>
      <c r="E673" s="5"/>
    </row>
    <row r="674">
      <c r="A674" s="5"/>
      <c r="B674" s="7"/>
      <c r="C674" s="26"/>
      <c r="D674" s="40"/>
      <c r="E674" s="5"/>
    </row>
    <row r="675">
      <c r="A675" s="5"/>
      <c r="B675" s="7"/>
      <c r="C675" s="26"/>
      <c r="D675" s="40"/>
      <c r="E675" s="5"/>
    </row>
    <row r="676">
      <c r="A676" s="5"/>
      <c r="B676" s="7"/>
      <c r="C676" s="26"/>
      <c r="D676" s="40"/>
      <c r="E676" s="5"/>
    </row>
    <row r="677">
      <c r="A677" s="5"/>
      <c r="B677" s="7"/>
      <c r="C677" s="26"/>
      <c r="D677" s="40"/>
      <c r="E677" s="5"/>
    </row>
    <row r="678">
      <c r="A678" s="5"/>
      <c r="B678" s="7"/>
      <c r="C678" s="26"/>
      <c r="D678" s="40"/>
      <c r="E678" s="5"/>
    </row>
    <row r="679">
      <c r="A679" s="5"/>
      <c r="B679" s="7"/>
      <c r="C679" s="26"/>
      <c r="D679" s="40"/>
      <c r="E679" s="5"/>
    </row>
    <row r="680">
      <c r="A680" s="5"/>
      <c r="B680" s="7"/>
      <c r="C680" s="26"/>
      <c r="D680" s="40"/>
      <c r="E680" s="5"/>
    </row>
    <row r="681">
      <c r="A681" s="5"/>
      <c r="B681" s="7"/>
      <c r="C681" s="26"/>
      <c r="D681" s="40"/>
      <c r="E681" s="5"/>
    </row>
    <row r="682">
      <c r="A682" s="5"/>
      <c r="B682" s="7"/>
      <c r="C682" s="26"/>
      <c r="D682" s="40"/>
      <c r="E682" s="5"/>
    </row>
    <row r="683">
      <c r="A683" s="5"/>
      <c r="B683" s="7"/>
      <c r="C683" s="26"/>
      <c r="D683" s="40"/>
      <c r="E683" s="5"/>
    </row>
    <row r="684">
      <c r="A684" s="5"/>
      <c r="B684" s="7"/>
      <c r="C684" s="26"/>
      <c r="D684" s="40"/>
      <c r="E684" s="5"/>
    </row>
    <row r="685">
      <c r="A685" s="5"/>
      <c r="B685" s="7"/>
      <c r="C685" s="26"/>
      <c r="D685" s="40"/>
      <c r="E685" s="5"/>
    </row>
    <row r="686">
      <c r="A686" s="5"/>
      <c r="B686" s="7"/>
      <c r="C686" s="26"/>
      <c r="D686" s="40"/>
      <c r="E686" s="5"/>
    </row>
    <row r="687">
      <c r="A687" s="5"/>
      <c r="B687" s="7"/>
      <c r="C687" s="26"/>
      <c r="D687" s="40"/>
      <c r="E687" s="5"/>
    </row>
    <row r="688">
      <c r="A688" s="5"/>
      <c r="B688" s="7"/>
      <c r="C688" s="26"/>
      <c r="D688" s="40"/>
      <c r="E688" s="5"/>
    </row>
    <row r="689">
      <c r="A689" s="5"/>
      <c r="B689" s="7"/>
      <c r="C689" s="26"/>
      <c r="D689" s="40"/>
      <c r="E689" s="5"/>
    </row>
    <row r="690">
      <c r="A690" s="5"/>
      <c r="B690" s="7"/>
      <c r="C690" s="26"/>
      <c r="D690" s="40"/>
      <c r="E690" s="5"/>
    </row>
    <row r="691">
      <c r="A691" s="5"/>
      <c r="B691" s="7"/>
      <c r="C691" s="26"/>
      <c r="D691" s="40"/>
      <c r="E691" s="5"/>
    </row>
    <row r="692">
      <c r="A692" s="5"/>
      <c r="B692" s="7"/>
      <c r="C692" s="26"/>
      <c r="D692" s="40"/>
      <c r="E692" s="5"/>
    </row>
    <row r="693">
      <c r="A693" s="5"/>
      <c r="B693" s="7"/>
      <c r="C693" s="26"/>
      <c r="D693" s="40"/>
      <c r="E693" s="5"/>
    </row>
    <row r="694">
      <c r="A694" s="5"/>
      <c r="B694" s="7"/>
      <c r="C694" s="26"/>
      <c r="D694" s="40"/>
      <c r="E694" s="5"/>
    </row>
    <row r="695">
      <c r="A695" s="5"/>
      <c r="B695" s="7"/>
      <c r="C695" s="26"/>
      <c r="D695" s="40"/>
      <c r="E695" s="5"/>
    </row>
    <row r="696">
      <c r="A696" s="5"/>
      <c r="B696" s="7"/>
      <c r="C696" s="26"/>
      <c r="D696" s="40"/>
      <c r="E696" s="5"/>
    </row>
    <row r="697">
      <c r="A697" s="5"/>
      <c r="B697" s="7"/>
      <c r="C697" s="26"/>
      <c r="D697" s="40"/>
      <c r="E697" s="5"/>
    </row>
    <row r="698">
      <c r="A698" s="5"/>
      <c r="B698" s="7"/>
      <c r="C698" s="26"/>
      <c r="D698" s="40"/>
      <c r="E698" s="5"/>
    </row>
    <row r="699">
      <c r="A699" s="5"/>
      <c r="B699" s="7"/>
      <c r="C699" s="26"/>
      <c r="D699" s="40"/>
      <c r="E699" s="5"/>
    </row>
    <row r="700">
      <c r="A700" s="5"/>
      <c r="B700" s="7"/>
      <c r="C700" s="26"/>
      <c r="D700" s="40"/>
      <c r="E700" s="5"/>
    </row>
    <row r="701">
      <c r="A701" s="5"/>
      <c r="B701" s="7"/>
      <c r="C701" s="26"/>
      <c r="D701" s="40"/>
      <c r="E701" s="5"/>
    </row>
    <row r="702">
      <c r="A702" s="5"/>
      <c r="B702" s="7"/>
      <c r="C702" s="26"/>
      <c r="D702" s="40"/>
      <c r="E702" s="5"/>
    </row>
    <row r="703">
      <c r="A703" s="5"/>
      <c r="B703" s="7"/>
      <c r="C703" s="26"/>
      <c r="D703" s="40"/>
      <c r="E703" s="5"/>
    </row>
    <row r="704">
      <c r="A704" s="5"/>
      <c r="B704" s="7"/>
      <c r="C704" s="26"/>
      <c r="D704" s="40"/>
      <c r="E704" s="5"/>
    </row>
    <row r="705">
      <c r="A705" s="5"/>
      <c r="B705" s="7"/>
      <c r="C705" s="26"/>
      <c r="D705" s="40"/>
      <c r="E705" s="5"/>
    </row>
    <row r="706">
      <c r="A706" s="5"/>
      <c r="B706" s="7"/>
      <c r="C706" s="26"/>
      <c r="D706" s="40"/>
      <c r="E706" s="5"/>
    </row>
    <row r="707">
      <c r="A707" s="5"/>
      <c r="B707" s="7"/>
      <c r="C707" s="26"/>
      <c r="D707" s="40"/>
      <c r="E707" s="5"/>
    </row>
    <row r="708">
      <c r="A708" s="5"/>
      <c r="B708" s="7"/>
      <c r="C708" s="26"/>
      <c r="D708" s="40"/>
      <c r="E708" s="5"/>
    </row>
    <row r="709">
      <c r="A709" s="5"/>
      <c r="B709" s="7"/>
      <c r="C709" s="26"/>
      <c r="D709" s="40"/>
      <c r="E709" s="5"/>
    </row>
    <row r="710">
      <c r="A710" s="5"/>
      <c r="B710" s="7"/>
      <c r="C710" s="26"/>
      <c r="D710" s="40"/>
      <c r="E710" s="5"/>
    </row>
    <row r="711">
      <c r="A711" s="5"/>
      <c r="B711" s="7"/>
      <c r="C711" s="26"/>
      <c r="D711" s="40"/>
      <c r="E711" s="5"/>
    </row>
    <row r="712">
      <c r="A712" s="5"/>
      <c r="B712" s="7"/>
      <c r="C712" s="26"/>
      <c r="D712" s="40"/>
      <c r="E712" s="5"/>
    </row>
    <row r="713">
      <c r="A713" s="5"/>
      <c r="B713" s="7"/>
      <c r="C713" s="26"/>
      <c r="D713" s="40"/>
      <c r="E713" s="5"/>
    </row>
    <row r="714">
      <c r="A714" s="5"/>
      <c r="B714" s="7"/>
      <c r="C714" s="26"/>
      <c r="D714" s="40"/>
      <c r="E714" s="5"/>
    </row>
    <row r="715">
      <c r="A715" s="5"/>
      <c r="B715" s="7"/>
      <c r="C715" s="26"/>
      <c r="D715" s="40"/>
      <c r="E715" s="5"/>
    </row>
    <row r="716">
      <c r="A716" s="5"/>
      <c r="B716" s="7"/>
      <c r="C716" s="26"/>
      <c r="D716" s="40"/>
      <c r="E716" s="5"/>
    </row>
    <row r="717">
      <c r="A717" s="5"/>
      <c r="B717" s="7"/>
      <c r="C717" s="26"/>
      <c r="D717" s="40"/>
      <c r="E717" s="5"/>
    </row>
    <row r="718">
      <c r="A718" s="5"/>
      <c r="B718" s="7"/>
      <c r="C718" s="26"/>
      <c r="D718" s="40"/>
      <c r="E718" s="5"/>
    </row>
    <row r="719">
      <c r="A719" s="5"/>
      <c r="B719" s="7"/>
      <c r="C719" s="26"/>
      <c r="D719" s="40"/>
      <c r="E719" s="5"/>
    </row>
    <row r="720">
      <c r="A720" s="5"/>
      <c r="B720" s="7"/>
      <c r="C720" s="26"/>
      <c r="D720" s="40"/>
      <c r="E720" s="5"/>
    </row>
    <row r="721">
      <c r="A721" s="5"/>
      <c r="B721" s="7"/>
      <c r="C721" s="26"/>
      <c r="D721" s="40"/>
      <c r="E721" s="5"/>
    </row>
    <row r="722">
      <c r="A722" s="5"/>
      <c r="B722" s="7"/>
      <c r="C722" s="26"/>
      <c r="D722" s="40"/>
      <c r="E722" s="5"/>
    </row>
    <row r="723">
      <c r="A723" s="5"/>
      <c r="B723" s="7"/>
      <c r="C723" s="26"/>
      <c r="D723" s="40"/>
      <c r="E723" s="5"/>
    </row>
    <row r="724">
      <c r="A724" s="5"/>
      <c r="B724" s="7"/>
      <c r="C724" s="26"/>
      <c r="D724" s="40"/>
      <c r="E724" s="5"/>
    </row>
    <row r="725">
      <c r="A725" s="5"/>
      <c r="B725" s="7"/>
      <c r="C725" s="26"/>
      <c r="D725" s="40"/>
      <c r="E725" s="5"/>
    </row>
    <row r="726">
      <c r="A726" s="5"/>
      <c r="B726" s="7"/>
      <c r="C726" s="26"/>
      <c r="D726" s="40"/>
      <c r="E726" s="5"/>
    </row>
    <row r="727">
      <c r="A727" s="5"/>
      <c r="B727" s="7"/>
      <c r="C727" s="26"/>
      <c r="D727" s="40"/>
      <c r="E727" s="5"/>
    </row>
    <row r="728">
      <c r="A728" s="5"/>
      <c r="B728" s="7"/>
      <c r="C728" s="26"/>
      <c r="D728" s="40"/>
      <c r="E728" s="5"/>
    </row>
    <row r="729">
      <c r="A729" s="5"/>
      <c r="B729" s="7"/>
      <c r="C729" s="26"/>
      <c r="D729" s="40"/>
      <c r="E729" s="5"/>
    </row>
    <row r="730">
      <c r="A730" s="5"/>
      <c r="B730" s="7"/>
      <c r="C730" s="26"/>
      <c r="D730" s="40"/>
      <c r="E730" s="5"/>
    </row>
    <row r="731">
      <c r="A731" s="5"/>
      <c r="B731" s="7"/>
      <c r="C731" s="26"/>
      <c r="D731" s="40"/>
      <c r="E731" s="5"/>
    </row>
    <row r="732">
      <c r="A732" s="5"/>
      <c r="B732" s="7"/>
      <c r="C732" s="26"/>
      <c r="D732" s="40"/>
      <c r="E732" s="5"/>
    </row>
    <row r="733">
      <c r="A733" s="5"/>
      <c r="B733" s="7"/>
      <c r="C733" s="26"/>
      <c r="D733" s="40"/>
      <c r="E733" s="5"/>
    </row>
    <row r="734">
      <c r="A734" s="5"/>
      <c r="B734" s="7"/>
      <c r="C734" s="26"/>
      <c r="D734" s="40"/>
      <c r="E734" s="5"/>
    </row>
    <row r="735">
      <c r="A735" s="5"/>
      <c r="B735" s="7"/>
      <c r="C735" s="26"/>
      <c r="D735" s="40"/>
      <c r="E735" s="5"/>
    </row>
    <row r="736">
      <c r="A736" s="5"/>
      <c r="B736" s="7"/>
      <c r="C736" s="26"/>
      <c r="D736" s="40"/>
      <c r="E736" s="5"/>
    </row>
    <row r="737">
      <c r="A737" s="5"/>
      <c r="B737" s="7"/>
      <c r="C737" s="26"/>
      <c r="D737" s="40"/>
      <c r="E737" s="5"/>
    </row>
    <row r="738">
      <c r="A738" s="5"/>
      <c r="B738" s="7"/>
      <c r="C738" s="26"/>
      <c r="D738" s="40"/>
      <c r="E738" s="5"/>
    </row>
    <row r="739">
      <c r="A739" s="5"/>
      <c r="B739" s="7"/>
      <c r="C739" s="26"/>
      <c r="D739" s="40"/>
      <c r="E739" s="5"/>
    </row>
    <row r="740">
      <c r="A740" s="5"/>
      <c r="B740" s="7"/>
      <c r="C740" s="26"/>
      <c r="D740" s="40"/>
      <c r="E740" s="5"/>
    </row>
    <row r="741">
      <c r="A741" s="5"/>
      <c r="B741" s="7"/>
      <c r="C741" s="26"/>
      <c r="D741" s="40"/>
      <c r="E741" s="5"/>
    </row>
    <row r="742">
      <c r="A742" s="5"/>
      <c r="B742" s="7"/>
      <c r="C742" s="26"/>
      <c r="D742" s="40"/>
      <c r="E742" s="5"/>
    </row>
    <row r="743">
      <c r="A743" s="5"/>
      <c r="B743" s="7"/>
      <c r="C743" s="26"/>
      <c r="D743" s="40"/>
      <c r="E743" s="5"/>
    </row>
    <row r="744">
      <c r="A744" s="5"/>
      <c r="B744" s="7"/>
      <c r="C744" s="26"/>
      <c r="D744" s="40"/>
      <c r="E744" s="5"/>
    </row>
    <row r="745">
      <c r="A745" s="5"/>
      <c r="B745" s="7"/>
      <c r="C745" s="26"/>
      <c r="D745" s="40"/>
      <c r="E745" s="5"/>
    </row>
    <row r="746">
      <c r="A746" s="5"/>
      <c r="B746" s="7"/>
      <c r="C746" s="26"/>
      <c r="D746" s="40"/>
      <c r="E746" s="5"/>
    </row>
    <row r="747">
      <c r="A747" s="5"/>
      <c r="B747" s="7"/>
      <c r="C747" s="26"/>
      <c r="D747" s="40"/>
      <c r="E747" s="5"/>
    </row>
    <row r="748">
      <c r="A748" s="5"/>
      <c r="B748" s="7"/>
      <c r="C748" s="26"/>
      <c r="D748" s="40"/>
      <c r="E748" s="5"/>
    </row>
    <row r="749">
      <c r="A749" s="5"/>
      <c r="B749" s="7"/>
      <c r="C749" s="26"/>
      <c r="D749" s="40"/>
      <c r="E749" s="5"/>
    </row>
    <row r="750">
      <c r="A750" s="5"/>
      <c r="B750" s="7"/>
      <c r="C750" s="26"/>
      <c r="D750" s="40"/>
      <c r="E750" s="5"/>
    </row>
    <row r="751">
      <c r="A751" s="5"/>
      <c r="B751" s="7"/>
      <c r="C751" s="26"/>
      <c r="D751" s="40"/>
      <c r="E751" s="5"/>
    </row>
    <row r="752">
      <c r="A752" s="5"/>
      <c r="B752" s="7"/>
      <c r="C752" s="26"/>
      <c r="D752" s="40"/>
      <c r="E752" s="5"/>
    </row>
    <row r="753">
      <c r="A753" s="5"/>
      <c r="B753" s="7"/>
      <c r="C753" s="26"/>
      <c r="D753" s="40"/>
      <c r="E753" s="5"/>
    </row>
    <row r="754">
      <c r="A754" s="5"/>
      <c r="B754" s="7"/>
      <c r="C754" s="26"/>
      <c r="D754" s="40"/>
      <c r="E754" s="5"/>
    </row>
    <row r="755">
      <c r="A755" s="5"/>
      <c r="B755" s="7"/>
      <c r="C755" s="26"/>
      <c r="D755" s="40"/>
      <c r="E755" s="5"/>
    </row>
    <row r="756">
      <c r="A756" s="5"/>
      <c r="B756" s="7"/>
      <c r="C756" s="26"/>
      <c r="D756" s="40"/>
      <c r="E756" s="5"/>
    </row>
    <row r="757">
      <c r="A757" s="5"/>
      <c r="B757" s="7"/>
      <c r="C757" s="26"/>
      <c r="D757" s="40"/>
      <c r="E757" s="5"/>
    </row>
    <row r="758">
      <c r="A758" s="5"/>
      <c r="B758" s="7"/>
      <c r="C758" s="26"/>
      <c r="D758" s="40"/>
      <c r="E758" s="5"/>
    </row>
    <row r="759">
      <c r="A759" s="5"/>
      <c r="B759" s="7"/>
      <c r="C759" s="26"/>
      <c r="D759" s="40"/>
      <c r="E759" s="5"/>
    </row>
    <row r="760">
      <c r="A760" s="5"/>
      <c r="B760" s="7"/>
      <c r="C760" s="26"/>
      <c r="D760" s="40"/>
      <c r="E760" s="5"/>
    </row>
    <row r="761">
      <c r="A761" s="5"/>
      <c r="B761" s="7"/>
      <c r="C761" s="26"/>
      <c r="D761" s="40"/>
      <c r="E761" s="5"/>
    </row>
    <row r="762">
      <c r="A762" s="5"/>
      <c r="B762" s="7"/>
      <c r="C762" s="26"/>
      <c r="D762" s="40"/>
      <c r="E762" s="5"/>
    </row>
    <row r="763">
      <c r="A763" s="5"/>
      <c r="B763" s="7"/>
      <c r="C763" s="26"/>
      <c r="D763" s="40"/>
      <c r="E763" s="5"/>
    </row>
    <row r="764">
      <c r="A764" s="5"/>
      <c r="B764" s="7"/>
      <c r="C764" s="26"/>
      <c r="D764" s="40"/>
      <c r="E764" s="5"/>
    </row>
    <row r="765">
      <c r="A765" s="5"/>
      <c r="B765" s="7"/>
      <c r="C765" s="26"/>
      <c r="D765" s="40"/>
      <c r="E765" s="5"/>
    </row>
    <row r="766">
      <c r="A766" s="5"/>
      <c r="B766" s="7"/>
      <c r="C766" s="26"/>
      <c r="D766" s="40"/>
      <c r="E766" s="5"/>
    </row>
    <row r="767">
      <c r="A767" s="5"/>
      <c r="B767" s="7"/>
      <c r="C767" s="26"/>
      <c r="D767" s="40"/>
      <c r="E767" s="5"/>
    </row>
    <row r="768">
      <c r="A768" s="5"/>
      <c r="B768" s="7"/>
      <c r="C768" s="26"/>
      <c r="D768" s="40"/>
      <c r="E768" s="5"/>
    </row>
    <row r="769">
      <c r="A769" s="5"/>
      <c r="B769" s="7"/>
      <c r="C769" s="26"/>
      <c r="D769" s="40"/>
      <c r="E769" s="5"/>
    </row>
    <row r="770">
      <c r="A770" s="5"/>
      <c r="B770" s="7"/>
      <c r="C770" s="26"/>
      <c r="D770" s="40"/>
      <c r="E770" s="5"/>
    </row>
    <row r="771">
      <c r="A771" s="5"/>
      <c r="B771" s="7"/>
      <c r="C771" s="26"/>
      <c r="D771" s="40"/>
      <c r="E771" s="5"/>
    </row>
    <row r="772">
      <c r="A772" s="5"/>
      <c r="B772" s="7"/>
      <c r="C772" s="26"/>
      <c r="D772" s="40"/>
      <c r="E772" s="5"/>
    </row>
    <row r="773">
      <c r="A773" s="5"/>
      <c r="B773" s="7"/>
      <c r="C773" s="26"/>
      <c r="D773" s="40"/>
      <c r="E773" s="5"/>
    </row>
    <row r="774">
      <c r="A774" s="5"/>
      <c r="B774" s="7"/>
      <c r="C774" s="26"/>
      <c r="D774" s="40"/>
      <c r="E774" s="5"/>
    </row>
    <row r="775">
      <c r="A775" s="5"/>
      <c r="B775" s="7"/>
      <c r="C775" s="26"/>
      <c r="D775" s="40"/>
      <c r="E775" s="5"/>
    </row>
    <row r="776">
      <c r="A776" s="5"/>
      <c r="B776" s="7"/>
      <c r="C776" s="26"/>
      <c r="D776" s="40"/>
      <c r="E776" s="5"/>
    </row>
    <row r="777">
      <c r="A777" s="5"/>
      <c r="B777" s="7"/>
      <c r="C777" s="26"/>
      <c r="D777" s="40"/>
      <c r="E777" s="5"/>
    </row>
    <row r="778">
      <c r="A778" s="5"/>
      <c r="B778" s="7"/>
      <c r="C778" s="26"/>
      <c r="D778" s="40"/>
      <c r="E778" s="5"/>
    </row>
    <row r="779">
      <c r="A779" s="5"/>
      <c r="B779" s="7"/>
      <c r="C779" s="26"/>
      <c r="D779" s="40"/>
      <c r="E779" s="5"/>
    </row>
    <row r="780">
      <c r="A780" s="5"/>
      <c r="B780" s="7"/>
      <c r="C780" s="26"/>
      <c r="D780" s="40"/>
      <c r="E780" s="5"/>
    </row>
    <row r="781">
      <c r="A781" s="5"/>
      <c r="B781" s="7"/>
      <c r="C781" s="26"/>
      <c r="D781" s="40"/>
      <c r="E781" s="5"/>
    </row>
    <row r="782">
      <c r="A782" s="5"/>
      <c r="B782" s="7"/>
      <c r="C782" s="26"/>
      <c r="D782" s="40"/>
      <c r="E782" s="5"/>
    </row>
    <row r="783">
      <c r="A783" s="5"/>
      <c r="B783" s="7"/>
      <c r="C783" s="26"/>
      <c r="D783" s="40"/>
      <c r="E783" s="5"/>
    </row>
    <row r="784">
      <c r="A784" s="5"/>
      <c r="B784" s="7"/>
      <c r="C784" s="26"/>
      <c r="D784" s="40"/>
      <c r="E784" s="5"/>
    </row>
    <row r="785">
      <c r="A785" s="5"/>
      <c r="B785" s="7"/>
      <c r="C785" s="26"/>
      <c r="D785" s="40"/>
      <c r="E785" s="5"/>
    </row>
    <row r="786">
      <c r="A786" s="5"/>
      <c r="B786" s="7"/>
      <c r="C786" s="26"/>
      <c r="D786" s="40"/>
      <c r="E786" s="5"/>
    </row>
    <row r="787">
      <c r="A787" s="5"/>
      <c r="B787" s="7"/>
      <c r="C787" s="26"/>
      <c r="D787" s="40"/>
      <c r="E787" s="5"/>
    </row>
    <row r="788">
      <c r="A788" s="5"/>
      <c r="B788" s="7"/>
      <c r="C788" s="26"/>
      <c r="D788" s="40"/>
      <c r="E788" s="5"/>
    </row>
    <row r="789">
      <c r="A789" s="5"/>
      <c r="B789" s="7"/>
      <c r="C789" s="26"/>
      <c r="D789" s="40"/>
      <c r="E789" s="5"/>
    </row>
    <row r="790">
      <c r="A790" s="5"/>
      <c r="B790" s="7"/>
      <c r="C790" s="26"/>
      <c r="D790" s="40"/>
      <c r="E790" s="5"/>
    </row>
    <row r="791">
      <c r="A791" s="5"/>
      <c r="B791" s="7"/>
      <c r="C791" s="26"/>
      <c r="D791" s="40"/>
      <c r="E791" s="5"/>
    </row>
    <row r="792">
      <c r="A792" s="5"/>
      <c r="B792" s="7"/>
      <c r="C792" s="26"/>
      <c r="D792" s="40"/>
      <c r="E792" s="5"/>
    </row>
    <row r="793">
      <c r="A793" s="5"/>
      <c r="B793" s="7"/>
      <c r="C793" s="26"/>
      <c r="D793" s="40"/>
      <c r="E793" s="5"/>
    </row>
    <row r="794">
      <c r="A794" s="5"/>
      <c r="B794" s="7"/>
      <c r="C794" s="26"/>
      <c r="D794" s="40"/>
      <c r="E794" s="5"/>
    </row>
    <row r="795">
      <c r="A795" s="5"/>
      <c r="B795" s="7"/>
      <c r="C795" s="26"/>
      <c r="D795" s="40"/>
      <c r="E795" s="5"/>
    </row>
    <row r="796">
      <c r="A796" s="5"/>
      <c r="B796" s="7"/>
      <c r="C796" s="26"/>
      <c r="D796" s="40"/>
      <c r="E796" s="5"/>
    </row>
    <row r="797">
      <c r="A797" s="5"/>
      <c r="B797" s="7"/>
      <c r="C797" s="26"/>
      <c r="D797" s="40"/>
      <c r="E797" s="5"/>
    </row>
    <row r="798">
      <c r="A798" s="5"/>
      <c r="B798" s="7"/>
      <c r="C798" s="26"/>
      <c r="D798" s="40"/>
      <c r="E798" s="5"/>
    </row>
    <row r="799">
      <c r="A799" s="5"/>
      <c r="B799" s="7"/>
      <c r="C799" s="26"/>
      <c r="D799" s="40"/>
      <c r="E799" s="5"/>
    </row>
    <row r="800">
      <c r="A800" s="5"/>
      <c r="B800" s="7"/>
      <c r="C800" s="26"/>
      <c r="D800" s="40"/>
      <c r="E800" s="5"/>
    </row>
    <row r="801">
      <c r="A801" s="5"/>
      <c r="B801" s="7"/>
      <c r="C801" s="26"/>
      <c r="D801" s="40"/>
      <c r="E801" s="5"/>
    </row>
    <row r="802">
      <c r="A802" s="5"/>
      <c r="B802" s="7"/>
      <c r="C802" s="26"/>
      <c r="D802" s="40"/>
      <c r="E802" s="5"/>
    </row>
    <row r="803">
      <c r="A803" s="5"/>
      <c r="B803" s="7"/>
      <c r="C803" s="26"/>
      <c r="D803" s="40"/>
      <c r="E803" s="5"/>
    </row>
    <row r="804">
      <c r="A804" s="5"/>
      <c r="B804" s="7"/>
      <c r="C804" s="26"/>
      <c r="D804" s="40"/>
      <c r="E804" s="5"/>
    </row>
    <row r="805">
      <c r="A805" s="5"/>
      <c r="B805" s="7"/>
      <c r="C805" s="26"/>
      <c r="D805" s="40"/>
      <c r="E805" s="5"/>
    </row>
    <row r="806">
      <c r="A806" s="5"/>
      <c r="B806" s="7"/>
      <c r="C806" s="26"/>
      <c r="D806" s="40"/>
      <c r="E806" s="5"/>
    </row>
    <row r="807">
      <c r="A807" s="5"/>
      <c r="B807" s="7"/>
      <c r="C807" s="26"/>
      <c r="D807" s="40"/>
      <c r="E807" s="5"/>
    </row>
    <row r="808">
      <c r="A808" s="5"/>
      <c r="B808" s="7"/>
      <c r="C808" s="26"/>
      <c r="D808" s="40"/>
      <c r="E808" s="5"/>
    </row>
    <row r="809">
      <c r="A809" s="5"/>
      <c r="B809" s="7"/>
      <c r="C809" s="26"/>
      <c r="D809" s="40"/>
      <c r="E809" s="5"/>
    </row>
    <row r="810">
      <c r="A810" s="5"/>
      <c r="B810" s="7"/>
      <c r="C810" s="26"/>
      <c r="D810" s="40"/>
      <c r="E810" s="5"/>
    </row>
    <row r="811">
      <c r="A811" s="5"/>
      <c r="B811" s="7"/>
      <c r="C811" s="26"/>
      <c r="D811" s="40"/>
      <c r="E811" s="5"/>
    </row>
    <row r="812">
      <c r="A812" s="5"/>
      <c r="B812" s="7"/>
      <c r="C812" s="26"/>
      <c r="D812" s="40"/>
      <c r="E812" s="5"/>
    </row>
    <row r="813">
      <c r="A813" s="5"/>
      <c r="B813" s="7"/>
      <c r="C813" s="26"/>
      <c r="D813" s="40"/>
      <c r="E813" s="5"/>
    </row>
    <row r="814">
      <c r="A814" s="5"/>
      <c r="B814" s="7"/>
      <c r="C814" s="26"/>
      <c r="D814" s="40"/>
      <c r="E814" s="5"/>
    </row>
    <row r="815">
      <c r="A815" s="5"/>
      <c r="B815" s="7"/>
      <c r="C815" s="26"/>
      <c r="D815" s="40"/>
      <c r="E815" s="5"/>
    </row>
    <row r="816">
      <c r="A816" s="5"/>
      <c r="B816" s="7"/>
      <c r="C816" s="26"/>
      <c r="D816" s="40"/>
      <c r="E816" s="5"/>
    </row>
    <row r="817">
      <c r="A817" s="5"/>
      <c r="B817" s="7"/>
      <c r="C817" s="26"/>
      <c r="D817" s="40"/>
      <c r="E817" s="5"/>
    </row>
    <row r="818">
      <c r="A818" s="5"/>
      <c r="B818" s="7"/>
      <c r="C818" s="26"/>
      <c r="D818" s="40"/>
      <c r="E818" s="5"/>
    </row>
    <row r="819">
      <c r="A819" s="5"/>
      <c r="B819" s="7"/>
      <c r="C819" s="26"/>
      <c r="D819" s="40"/>
      <c r="E819" s="5"/>
    </row>
    <row r="820">
      <c r="A820" s="5"/>
      <c r="B820" s="7"/>
      <c r="C820" s="26"/>
      <c r="D820" s="40"/>
      <c r="E820" s="5"/>
    </row>
    <row r="821">
      <c r="A821" s="5"/>
      <c r="B821" s="7"/>
      <c r="C821" s="26"/>
      <c r="D821" s="40"/>
      <c r="E821" s="5"/>
    </row>
    <row r="822">
      <c r="A822" s="5"/>
      <c r="B822" s="7"/>
      <c r="C822" s="26"/>
      <c r="D822" s="40"/>
      <c r="E822" s="5"/>
    </row>
    <row r="823">
      <c r="A823" s="5"/>
      <c r="B823" s="7"/>
      <c r="C823" s="26"/>
      <c r="D823" s="40"/>
      <c r="E823" s="5"/>
    </row>
    <row r="824">
      <c r="A824" s="5"/>
      <c r="B824" s="7"/>
      <c r="C824" s="26"/>
      <c r="D824" s="40"/>
      <c r="E824" s="5"/>
    </row>
    <row r="825">
      <c r="A825" s="5"/>
      <c r="B825" s="7"/>
      <c r="C825" s="26"/>
      <c r="D825" s="40"/>
      <c r="E825" s="5"/>
    </row>
    <row r="826">
      <c r="A826" s="5"/>
      <c r="B826" s="7"/>
      <c r="C826" s="26"/>
      <c r="D826" s="40"/>
      <c r="E826" s="5"/>
    </row>
    <row r="827">
      <c r="A827" s="5"/>
      <c r="B827" s="7"/>
      <c r="C827" s="26"/>
      <c r="D827" s="40"/>
      <c r="E827" s="5"/>
    </row>
    <row r="828">
      <c r="A828" s="5"/>
      <c r="B828" s="7"/>
      <c r="C828" s="26"/>
      <c r="D828" s="40"/>
      <c r="E828" s="5"/>
    </row>
    <row r="829">
      <c r="A829" s="5"/>
      <c r="B829" s="7"/>
      <c r="C829" s="26"/>
      <c r="D829" s="40"/>
      <c r="E829" s="5"/>
    </row>
    <row r="830">
      <c r="A830" s="5"/>
      <c r="B830" s="7"/>
      <c r="C830" s="26"/>
      <c r="D830" s="40"/>
      <c r="E830" s="5"/>
    </row>
    <row r="831">
      <c r="A831" s="5"/>
      <c r="B831" s="7"/>
      <c r="C831" s="26"/>
      <c r="D831" s="40"/>
      <c r="E831" s="5"/>
    </row>
    <row r="832">
      <c r="A832" s="5"/>
      <c r="B832" s="7"/>
      <c r="C832" s="26"/>
      <c r="D832" s="40"/>
      <c r="E832" s="5"/>
    </row>
    <row r="833">
      <c r="A833" s="5"/>
      <c r="B833" s="7"/>
      <c r="C833" s="26"/>
      <c r="D833" s="40"/>
      <c r="E833" s="5"/>
    </row>
    <row r="834">
      <c r="A834" s="5"/>
      <c r="B834" s="7"/>
      <c r="C834" s="26"/>
      <c r="D834" s="40"/>
      <c r="E834" s="5"/>
    </row>
    <row r="835">
      <c r="A835" s="5"/>
      <c r="B835" s="7"/>
      <c r="C835" s="26"/>
      <c r="D835" s="40"/>
      <c r="E835" s="5"/>
    </row>
    <row r="836">
      <c r="A836" s="5"/>
      <c r="B836" s="7"/>
      <c r="C836" s="26"/>
      <c r="D836" s="40"/>
      <c r="E836" s="5"/>
    </row>
    <row r="837">
      <c r="A837" s="5"/>
      <c r="B837" s="7"/>
      <c r="C837" s="26"/>
      <c r="D837" s="40"/>
      <c r="E837" s="5"/>
    </row>
    <row r="838">
      <c r="A838" s="5"/>
      <c r="B838" s="7"/>
      <c r="C838" s="26"/>
      <c r="D838" s="40"/>
      <c r="E838" s="5"/>
    </row>
    <row r="839">
      <c r="A839" s="5"/>
      <c r="B839" s="7"/>
      <c r="C839" s="26"/>
      <c r="D839" s="40"/>
      <c r="E839" s="5"/>
    </row>
    <row r="840">
      <c r="A840" s="5"/>
      <c r="B840" s="7"/>
      <c r="C840" s="26"/>
      <c r="D840" s="40"/>
      <c r="E840" s="5"/>
    </row>
    <row r="841">
      <c r="A841" s="5"/>
      <c r="B841" s="7"/>
      <c r="C841" s="26"/>
      <c r="D841" s="40"/>
      <c r="E841" s="5"/>
    </row>
    <row r="842">
      <c r="A842" s="5"/>
      <c r="B842" s="7"/>
      <c r="C842" s="26"/>
      <c r="D842" s="40"/>
      <c r="E842" s="5"/>
    </row>
    <row r="843">
      <c r="A843" s="5"/>
      <c r="B843" s="7"/>
      <c r="C843" s="26"/>
      <c r="D843" s="40"/>
      <c r="E843" s="5"/>
    </row>
    <row r="844">
      <c r="A844" s="5"/>
      <c r="B844" s="7"/>
      <c r="C844" s="26"/>
      <c r="D844" s="40"/>
      <c r="E844" s="5"/>
    </row>
    <row r="845">
      <c r="A845" s="5"/>
      <c r="B845" s="7"/>
      <c r="C845" s="26"/>
      <c r="D845" s="40"/>
      <c r="E845" s="5"/>
    </row>
    <row r="846">
      <c r="A846" s="5"/>
      <c r="B846" s="7"/>
      <c r="C846" s="26"/>
      <c r="D846" s="40"/>
      <c r="E846" s="5"/>
    </row>
    <row r="847">
      <c r="A847" s="5"/>
      <c r="B847" s="7"/>
      <c r="C847" s="26"/>
      <c r="D847" s="40"/>
      <c r="E847" s="5"/>
    </row>
    <row r="848">
      <c r="A848" s="5"/>
      <c r="B848" s="7"/>
      <c r="C848" s="26"/>
      <c r="D848" s="40"/>
      <c r="E848" s="5"/>
    </row>
    <row r="849">
      <c r="A849" s="5"/>
      <c r="B849" s="7"/>
      <c r="C849" s="26"/>
      <c r="D849" s="40"/>
      <c r="E849" s="5"/>
    </row>
    <row r="850">
      <c r="A850" s="5"/>
      <c r="B850" s="7"/>
      <c r="C850" s="26"/>
      <c r="D850" s="40"/>
      <c r="E850" s="5"/>
    </row>
    <row r="851">
      <c r="A851" s="5"/>
      <c r="B851" s="7"/>
      <c r="C851" s="26"/>
      <c r="D851" s="40"/>
      <c r="E851" s="5"/>
    </row>
    <row r="852">
      <c r="A852" s="5"/>
      <c r="B852" s="7"/>
      <c r="C852" s="26"/>
      <c r="D852" s="40"/>
      <c r="E852" s="5"/>
    </row>
    <row r="853">
      <c r="A853" s="5"/>
      <c r="B853" s="7"/>
      <c r="C853" s="26"/>
      <c r="D853" s="40"/>
      <c r="E853" s="5"/>
    </row>
    <row r="854">
      <c r="A854" s="5"/>
      <c r="B854" s="7"/>
      <c r="C854" s="26"/>
      <c r="D854" s="40"/>
      <c r="E854" s="5"/>
    </row>
    <row r="855">
      <c r="A855" s="5"/>
      <c r="B855" s="7"/>
      <c r="C855" s="26"/>
      <c r="D855" s="40"/>
      <c r="E855" s="5"/>
    </row>
    <row r="856">
      <c r="A856" s="5"/>
      <c r="B856" s="7"/>
      <c r="C856" s="26"/>
      <c r="D856" s="40"/>
      <c r="E856" s="5"/>
    </row>
    <row r="857">
      <c r="A857" s="5"/>
      <c r="B857" s="7"/>
      <c r="C857" s="26"/>
      <c r="D857" s="40"/>
      <c r="E857" s="5"/>
    </row>
    <row r="858">
      <c r="A858" s="5"/>
      <c r="B858" s="7"/>
      <c r="C858" s="26"/>
      <c r="D858" s="40"/>
      <c r="E858" s="5"/>
    </row>
    <row r="859">
      <c r="A859" s="5"/>
      <c r="B859" s="7"/>
      <c r="C859" s="26"/>
      <c r="D859" s="40"/>
      <c r="E859" s="5"/>
    </row>
    <row r="860">
      <c r="A860" s="5"/>
      <c r="B860" s="7"/>
      <c r="C860" s="26"/>
      <c r="D860" s="40"/>
      <c r="E860" s="5"/>
    </row>
    <row r="861">
      <c r="A861" s="5"/>
      <c r="B861" s="7"/>
      <c r="C861" s="26"/>
      <c r="D861" s="40"/>
      <c r="E861" s="5"/>
    </row>
    <row r="862">
      <c r="A862" s="5"/>
      <c r="B862" s="7"/>
      <c r="C862" s="26"/>
      <c r="D862" s="40"/>
      <c r="E862" s="5"/>
    </row>
    <row r="863">
      <c r="A863" s="5"/>
      <c r="B863" s="7"/>
      <c r="C863" s="26"/>
      <c r="D863" s="40"/>
      <c r="E863" s="5"/>
    </row>
    <row r="864">
      <c r="A864" s="5"/>
      <c r="B864" s="7"/>
      <c r="C864" s="26"/>
      <c r="D864" s="40"/>
      <c r="E864" s="5"/>
    </row>
    <row r="865">
      <c r="A865" s="5"/>
      <c r="B865" s="7"/>
      <c r="C865" s="26"/>
      <c r="D865" s="40"/>
      <c r="E865" s="5"/>
    </row>
    <row r="866">
      <c r="A866" s="5"/>
      <c r="B866" s="7"/>
      <c r="C866" s="26"/>
      <c r="D866" s="40"/>
      <c r="E866" s="5"/>
    </row>
    <row r="867">
      <c r="A867" s="5"/>
      <c r="B867" s="7"/>
      <c r="C867" s="26"/>
      <c r="D867" s="40"/>
      <c r="E867" s="5"/>
    </row>
    <row r="868">
      <c r="A868" s="5"/>
      <c r="B868" s="7"/>
      <c r="C868" s="26"/>
      <c r="D868" s="40"/>
      <c r="E868" s="5"/>
    </row>
    <row r="869">
      <c r="A869" s="5"/>
      <c r="B869" s="7"/>
      <c r="C869" s="26"/>
      <c r="D869" s="40"/>
      <c r="E869" s="5"/>
    </row>
    <row r="870">
      <c r="A870" s="5"/>
      <c r="B870" s="7"/>
      <c r="C870" s="26"/>
      <c r="D870" s="40"/>
      <c r="E870" s="5"/>
    </row>
    <row r="871">
      <c r="A871" s="5"/>
      <c r="B871" s="7"/>
      <c r="C871" s="26"/>
      <c r="D871" s="40"/>
      <c r="E871" s="5"/>
    </row>
    <row r="872">
      <c r="A872" s="5"/>
      <c r="B872" s="7"/>
      <c r="C872" s="26"/>
      <c r="D872" s="40"/>
      <c r="E872" s="5"/>
    </row>
    <row r="873">
      <c r="A873" s="5"/>
      <c r="B873" s="7"/>
      <c r="C873" s="26"/>
      <c r="D873" s="40"/>
      <c r="E873" s="5"/>
    </row>
    <row r="874">
      <c r="A874" s="5"/>
      <c r="B874" s="7"/>
      <c r="C874" s="26"/>
      <c r="D874" s="40"/>
      <c r="E874" s="5"/>
    </row>
    <row r="875">
      <c r="A875" s="5"/>
      <c r="B875" s="7"/>
      <c r="C875" s="26"/>
      <c r="D875" s="40"/>
      <c r="E875" s="5"/>
    </row>
    <row r="876">
      <c r="A876" s="5"/>
      <c r="B876" s="7"/>
      <c r="C876" s="26"/>
      <c r="D876" s="40"/>
      <c r="E876" s="5"/>
    </row>
    <row r="877">
      <c r="A877" s="5"/>
      <c r="B877" s="7"/>
      <c r="C877" s="26"/>
      <c r="D877" s="40"/>
      <c r="E877" s="5"/>
    </row>
    <row r="878">
      <c r="A878" s="5"/>
      <c r="B878" s="7"/>
      <c r="C878" s="26"/>
      <c r="D878" s="40"/>
      <c r="E878" s="5"/>
    </row>
    <row r="879">
      <c r="A879" s="5"/>
      <c r="B879" s="7"/>
      <c r="C879" s="26"/>
      <c r="D879" s="40"/>
      <c r="E879" s="5"/>
    </row>
    <row r="880">
      <c r="A880" s="5"/>
      <c r="B880" s="7"/>
      <c r="C880" s="26"/>
      <c r="D880" s="40"/>
      <c r="E880" s="5"/>
    </row>
    <row r="881">
      <c r="A881" s="5"/>
      <c r="B881" s="7"/>
      <c r="C881" s="26"/>
      <c r="D881" s="40"/>
      <c r="E881" s="5"/>
    </row>
    <row r="882">
      <c r="A882" s="5"/>
      <c r="B882" s="7"/>
      <c r="C882" s="26"/>
      <c r="D882" s="40"/>
      <c r="E882" s="5"/>
    </row>
    <row r="883">
      <c r="A883" s="5"/>
      <c r="B883" s="7"/>
      <c r="C883" s="26"/>
      <c r="D883" s="40"/>
      <c r="E883" s="5"/>
    </row>
    <row r="884">
      <c r="A884" s="5"/>
      <c r="B884" s="7"/>
      <c r="C884" s="26"/>
      <c r="D884" s="40"/>
      <c r="E884" s="5"/>
    </row>
    <row r="885">
      <c r="A885" s="5"/>
      <c r="B885" s="7"/>
      <c r="C885" s="26"/>
      <c r="D885" s="40"/>
      <c r="E885" s="5"/>
    </row>
    <row r="886">
      <c r="A886" s="5"/>
      <c r="B886" s="7"/>
      <c r="C886" s="26"/>
      <c r="D886" s="40"/>
      <c r="E886" s="5"/>
    </row>
    <row r="887">
      <c r="A887" s="5"/>
      <c r="B887" s="7"/>
      <c r="C887" s="26"/>
      <c r="D887" s="40"/>
      <c r="E887" s="5"/>
    </row>
    <row r="888">
      <c r="A888" s="5"/>
      <c r="B888" s="7"/>
      <c r="C888" s="26"/>
      <c r="D888" s="40"/>
      <c r="E888" s="5"/>
    </row>
    <row r="889">
      <c r="A889" s="5"/>
      <c r="B889" s="7"/>
      <c r="C889" s="26"/>
      <c r="D889" s="40"/>
      <c r="E889" s="5"/>
    </row>
    <row r="890">
      <c r="A890" s="5"/>
      <c r="B890" s="7"/>
      <c r="C890" s="26"/>
      <c r="D890" s="40"/>
      <c r="E890" s="5"/>
    </row>
    <row r="891">
      <c r="A891" s="5"/>
      <c r="B891" s="7"/>
      <c r="C891" s="26"/>
      <c r="D891" s="40"/>
      <c r="E891" s="5"/>
    </row>
    <row r="892">
      <c r="A892" s="5"/>
      <c r="B892" s="7"/>
      <c r="C892" s="26"/>
      <c r="D892" s="40"/>
      <c r="E892" s="5"/>
    </row>
    <row r="893">
      <c r="A893" s="5"/>
      <c r="B893" s="7"/>
      <c r="C893" s="26"/>
      <c r="D893" s="40"/>
      <c r="E893" s="5"/>
    </row>
    <row r="894">
      <c r="A894" s="5"/>
      <c r="B894" s="7"/>
      <c r="C894" s="26"/>
      <c r="D894" s="40"/>
      <c r="E894" s="5"/>
    </row>
    <row r="895">
      <c r="A895" s="5"/>
      <c r="B895" s="7"/>
      <c r="C895" s="26"/>
      <c r="D895" s="40"/>
      <c r="E895" s="5"/>
    </row>
    <row r="896">
      <c r="A896" s="5"/>
      <c r="B896" s="7"/>
      <c r="C896" s="26"/>
      <c r="D896" s="40"/>
      <c r="E896" s="5"/>
    </row>
    <row r="897">
      <c r="A897" s="5"/>
      <c r="B897" s="7"/>
      <c r="C897" s="26"/>
      <c r="D897" s="40"/>
      <c r="E897" s="5"/>
    </row>
    <row r="898">
      <c r="A898" s="5"/>
      <c r="B898" s="7"/>
      <c r="C898" s="26"/>
      <c r="D898" s="40"/>
      <c r="E898" s="5"/>
    </row>
    <row r="899">
      <c r="A899" s="5"/>
      <c r="B899" s="7"/>
      <c r="C899" s="26"/>
      <c r="D899" s="40"/>
      <c r="E899" s="5"/>
    </row>
    <row r="900">
      <c r="A900" s="5"/>
      <c r="B900" s="7"/>
      <c r="C900" s="26"/>
      <c r="D900" s="40"/>
      <c r="E900" s="5"/>
    </row>
    <row r="901">
      <c r="A901" s="5"/>
      <c r="B901" s="7"/>
      <c r="C901" s="26"/>
      <c r="D901" s="40"/>
      <c r="E901" s="5"/>
    </row>
    <row r="902">
      <c r="A902" s="5"/>
      <c r="B902" s="7"/>
      <c r="C902" s="26"/>
      <c r="D902" s="40"/>
      <c r="E902" s="5"/>
    </row>
    <row r="903">
      <c r="A903" s="5"/>
      <c r="B903" s="7"/>
      <c r="C903" s="26"/>
      <c r="D903" s="40"/>
      <c r="E903" s="5"/>
    </row>
    <row r="904">
      <c r="A904" s="5"/>
      <c r="B904" s="7"/>
      <c r="C904" s="26"/>
      <c r="D904" s="40"/>
      <c r="E904" s="5"/>
    </row>
    <row r="905">
      <c r="A905" s="5"/>
      <c r="B905" s="7"/>
      <c r="C905" s="26"/>
      <c r="D905" s="40"/>
      <c r="E905" s="5"/>
    </row>
    <row r="906">
      <c r="A906" s="5"/>
      <c r="B906" s="7"/>
      <c r="C906" s="26"/>
      <c r="D906" s="40"/>
      <c r="E906" s="5"/>
    </row>
    <row r="907">
      <c r="A907" s="5"/>
      <c r="B907" s="7"/>
      <c r="C907" s="26"/>
      <c r="D907" s="40"/>
      <c r="E907" s="5"/>
    </row>
    <row r="908">
      <c r="A908" s="5"/>
      <c r="B908" s="7"/>
      <c r="C908" s="26"/>
      <c r="D908" s="40"/>
      <c r="E908" s="5"/>
    </row>
    <row r="909">
      <c r="A909" s="5"/>
      <c r="B909" s="7"/>
      <c r="C909" s="26"/>
      <c r="D909" s="40"/>
      <c r="E909" s="5"/>
    </row>
    <row r="910">
      <c r="A910" s="5"/>
      <c r="B910" s="7"/>
      <c r="C910" s="26"/>
      <c r="D910" s="40"/>
      <c r="E910" s="5"/>
    </row>
    <row r="911">
      <c r="A911" s="5"/>
      <c r="B911" s="7"/>
      <c r="C911" s="26"/>
      <c r="D911" s="40"/>
      <c r="E911" s="5"/>
    </row>
    <row r="912">
      <c r="A912" s="5"/>
      <c r="B912" s="7"/>
      <c r="C912" s="26"/>
      <c r="D912" s="40"/>
      <c r="E912" s="5"/>
    </row>
    <row r="913">
      <c r="A913" s="5"/>
      <c r="B913" s="7"/>
      <c r="C913" s="26"/>
      <c r="D913" s="40"/>
      <c r="E913" s="5"/>
    </row>
    <row r="914">
      <c r="A914" s="5"/>
      <c r="B914" s="7"/>
      <c r="C914" s="26"/>
      <c r="D914" s="40"/>
      <c r="E914" s="5"/>
    </row>
    <row r="915">
      <c r="A915" s="5"/>
      <c r="B915" s="7"/>
      <c r="C915" s="26"/>
      <c r="D915" s="40"/>
      <c r="E915" s="5"/>
    </row>
    <row r="916">
      <c r="A916" s="5"/>
      <c r="B916" s="7"/>
      <c r="C916" s="26"/>
      <c r="D916" s="40"/>
      <c r="E916" s="5"/>
    </row>
    <row r="917">
      <c r="A917" s="5"/>
      <c r="B917" s="7"/>
      <c r="C917" s="26"/>
      <c r="D917" s="40"/>
      <c r="E917" s="5"/>
    </row>
    <row r="918">
      <c r="A918" s="5"/>
      <c r="B918" s="7"/>
      <c r="C918" s="26"/>
      <c r="D918" s="40"/>
      <c r="E918" s="5"/>
    </row>
    <row r="919">
      <c r="A919" s="5"/>
      <c r="B919" s="7"/>
      <c r="C919" s="26"/>
      <c r="D919" s="40"/>
      <c r="E919" s="5"/>
    </row>
    <row r="920">
      <c r="A920" s="5"/>
      <c r="B920" s="7"/>
      <c r="C920" s="26"/>
      <c r="D920" s="40"/>
      <c r="E920" s="5"/>
    </row>
    <row r="921">
      <c r="A921" s="5"/>
      <c r="B921" s="7"/>
      <c r="C921" s="26"/>
      <c r="D921" s="40"/>
      <c r="E921" s="5"/>
    </row>
    <row r="922">
      <c r="A922" s="5"/>
      <c r="B922" s="7"/>
      <c r="C922" s="26"/>
      <c r="D922" s="40"/>
      <c r="E922" s="5"/>
    </row>
    <row r="923">
      <c r="A923" s="5"/>
      <c r="B923" s="7"/>
      <c r="C923" s="26"/>
      <c r="D923" s="40"/>
      <c r="E923" s="5"/>
    </row>
    <row r="924">
      <c r="A924" s="5"/>
      <c r="B924" s="7"/>
      <c r="C924" s="26"/>
      <c r="D924" s="40"/>
      <c r="E924" s="5"/>
    </row>
    <row r="925">
      <c r="A925" s="5"/>
      <c r="B925" s="7"/>
      <c r="C925" s="26"/>
      <c r="D925" s="40"/>
      <c r="E925" s="5"/>
    </row>
    <row r="926">
      <c r="A926" s="5"/>
      <c r="B926" s="7"/>
      <c r="C926" s="26"/>
      <c r="D926" s="40"/>
      <c r="E926" s="5"/>
    </row>
    <row r="927">
      <c r="A927" s="5"/>
      <c r="B927" s="7"/>
      <c r="C927" s="26"/>
      <c r="D927" s="40"/>
      <c r="E927" s="5"/>
    </row>
    <row r="928">
      <c r="A928" s="5"/>
      <c r="B928" s="7"/>
      <c r="C928" s="26"/>
      <c r="D928" s="40"/>
      <c r="E928" s="5"/>
    </row>
    <row r="929">
      <c r="A929" s="5"/>
      <c r="B929" s="7"/>
      <c r="C929" s="26"/>
      <c r="D929" s="40"/>
      <c r="E929" s="5"/>
    </row>
    <row r="930">
      <c r="A930" s="5"/>
      <c r="B930" s="7"/>
      <c r="C930" s="26"/>
      <c r="D930" s="40"/>
      <c r="E930" s="5"/>
    </row>
    <row r="931">
      <c r="A931" s="5"/>
      <c r="B931" s="7"/>
      <c r="C931" s="26"/>
      <c r="D931" s="40"/>
      <c r="E931" s="5"/>
    </row>
    <row r="932">
      <c r="A932" s="5"/>
      <c r="B932" s="7"/>
      <c r="C932" s="26"/>
      <c r="D932" s="40"/>
      <c r="E932" s="5"/>
    </row>
    <row r="933">
      <c r="A933" s="5"/>
      <c r="B933" s="7"/>
      <c r="C933" s="26"/>
      <c r="D933" s="40"/>
      <c r="E933" s="5"/>
    </row>
    <row r="934">
      <c r="A934" s="5"/>
      <c r="B934" s="7"/>
      <c r="C934" s="26"/>
      <c r="D934" s="40"/>
      <c r="E934" s="5"/>
    </row>
    <row r="935">
      <c r="A935" s="5"/>
      <c r="B935" s="7"/>
      <c r="C935" s="26"/>
      <c r="D935" s="40"/>
      <c r="E935" s="5"/>
    </row>
    <row r="936">
      <c r="A936" s="5"/>
      <c r="B936" s="7"/>
      <c r="C936" s="26"/>
      <c r="D936" s="40"/>
      <c r="E936" s="5"/>
    </row>
    <row r="937">
      <c r="A937" s="5"/>
      <c r="B937" s="7"/>
      <c r="C937" s="26"/>
      <c r="D937" s="40"/>
      <c r="E937" s="5"/>
    </row>
    <row r="938">
      <c r="A938" s="5"/>
      <c r="B938" s="7"/>
      <c r="C938" s="26"/>
      <c r="D938" s="40"/>
      <c r="E938" s="5"/>
    </row>
    <row r="939">
      <c r="A939" s="5"/>
      <c r="B939" s="7"/>
      <c r="C939" s="26"/>
      <c r="D939" s="40"/>
      <c r="E939" s="5"/>
    </row>
    <row r="940">
      <c r="A940" s="5"/>
      <c r="B940" s="7"/>
      <c r="C940" s="26"/>
      <c r="D940" s="40"/>
      <c r="E940" s="5"/>
    </row>
    <row r="941">
      <c r="A941" s="5"/>
      <c r="B941" s="7"/>
      <c r="C941" s="26"/>
      <c r="D941" s="40"/>
      <c r="E941" s="5"/>
    </row>
    <row r="942">
      <c r="A942" s="5"/>
      <c r="B942" s="7"/>
      <c r="C942" s="26"/>
      <c r="D942" s="40"/>
      <c r="E942" s="5"/>
    </row>
    <row r="943">
      <c r="A943" s="5"/>
      <c r="B943" s="7"/>
      <c r="C943" s="26"/>
      <c r="D943" s="40"/>
      <c r="E943" s="5"/>
    </row>
    <row r="944">
      <c r="A944" s="5"/>
      <c r="B944" s="7"/>
      <c r="C944" s="26"/>
      <c r="D944" s="40"/>
      <c r="E944" s="5"/>
    </row>
    <row r="945">
      <c r="A945" s="5"/>
      <c r="B945" s="7"/>
      <c r="C945" s="26"/>
      <c r="D945" s="40"/>
      <c r="E945" s="5"/>
    </row>
    <row r="946">
      <c r="A946" s="5"/>
      <c r="B946" s="7"/>
      <c r="C946" s="26"/>
      <c r="D946" s="40"/>
      <c r="E946" s="5"/>
    </row>
    <row r="947">
      <c r="A947" s="5"/>
      <c r="B947" s="7"/>
      <c r="C947" s="26"/>
      <c r="D947" s="40"/>
      <c r="E947" s="5"/>
    </row>
    <row r="948">
      <c r="A948" s="5"/>
      <c r="B948" s="7"/>
      <c r="C948" s="26"/>
      <c r="D948" s="40"/>
      <c r="E948" s="5"/>
    </row>
    <row r="949">
      <c r="A949" s="5"/>
      <c r="B949" s="7"/>
      <c r="C949" s="26"/>
      <c r="D949" s="40"/>
      <c r="E949" s="5"/>
    </row>
    <row r="950">
      <c r="A950" s="5"/>
      <c r="B950" s="7"/>
      <c r="C950" s="26"/>
      <c r="D950" s="40"/>
      <c r="E950" s="5"/>
    </row>
    <row r="951">
      <c r="A951" s="5"/>
      <c r="B951" s="7"/>
      <c r="C951" s="26"/>
      <c r="D951" s="40"/>
      <c r="E951" s="5"/>
    </row>
    <row r="952">
      <c r="A952" s="5"/>
      <c r="B952" s="7"/>
      <c r="C952" s="26"/>
      <c r="D952" s="40"/>
      <c r="E952" s="5"/>
    </row>
    <row r="953">
      <c r="A953" s="5"/>
      <c r="B953" s="7"/>
      <c r="C953" s="26"/>
      <c r="D953" s="40"/>
      <c r="E953" s="5"/>
    </row>
    <row r="954">
      <c r="A954" s="5"/>
      <c r="B954" s="7"/>
      <c r="C954" s="26"/>
      <c r="D954" s="40"/>
      <c r="E954" s="5"/>
    </row>
    <row r="955">
      <c r="A955" s="5"/>
      <c r="B955" s="7"/>
      <c r="C955" s="26"/>
      <c r="D955" s="40"/>
      <c r="E955" s="5"/>
    </row>
    <row r="956">
      <c r="A956" s="5"/>
      <c r="B956" s="7"/>
      <c r="C956" s="26"/>
      <c r="D956" s="40"/>
      <c r="E956" s="5"/>
    </row>
    <row r="957">
      <c r="A957" s="5"/>
      <c r="B957" s="7"/>
      <c r="C957" s="26"/>
      <c r="D957" s="40"/>
      <c r="E957" s="5"/>
    </row>
    <row r="958">
      <c r="A958" s="5"/>
      <c r="B958" s="7"/>
      <c r="C958" s="26"/>
      <c r="D958" s="40"/>
      <c r="E958" s="5"/>
    </row>
    <row r="959">
      <c r="A959" s="5"/>
      <c r="B959" s="7"/>
      <c r="C959" s="26"/>
      <c r="D959" s="40"/>
      <c r="E959" s="5"/>
    </row>
    <row r="960">
      <c r="A960" s="5"/>
      <c r="B960" s="7"/>
      <c r="C960" s="26"/>
      <c r="D960" s="40"/>
      <c r="E960" s="5"/>
    </row>
    <row r="961">
      <c r="A961" s="5"/>
      <c r="B961" s="7"/>
      <c r="C961" s="26"/>
      <c r="D961" s="40"/>
      <c r="E961" s="5"/>
    </row>
    <row r="962">
      <c r="A962" s="5"/>
      <c r="B962" s="7"/>
      <c r="C962" s="26"/>
      <c r="D962" s="40"/>
      <c r="E962" s="5"/>
    </row>
    <row r="963">
      <c r="A963" s="5"/>
      <c r="B963" s="7"/>
      <c r="C963" s="26"/>
      <c r="D963" s="40"/>
      <c r="E963" s="5"/>
    </row>
    <row r="964">
      <c r="A964" s="5"/>
      <c r="B964" s="7"/>
      <c r="C964" s="26"/>
      <c r="D964" s="40"/>
      <c r="E964" s="5"/>
    </row>
    <row r="965">
      <c r="A965" s="5"/>
      <c r="B965" s="7"/>
      <c r="C965" s="26"/>
      <c r="D965" s="40"/>
      <c r="E965" s="5"/>
    </row>
    <row r="966">
      <c r="A966" s="5"/>
      <c r="B966" s="7"/>
      <c r="C966" s="26"/>
      <c r="D966" s="40"/>
      <c r="E966" s="5"/>
    </row>
    <row r="967">
      <c r="A967" s="5"/>
      <c r="B967" s="7"/>
      <c r="C967" s="26"/>
      <c r="D967" s="40"/>
      <c r="E967" s="5"/>
    </row>
    <row r="968">
      <c r="A968" s="5"/>
      <c r="B968" s="7"/>
      <c r="C968" s="26"/>
      <c r="D968" s="40"/>
      <c r="E968" s="5"/>
    </row>
    <row r="969">
      <c r="A969" s="5"/>
      <c r="B969" s="7"/>
      <c r="C969" s="26"/>
      <c r="D969" s="40"/>
      <c r="E969" s="5"/>
    </row>
    <row r="970">
      <c r="A970" s="5"/>
      <c r="B970" s="7"/>
      <c r="C970" s="26"/>
      <c r="D970" s="40"/>
      <c r="E970" s="5"/>
    </row>
    <row r="971">
      <c r="A971" s="5"/>
      <c r="B971" s="7"/>
      <c r="C971" s="26"/>
      <c r="D971" s="40"/>
      <c r="E971" s="5"/>
    </row>
    <row r="972">
      <c r="A972" s="5"/>
      <c r="B972" s="7"/>
      <c r="C972" s="26"/>
      <c r="D972" s="40"/>
      <c r="E972" s="5"/>
    </row>
    <row r="973">
      <c r="A973" s="5"/>
      <c r="B973" s="7"/>
      <c r="C973" s="26"/>
      <c r="D973" s="40"/>
      <c r="E973" s="5"/>
    </row>
    <row r="974">
      <c r="A974" s="5"/>
      <c r="B974" s="7"/>
      <c r="C974" s="26"/>
      <c r="D974" s="40"/>
      <c r="E974" s="5"/>
    </row>
    <row r="975">
      <c r="A975" s="5"/>
      <c r="B975" s="7"/>
      <c r="C975" s="26"/>
      <c r="D975" s="40"/>
      <c r="E975" s="5"/>
    </row>
    <row r="976">
      <c r="A976" s="5"/>
      <c r="B976" s="7"/>
      <c r="C976" s="26"/>
      <c r="D976" s="40"/>
      <c r="E976" s="5"/>
    </row>
    <row r="977">
      <c r="A977" s="5"/>
      <c r="B977" s="7"/>
      <c r="C977" s="26"/>
      <c r="D977" s="40"/>
      <c r="E977" s="5"/>
    </row>
    <row r="978">
      <c r="A978" s="5"/>
      <c r="B978" s="7"/>
      <c r="C978" s="26"/>
      <c r="D978" s="40"/>
      <c r="E978" s="5"/>
    </row>
    <row r="979">
      <c r="A979" s="5"/>
      <c r="B979" s="7"/>
      <c r="C979" s="26"/>
      <c r="D979" s="40"/>
      <c r="E979" s="5"/>
    </row>
    <row r="980">
      <c r="A980" s="5"/>
      <c r="B980" s="7"/>
      <c r="C980" s="26"/>
      <c r="D980" s="40"/>
      <c r="E980" s="5"/>
    </row>
    <row r="981">
      <c r="A981" s="5"/>
      <c r="B981" s="7"/>
      <c r="C981" s="26"/>
      <c r="D981" s="40"/>
      <c r="E981" s="5"/>
    </row>
    <row r="982">
      <c r="A982" s="5"/>
      <c r="B982" s="7"/>
      <c r="C982" s="26"/>
      <c r="D982" s="40"/>
      <c r="E982" s="5"/>
    </row>
    <row r="983">
      <c r="A983" s="5"/>
      <c r="B983" s="7"/>
      <c r="C983" s="26"/>
      <c r="D983" s="40"/>
      <c r="E983" s="5"/>
    </row>
    <row r="984">
      <c r="A984" s="5"/>
      <c r="B984" s="7"/>
      <c r="C984" s="26"/>
      <c r="D984" s="40"/>
      <c r="E984" s="5"/>
    </row>
    <row r="985">
      <c r="A985" s="5"/>
      <c r="B985" s="7"/>
      <c r="C985" s="26"/>
      <c r="D985" s="40"/>
      <c r="E985" s="5"/>
    </row>
    <row r="986">
      <c r="A986" s="5"/>
      <c r="B986" s="7"/>
      <c r="C986" s="26"/>
      <c r="D986" s="40"/>
      <c r="E986" s="5"/>
    </row>
    <row r="987">
      <c r="A987" s="5"/>
      <c r="B987" s="7"/>
      <c r="C987" s="26"/>
      <c r="D987" s="40"/>
      <c r="E987" s="5"/>
    </row>
    <row r="988">
      <c r="A988" s="5"/>
      <c r="B988" s="7"/>
      <c r="C988" s="26"/>
      <c r="D988" s="40"/>
      <c r="E988" s="5"/>
    </row>
    <row r="989">
      <c r="A989" s="5"/>
      <c r="B989" s="7"/>
      <c r="C989" s="26"/>
      <c r="D989" s="40"/>
      <c r="E989" s="5"/>
    </row>
    <row r="990">
      <c r="A990" s="5"/>
      <c r="B990" s="7"/>
      <c r="C990" s="26"/>
      <c r="D990" s="40"/>
      <c r="E990" s="5"/>
    </row>
    <row r="991">
      <c r="A991" s="5"/>
      <c r="B991" s="7"/>
      <c r="C991" s="26"/>
      <c r="D991" s="40"/>
      <c r="E991" s="5"/>
    </row>
    <row r="992">
      <c r="A992" s="5"/>
      <c r="B992" s="7"/>
      <c r="C992" s="26"/>
      <c r="D992" s="40"/>
      <c r="E992" s="5"/>
    </row>
    <row r="993">
      <c r="A993" s="5"/>
      <c r="B993" s="7"/>
      <c r="C993" s="26"/>
      <c r="D993" s="40"/>
      <c r="E993" s="5"/>
    </row>
    <row r="994">
      <c r="A994" s="5"/>
      <c r="B994" s="7"/>
      <c r="C994" s="26"/>
      <c r="D994" s="40"/>
      <c r="E994" s="5"/>
    </row>
    <row r="995">
      <c r="A995" s="5"/>
      <c r="B995" s="7"/>
      <c r="C995" s="26"/>
      <c r="D995" s="40"/>
      <c r="E995" s="5"/>
    </row>
    <row r="996">
      <c r="A996" s="5"/>
      <c r="B996" s="7"/>
      <c r="C996" s="26"/>
      <c r="D996" s="40"/>
      <c r="E996" s="5"/>
    </row>
    <row r="997">
      <c r="A997" s="5"/>
      <c r="B997" s="7"/>
      <c r="C997" s="26"/>
      <c r="D997" s="40"/>
      <c r="E997" s="5"/>
    </row>
    <row r="998">
      <c r="A998" s="5"/>
      <c r="B998" s="7"/>
      <c r="C998" s="26"/>
      <c r="D998" s="40"/>
      <c r="E998" s="5"/>
    </row>
    <row r="999">
      <c r="A999" s="5"/>
      <c r="B999" s="7"/>
      <c r="C999" s="26"/>
      <c r="D999" s="40"/>
      <c r="E999" s="5"/>
    </row>
    <row r="1000">
      <c r="A1000" s="5"/>
      <c r="B1000" s="7"/>
      <c r="C1000" s="26"/>
      <c r="D1000" s="40"/>
      <c r="E1000" s="5"/>
    </row>
    <row r="1001">
      <c r="A1001" s="5"/>
      <c r="B1001" s="7"/>
      <c r="C1001" s="26"/>
      <c r="D1001" s="40"/>
      <c r="E1001" s="5"/>
    </row>
    <row r="1002">
      <c r="A1002" s="5"/>
      <c r="B1002" s="7"/>
      <c r="C1002" s="26"/>
      <c r="D1002" s="40"/>
      <c r="E1002" s="5"/>
    </row>
    <row r="1003">
      <c r="A1003" s="5"/>
      <c r="B1003" s="7"/>
      <c r="C1003" s="26"/>
      <c r="D1003" s="40"/>
      <c r="E1003" s="5"/>
    </row>
    <row r="1004">
      <c r="A1004" s="5"/>
      <c r="B1004" s="7"/>
      <c r="C1004" s="26"/>
      <c r="D1004" s="40"/>
      <c r="E1004" s="5"/>
    </row>
    <row r="1005">
      <c r="A1005" s="5"/>
      <c r="B1005" s="7"/>
      <c r="C1005" s="26"/>
      <c r="D1005" s="40"/>
      <c r="E1005" s="5"/>
    </row>
    <row r="1006">
      <c r="A1006" s="5"/>
      <c r="B1006" s="7"/>
      <c r="C1006" s="26"/>
      <c r="D1006" s="40"/>
      <c r="E1006" s="5"/>
    </row>
    <row r="1007">
      <c r="A1007" s="5"/>
      <c r="B1007" s="7"/>
      <c r="C1007" s="26"/>
      <c r="D1007" s="40"/>
      <c r="E1007" s="5"/>
    </row>
    <row r="1008">
      <c r="A1008" s="5"/>
      <c r="B1008" s="7"/>
      <c r="C1008" s="26"/>
      <c r="D1008" s="40"/>
      <c r="E1008" s="5"/>
    </row>
    <row r="1009">
      <c r="A1009" s="5"/>
      <c r="B1009" s="7"/>
      <c r="C1009" s="26"/>
      <c r="D1009" s="40"/>
      <c r="E100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1.88"/>
    <col customWidth="1" min="3" max="3" width="15.13"/>
    <col customWidth="1" min="5" max="5" width="16.5"/>
    <col customWidth="1" min="6" max="6" width="15.13"/>
    <col customWidth="1" min="8" max="8" width="15.88"/>
    <col customWidth="1" min="9" max="9" width="18.38"/>
    <col customWidth="1" min="10" max="10" width="15.88"/>
    <col customWidth="1" min="11" max="11" width="21.75"/>
    <col customWidth="1" min="12" max="12" width="19.25"/>
    <col customWidth="1" min="13" max="13" width="15.63"/>
  </cols>
  <sheetData>
    <row r="1" ht="22.5" customHeight="1">
      <c r="A1" s="41" t="s">
        <v>67</v>
      </c>
      <c r="B1" s="42" t="s">
        <v>18</v>
      </c>
      <c r="C1" s="41" t="s">
        <v>68</v>
      </c>
      <c r="D1" s="43" t="s">
        <v>69</v>
      </c>
      <c r="E1" s="41" t="s">
        <v>70</v>
      </c>
      <c r="F1" s="44" t="s">
        <v>71</v>
      </c>
      <c r="G1" s="45" t="s">
        <v>72</v>
      </c>
      <c r="H1" s="41" t="s">
        <v>73</v>
      </c>
      <c r="I1" s="41" t="s">
        <v>74</v>
      </c>
      <c r="J1" s="44" t="s">
        <v>75</v>
      </c>
      <c r="K1" s="46" t="s">
        <v>76</v>
      </c>
      <c r="L1" s="41" t="s">
        <v>77</v>
      </c>
      <c r="M1" s="41" t="s">
        <v>78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22.5" customHeight="1">
      <c r="A2" s="47">
        <v>45901.0</v>
      </c>
      <c r="B2" s="48" t="str">
        <f t="shared" ref="B2:B1001" si="1">IFERROR(IF(A2&lt;&gt;"",TEXT(A2, "yyyy-mm"),""),"")</f>
        <v>2025-09</v>
      </c>
      <c r="C2" s="49">
        <f>SUMIF(despesas_recorrentes!C:C, "&gt;="&amp;A2,despesas_recorrentes!B:B) 
+SUMIF(despesas_recorrentes!C:C, "",despesas_recorrentes!B:B)
-despesas_recorrentes!$B$12
+IF(SUMIF(gasto_cartao!E:E,saldo!B2,gasto_cartao!B:B)&gt;despesas_recorrentes!$B$12, SUMIF(gasto_cartao!E:E,saldo!B2,gasto_cartao!B:B),despesas_recorrentes!$B$12)</f>
        <v>63389.75</v>
      </c>
      <c r="D2" s="50">
        <f>SUM(receitas_recorrentes!B:B)+SUMIF(receitas_pontuais!E:E,B2,receitas_pontuais!B:B)</f>
        <v>56919</v>
      </c>
      <c r="E2" s="49">
        <f t="shared" ref="E2:E1001" si="2">D2-C2</f>
        <v>-6470.75</v>
      </c>
      <c r="F2" s="49">
        <f>IFERROR(SUMIF(contas!G:G, B2, contas!B:B),0)</f>
        <v>0</v>
      </c>
      <c r="G2" s="51">
        <f>SUMIFS(previsoes!D:D, previsoes!E:E, "&lt;=" &amp; EOMONTH(DATEVALUE(B2&amp;"-01"),0), previsoes!F:F, "&gt;=" &amp; DATEVALUE(B2&amp;"-01"))</f>
        <v>0</v>
      </c>
      <c r="H2" s="52">
        <f>G2</f>
        <v>0</v>
      </c>
      <c r="I2" s="49">
        <f t="shared" ref="I2:I1001" si="3">E2-G2</f>
        <v>-6470.75</v>
      </c>
      <c r="J2" s="52">
        <f>IF(A2&lt;&gt;"",SUMIFS(metas!N:N, metas!E:E, "&gt;=" &amp; DATEVALUE(B2&amp;"-01"),metas!D:D, "&lt;=" &amp; DATEVALUE(B2&amp;"-01")),"")</f>
        <v>15092.72522</v>
      </c>
      <c r="K2" s="49">
        <f t="shared" ref="K2:K1001" si="4">IF(I2&gt;0, I2-J2,-J2)</f>
        <v>-15092.72522</v>
      </c>
      <c r="L2" s="49">
        <f>K2</f>
        <v>-15092.72522</v>
      </c>
      <c r="M2" s="49">
        <f>IF(A2&lt;&gt;"",SUM(investimento!B:B)+I2,"")</f>
        <v>126573.87</v>
      </c>
    </row>
    <row r="3" ht="22.5" customHeight="1">
      <c r="A3" s="47">
        <v>45931.0</v>
      </c>
      <c r="B3" s="48" t="str">
        <f t="shared" si="1"/>
        <v>2025-10</v>
      </c>
      <c r="C3" s="49">
        <f>SUMIF(despesas_recorrentes!C:C, "&gt;="&amp;A3,despesas_recorrentes!B:B) 
+SUMIF(despesas_recorrentes!C:C, "",despesas_recorrentes!B:B)
-despesas_recorrentes!$B$12
+IF(SUMIF(gasto_cartao!E:E,saldo!B3,gasto_cartao!B:B)&gt;despesas_recorrentes!$B$12, SUMIF(gasto_cartao!E:E,saldo!B3,gasto_cartao!B:B),despesas_recorrentes!$B$12)</f>
        <v>51079.14</v>
      </c>
      <c r="D3" s="50">
        <f>SUM(receitas_recorrentes!B:B)+SUMIF(receitas_pontuais!E:E,B3,receitas_pontuais!B:B)</f>
        <v>56919</v>
      </c>
      <c r="E3" s="49">
        <f t="shared" si="2"/>
        <v>5839.86</v>
      </c>
      <c r="F3" s="49">
        <f>IFERROR(SUMIF(contas!G:G, B3, contas!B:B),0)</f>
        <v>0</v>
      </c>
      <c r="G3" s="51">
        <f>SUMIFS(previsoes!D:D, previsoes!E:E, "&lt;=" &amp; EOMONTH(DATEVALUE(B3&amp;"-01"),0), previsoes!F:F, "&gt;=" &amp; DATEVALUE(B3&amp;"-01"))</f>
        <v>0</v>
      </c>
      <c r="H3" s="52">
        <f t="shared" ref="H3:H1001" si="5">H2+G3</f>
        <v>0</v>
      </c>
      <c r="I3" s="49">
        <f t="shared" si="3"/>
        <v>5839.86</v>
      </c>
      <c r="J3" s="52">
        <f>IF(A3&lt;&gt;"",SUMIFS(metas!N:N, metas!E:E, "&gt;=" &amp; DATEVALUE(B3&amp;"-01"),metas!D:D, "&lt;=" &amp; DATEVALUE(B3&amp;"-01")),"")</f>
        <v>15092.72522</v>
      </c>
      <c r="K3" s="49">
        <f t="shared" si="4"/>
        <v>-9252.865222</v>
      </c>
      <c r="L3" s="49">
        <f t="shared" ref="L3:L1001" si="6">K3+L2</f>
        <v>-24345.59044</v>
      </c>
      <c r="M3" s="49">
        <f>IF(A3&lt;&gt;"",IF(COUNTIF(investimento!F:F, B3) &gt; 0, SUM(investimento!B:B)+I3, M2+I3),"")</f>
        <v>132413.73</v>
      </c>
    </row>
    <row r="4" ht="22.5" customHeight="1">
      <c r="A4" s="47">
        <v>45962.0</v>
      </c>
      <c r="B4" s="48" t="str">
        <f t="shared" si="1"/>
        <v>2025-11</v>
      </c>
      <c r="C4" s="49">
        <f>SUMIF(despesas_recorrentes!C:C, "&gt;="&amp;A4,despesas_recorrentes!B:B) 
+SUMIF(despesas_recorrentes!C:C, "",despesas_recorrentes!B:B)
-despesas_recorrentes!$B$12
+IF(SUMIF(gasto_cartao!E:E,saldo!B4,gasto_cartao!B:B)&gt;despesas_recorrentes!$B$12, SUMIF(gasto_cartao!E:E,saldo!B4,gasto_cartao!B:B),despesas_recorrentes!$B$12)</f>
        <v>57939.69</v>
      </c>
      <c r="D4" s="50">
        <f>SUM(receitas_recorrentes!B:B)+SUMIF(receitas_pontuais!E:E,B4,receitas_pontuais!B:B)</f>
        <v>56919</v>
      </c>
      <c r="E4" s="49">
        <f t="shared" si="2"/>
        <v>-1020.69</v>
      </c>
      <c r="F4" s="49">
        <f>IFERROR(SUMIF(contas!G:G, B4, contas!B:B),0)</f>
        <v>0</v>
      </c>
      <c r="G4" s="51">
        <f>SUMIFS(previsoes!D:D, previsoes!E:E, "&lt;=" &amp; EOMONTH(DATEVALUE(B4&amp;"-01"),0), previsoes!F:F, "&gt;=" &amp; DATEVALUE(B4&amp;"-01"))</f>
        <v>0</v>
      </c>
      <c r="H4" s="52">
        <f t="shared" si="5"/>
        <v>0</v>
      </c>
      <c r="I4" s="49">
        <f t="shared" si="3"/>
        <v>-1020.69</v>
      </c>
      <c r="J4" s="52">
        <f>IF(A4&lt;&gt;"",SUMIFS(metas!N:N, metas!E:E, "&gt;=" &amp; DATEVALUE(B4&amp;"-01"),metas!D:D, "&lt;=" &amp; DATEVALUE(B4&amp;"-01")),"")</f>
        <v>15092.72522</v>
      </c>
      <c r="K4" s="49">
        <f t="shared" si="4"/>
        <v>-15092.72522</v>
      </c>
      <c r="L4" s="49">
        <f t="shared" si="6"/>
        <v>-39438.31567</v>
      </c>
      <c r="M4" s="49">
        <f>IF(A4&lt;&gt;"",IF(COUNTIF(investimento!F:F, B4) &gt; 0, SUM(investimento!B:B)+I4, M3+I4),"")</f>
        <v>131393.04</v>
      </c>
    </row>
    <row r="5" ht="22.5" customHeight="1">
      <c r="A5" s="47">
        <v>45992.0</v>
      </c>
      <c r="B5" s="48" t="str">
        <f t="shared" si="1"/>
        <v>2025-12</v>
      </c>
      <c r="C5" s="49">
        <f>SUMIF(despesas_recorrentes!C:C, "&gt;="&amp;A5,despesas_recorrentes!B:B) 
+SUMIF(despesas_recorrentes!C:C, "",despesas_recorrentes!B:B)
-despesas_recorrentes!$B$12
+IF(SUMIF(gasto_cartao!E:E,saldo!B5,gasto_cartao!B:B)&gt;despesas_recorrentes!$B$12, SUMIF(gasto_cartao!E:E,saldo!B5,gasto_cartao!B:B),despesas_recorrentes!$B$12)</f>
        <v>51056.21</v>
      </c>
      <c r="D5" s="50">
        <f>SUM(receitas_recorrentes!B:B)+SUMIF(receitas_pontuais!E:E,B5,receitas_pontuais!B:B)</f>
        <v>56919</v>
      </c>
      <c r="E5" s="49">
        <f t="shared" si="2"/>
        <v>5862.79</v>
      </c>
      <c r="F5" s="49">
        <f>IFERROR(SUMIF(contas!G:G, B5, contas!B:B),0)</f>
        <v>0</v>
      </c>
      <c r="G5" s="51">
        <f>SUMIFS(previsoes!D:D, previsoes!E:E, "&lt;=" &amp; EOMONTH(DATEVALUE(B5&amp;"-01"),0), previsoes!F:F, "&gt;=" &amp; DATEVALUE(B5&amp;"-01"))</f>
        <v>0</v>
      </c>
      <c r="H5" s="52">
        <f t="shared" si="5"/>
        <v>0</v>
      </c>
      <c r="I5" s="49">
        <f t="shared" si="3"/>
        <v>5862.79</v>
      </c>
      <c r="J5" s="52">
        <f>IF(A5&lt;&gt;"",SUMIFS(metas!N:N, metas!E:E, "&gt;=" &amp; DATEVALUE(B5&amp;"-01"),metas!D:D, "&lt;=" &amp; DATEVALUE(B5&amp;"-01")),"")</f>
        <v>15092.72522</v>
      </c>
      <c r="K5" s="49">
        <f t="shared" si="4"/>
        <v>-9229.935222</v>
      </c>
      <c r="L5" s="49">
        <f t="shared" si="6"/>
        <v>-48668.25089</v>
      </c>
      <c r="M5" s="49">
        <f>IF(A5&lt;&gt;"",IF(COUNTIF(investimento!F:F, B5) &gt; 0, SUM(investimento!B:B)+I5, M4+I5),"")</f>
        <v>137255.83</v>
      </c>
    </row>
    <row r="6" ht="22.5" customHeight="1">
      <c r="A6" s="47">
        <v>46023.0</v>
      </c>
      <c r="B6" s="48" t="str">
        <f t="shared" si="1"/>
        <v>2026-01</v>
      </c>
      <c r="C6" s="49">
        <f>SUMIF(despesas_recorrentes!C:C, "&gt;="&amp;A6,despesas_recorrentes!B:B) 
+SUMIF(despesas_recorrentes!C:C, "",despesas_recorrentes!B:B)
-despesas_recorrentes!$B$12
+IF(SUMIF(gasto_cartao!E:E,saldo!B6,gasto_cartao!B:B)&gt;despesas_recorrentes!$B$12, SUMIF(gasto_cartao!E:E,saldo!B6,gasto_cartao!B:B),despesas_recorrentes!$B$12)</f>
        <v>72279.47</v>
      </c>
      <c r="D6" s="50">
        <f>SUM(receitas_recorrentes!B:B)+SUMIF(receitas_pontuais!E:E,B6,receitas_pontuais!B:B)</f>
        <v>56919</v>
      </c>
      <c r="E6" s="50">
        <f t="shared" si="2"/>
        <v>-15360.47</v>
      </c>
      <c r="F6" s="49">
        <f>IFERROR(SUMIF(contas!G:G, B6, contas!B:B),0)</f>
        <v>9450</v>
      </c>
      <c r="G6" s="51">
        <f>SUMIFS(previsoes!D:D, previsoes!E:E, "&lt;=" &amp; EOMONTH(DATEVALUE(B6&amp;"-01"),0), previsoes!F:F, "&gt;=" &amp; DATEVALUE(B6&amp;"-01"))</f>
        <v>0</v>
      </c>
      <c r="H6" s="52">
        <f t="shared" si="5"/>
        <v>0</v>
      </c>
      <c r="I6" s="49">
        <f t="shared" si="3"/>
        <v>-15360.47</v>
      </c>
      <c r="J6" s="52">
        <f>IF(A6&lt;&gt;"",SUMIFS(metas!N:N, metas!E:E, "&gt;=" &amp; DATEVALUE(B6&amp;"-01"),metas!D:D, "&lt;=" &amp; DATEVALUE(B6&amp;"-01")),"")</f>
        <v>15092.72522</v>
      </c>
      <c r="K6" s="49">
        <f t="shared" si="4"/>
        <v>-15092.72522</v>
      </c>
      <c r="L6" s="49">
        <f t="shared" si="6"/>
        <v>-63760.97611</v>
      </c>
      <c r="M6" s="49">
        <f>IF(A6&lt;&gt;"",IF(COUNTIF(investimento!F:F, B6) &gt; 0, SUM(investimento!B:B)+I6, M5+I6),"")</f>
        <v>121895.36</v>
      </c>
    </row>
    <row r="7" ht="22.5" customHeight="1">
      <c r="A7" s="47">
        <v>46054.0</v>
      </c>
      <c r="B7" s="48" t="str">
        <f t="shared" si="1"/>
        <v>2026-02</v>
      </c>
      <c r="C7" s="49">
        <f>SUMIF(despesas_recorrentes!C:C, "&gt;="&amp;A7,despesas_recorrentes!B:B) 
+SUMIF(despesas_recorrentes!C:C, "",despesas_recorrentes!B:B)
-despesas_recorrentes!$B$12
+IF(SUMIF(gasto_cartao!E:E,saldo!B7,gasto_cartao!B:B)&gt;despesas_recorrentes!$B$12, SUMIF(gasto_cartao!E:E,saldo!B7,gasto_cartao!B:B),despesas_recorrentes!$B$12)</f>
        <v>65255.53</v>
      </c>
      <c r="D7" s="50">
        <f>SUM(receitas_recorrentes!B:B)+SUMIF(receitas_pontuais!E:E,B7,receitas_pontuais!B:B)</f>
        <v>56919</v>
      </c>
      <c r="E7" s="50">
        <f t="shared" si="2"/>
        <v>-8336.53</v>
      </c>
      <c r="F7" s="49">
        <f>IFERROR(SUMIF(contas!G:G, B7, contas!B:B),0)</f>
        <v>0</v>
      </c>
      <c r="G7" s="51">
        <f>SUMIFS(previsoes!D:D, previsoes!E:E, "&lt;=" &amp; EOMONTH(DATEVALUE(B7&amp;"-01"),0), previsoes!F:F, "&gt;=" &amp; DATEVALUE(B7&amp;"-01"))</f>
        <v>0</v>
      </c>
      <c r="H7" s="52">
        <f t="shared" si="5"/>
        <v>0</v>
      </c>
      <c r="I7" s="49">
        <f t="shared" si="3"/>
        <v>-8336.53</v>
      </c>
      <c r="J7" s="52">
        <f>IF(A7&lt;&gt;"",SUMIFS(metas!N:N, metas!E:E, "&gt;=" &amp; DATEVALUE(B7&amp;"-01"),metas!D:D, "&lt;=" &amp; DATEVALUE(B7&amp;"-01")),"")</f>
        <v>15092.72522</v>
      </c>
      <c r="K7" s="49">
        <f t="shared" si="4"/>
        <v>-15092.72522</v>
      </c>
      <c r="L7" s="49">
        <f t="shared" si="6"/>
        <v>-78853.70133</v>
      </c>
      <c r="M7" s="49">
        <f>IF(A7&lt;&gt;"",IF(COUNTIF(investimento!F:F, B7) &gt; 0, SUM(investimento!B:B)+I7, M6+I7),"")</f>
        <v>113558.83</v>
      </c>
    </row>
    <row r="8" ht="22.5" customHeight="1">
      <c r="A8" s="47">
        <v>46082.0</v>
      </c>
      <c r="B8" s="48" t="str">
        <f t="shared" si="1"/>
        <v>2026-03</v>
      </c>
      <c r="C8" s="49">
        <f>SUMIF(despesas_recorrentes!C:C, "&gt;="&amp;A8,despesas_recorrentes!B:B) 
+SUMIF(despesas_recorrentes!C:C, "",despesas_recorrentes!B:B)
-despesas_recorrentes!$B$12
+IF(SUMIF(gasto_cartao!E:E,saldo!B8,gasto_cartao!B:B)&gt;despesas_recorrentes!$B$12, SUMIF(gasto_cartao!E:E,saldo!B8,gasto_cartao!B:B),despesas_recorrentes!$B$12)</f>
        <v>57908.03</v>
      </c>
      <c r="D8" s="50">
        <f>SUM(receitas_recorrentes!B:B)+SUMIF(receitas_pontuais!E:E,B8,receitas_pontuais!B:B)</f>
        <v>56919</v>
      </c>
      <c r="E8" s="50">
        <f t="shared" si="2"/>
        <v>-989.03</v>
      </c>
      <c r="F8" s="49">
        <f>IFERROR(SUMIF(contas!G:G, B8, contas!B:B),0)</f>
        <v>0</v>
      </c>
      <c r="G8" s="51">
        <f>SUMIFS(previsoes!D:D, previsoes!E:E, "&lt;=" &amp; EOMONTH(DATEVALUE(B8&amp;"-01"),0), previsoes!F:F, "&gt;=" &amp; DATEVALUE(B8&amp;"-01"))</f>
        <v>0</v>
      </c>
      <c r="H8" s="52">
        <f t="shared" si="5"/>
        <v>0</v>
      </c>
      <c r="I8" s="49">
        <f t="shared" si="3"/>
        <v>-989.03</v>
      </c>
      <c r="J8" s="52">
        <f>IF(A8&lt;&gt;"",SUMIFS(metas!N:N, metas!E:E, "&gt;=" &amp; DATEVALUE(B8&amp;"-01"),metas!D:D, "&lt;=" &amp; DATEVALUE(B8&amp;"-01")),"")</f>
        <v>15092.72522</v>
      </c>
      <c r="K8" s="49">
        <f t="shared" si="4"/>
        <v>-15092.72522</v>
      </c>
      <c r="L8" s="49">
        <f t="shared" si="6"/>
        <v>-93946.42656</v>
      </c>
      <c r="M8" s="49">
        <f>IF(A8&lt;&gt;"",IF(COUNTIF(investimento!F:F, B8) &gt; 0, SUM(investimento!B:B)+I8, M7+I8),"")</f>
        <v>112569.8</v>
      </c>
    </row>
    <row r="9" ht="22.5" customHeight="1">
      <c r="A9" s="47">
        <v>46113.0</v>
      </c>
      <c r="B9" s="48" t="str">
        <f t="shared" si="1"/>
        <v>2026-04</v>
      </c>
      <c r="C9" s="49">
        <f>SUMIF(despesas_recorrentes!C:C, "&gt;="&amp;A9,despesas_recorrentes!B:B) 
+SUMIF(despesas_recorrentes!C:C, "",despesas_recorrentes!B:B)
-despesas_recorrentes!$B$12
+IF(SUMIF(gasto_cartao!E:E,saldo!B9,gasto_cartao!B:B)&gt;despesas_recorrentes!$B$12, SUMIF(gasto_cartao!E:E,saldo!B9,gasto_cartao!B:B),despesas_recorrentes!$B$12)</f>
        <v>63350.36</v>
      </c>
      <c r="D9" s="50">
        <f>SUM(receitas_recorrentes!B:B)+SUMIF(receitas_pontuais!E:E,B9,receitas_pontuais!B:B)</f>
        <v>56919</v>
      </c>
      <c r="E9" s="50">
        <f t="shared" si="2"/>
        <v>-6431.36</v>
      </c>
      <c r="F9" s="49">
        <f>IFERROR(SUMIF(contas!G:G, B9, contas!B:B),0)</f>
        <v>0</v>
      </c>
      <c r="G9" s="51">
        <f>SUMIFS(previsoes!D:D, previsoes!E:E, "&lt;=" &amp; EOMONTH(DATEVALUE(B9&amp;"-01"),0), previsoes!F:F, "&gt;=" &amp; DATEVALUE(B9&amp;"-01"))</f>
        <v>0</v>
      </c>
      <c r="H9" s="52">
        <f t="shared" si="5"/>
        <v>0</v>
      </c>
      <c r="I9" s="49">
        <f t="shared" si="3"/>
        <v>-6431.36</v>
      </c>
      <c r="J9" s="52">
        <f>IF(A9&lt;&gt;"",SUMIFS(metas!N:N, metas!E:E, "&gt;=" &amp; DATEVALUE(B9&amp;"-01"),metas!D:D, "&lt;=" &amp; DATEVALUE(B9&amp;"-01")),"")</f>
        <v>15092.72522</v>
      </c>
      <c r="K9" s="49">
        <f t="shared" si="4"/>
        <v>-15092.72522</v>
      </c>
      <c r="L9" s="49">
        <f t="shared" si="6"/>
        <v>-109039.1518</v>
      </c>
      <c r="M9" s="49">
        <f>IF(A9&lt;&gt;"",IF(COUNTIF(investimento!F:F, B9) &gt; 0, SUM(investimento!B:B)+I9, M8+I9),"")</f>
        <v>106138.44</v>
      </c>
    </row>
    <row r="10" ht="22.5" customHeight="1">
      <c r="A10" s="47">
        <v>46143.0</v>
      </c>
      <c r="B10" s="48" t="str">
        <f t="shared" si="1"/>
        <v>2026-05</v>
      </c>
      <c r="C10" s="49">
        <f>SUMIF(despesas_recorrentes!C:C, "&gt;="&amp;A10,despesas_recorrentes!B:B) 
+SUMIF(despesas_recorrentes!C:C, "",despesas_recorrentes!B:B)
-despesas_recorrentes!$B$12
+IF(SUMIF(gasto_cartao!E:E,saldo!B10,gasto_cartao!B:B)&gt;despesas_recorrentes!$B$12, SUMIF(gasto_cartao!E:E,saldo!B10,gasto_cartao!B:B),despesas_recorrentes!$B$12)</f>
        <v>57251</v>
      </c>
      <c r="D10" s="50">
        <f>SUM(receitas_recorrentes!B:B)+SUMIF(receitas_pontuais!E:E,B10,receitas_pontuais!B:B)</f>
        <v>56919</v>
      </c>
      <c r="E10" s="50">
        <f t="shared" si="2"/>
        <v>-332</v>
      </c>
      <c r="F10" s="49">
        <f>IFERROR(SUMIF(contas!G:G, B10, contas!B:B),0)</f>
        <v>0</v>
      </c>
      <c r="G10" s="51">
        <f>SUMIFS(previsoes!D:D, previsoes!E:E, "&lt;=" &amp; EOMONTH(DATEVALUE(B10&amp;"-01"),0), previsoes!F:F, "&gt;=" &amp; DATEVALUE(B10&amp;"-01"))</f>
        <v>0</v>
      </c>
      <c r="H10" s="52">
        <f t="shared" si="5"/>
        <v>0</v>
      </c>
      <c r="I10" s="49">
        <f t="shared" si="3"/>
        <v>-332</v>
      </c>
      <c r="J10" s="52">
        <f>IF(A10&lt;&gt;"",SUMIFS(metas!N:N, metas!E:E, "&gt;=" &amp; DATEVALUE(B10&amp;"-01"),metas!D:D, "&lt;=" &amp; DATEVALUE(B10&amp;"-01")),"")</f>
        <v>15092.72522</v>
      </c>
      <c r="K10" s="49">
        <f t="shared" si="4"/>
        <v>-15092.72522</v>
      </c>
      <c r="L10" s="49">
        <f t="shared" si="6"/>
        <v>-124131.877</v>
      </c>
      <c r="M10" s="49">
        <f>IF(A10&lt;&gt;"",IF(COUNTIF(investimento!F:F, B10) &gt; 0, SUM(investimento!B:B)+I10, M9+I10),"")</f>
        <v>105806.44</v>
      </c>
    </row>
    <row r="11" ht="22.5" customHeight="1">
      <c r="A11" s="47">
        <v>46174.0</v>
      </c>
      <c r="B11" s="48" t="str">
        <f t="shared" si="1"/>
        <v>2026-06</v>
      </c>
      <c r="C11" s="49">
        <f>SUMIF(despesas_recorrentes!C:C, "&gt;="&amp;A11,despesas_recorrentes!B:B) 
+SUMIF(despesas_recorrentes!C:C, "",despesas_recorrentes!B:B)
-despesas_recorrentes!$B$12
+IF(SUMIF(gasto_cartao!E:E,saldo!B11,gasto_cartao!B:B)&gt;despesas_recorrentes!$B$12, SUMIF(gasto_cartao!E:E,saldo!B11,gasto_cartao!B:B),despesas_recorrentes!$B$12)</f>
        <v>45856</v>
      </c>
      <c r="D11" s="50">
        <f>SUM(receitas_recorrentes!B:B)+SUMIF(receitas_pontuais!E:E,B11,receitas_pontuais!B:B)</f>
        <v>67365.74667</v>
      </c>
      <c r="E11" s="50">
        <f t="shared" si="2"/>
        <v>21509.74667</v>
      </c>
      <c r="F11" s="49">
        <f>IFERROR(SUMIF(contas!G:G, B11, contas!B:B),0)</f>
        <v>5321.81</v>
      </c>
      <c r="G11" s="51">
        <f>SUMIFS(previsoes!D:D, previsoes!E:E, "&lt;=" &amp; EOMONTH(DATEVALUE(B11&amp;"-01"),0), previsoes!F:F, "&gt;=" &amp; DATEVALUE(B11&amp;"-01"))</f>
        <v>0</v>
      </c>
      <c r="H11" s="52">
        <f t="shared" si="5"/>
        <v>0</v>
      </c>
      <c r="I11" s="49">
        <f t="shared" si="3"/>
        <v>21509.74667</v>
      </c>
      <c r="J11" s="52">
        <f>IF(A11&lt;&gt;"",SUMIFS(metas!N:N, metas!E:E, "&gt;=" &amp; DATEVALUE(B11&amp;"-01"),metas!D:D, "&lt;=" &amp; DATEVALUE(B11&amp;"-01")),"")</f>
        <v>15092.72522</v>
      </c>
      <c r="K11" s="49">
        <f t="shared" si="4"/>
        <v>6417.021444</v>
      </c>
      <c r="L11" s="49">
        <f t="shared" si="6"/>
        <v>-117714.8556</v>
      </c>
      <c r="M11" s="49">
        <f>IF(A11&lt;&gt;"",IF(COUNTIF(investimento!F:F, B11) &gt; 0, SUM(investimento!B:B)+I11, M10+I11),"")</f>
        <v>154554.3667</v>
      </c>
    </row>
    <row r="12" ht="22.5" customHeight="1">
      <c r="A12" s="47">
        <v>46204.0</v>
      </c>
      <c r="B12" s="48" t="str">
        <f t="shared" si="1"/>
        <v>2026-07</v>
      </c>
      <c r="C12" s="49">
        <f>SUMIF(despesas_recorrentes!C:C, "&gt;="&amp;A12,despesas_recorrentes!B:B) 
+SUMIF(despesas_recorrentes!C:C, "",despesas_recorrentes!B:B)
-despesas_recorrentes!$B$12
+IF(SUMIF(gasto_cartao!E:E,saldo!B12,gasto_cartao!B:B)&gt;despesas_recorrentes!$B$12, SUMIF(gasto_cartao!E:E,saldo!B12,gasto_cartao!B:B),despesas_recorrentes!$B$12)</f>
        <v>55921.79</v>
      </c>
      <c r="D12" s="50">
        <f>SUM(receitas_recorrentes!B:B)+SUMIF(receitas_pontuais!E:E,B12,receitas_pontuais!B:B)</f>
        <v>56919</v>
      </c>
      <c r="E12" s="50">
        <f t="shared" si="2"/>
        <v>997.21</v>
      </c>
      <c r="F12" s="49">
        <f>IFERROR(SUMIF(contas!G:G, B12, contas!B:B),0)</f>
        <v>0</v>
      </c>
      <c r="G12" s="51">
        <f>SUMIFS(previsoes!D:D, previsoes!E:E, "&lt;=" &amp; EOMONTH(DATEVALUE(B12&amp;"-01"),0), previsoes!F:F, "&gt;=" &amp; DATEVALUE(B12&amp;"-01"))</f>
        <v>0</v>
      </c>
      <c r="H12" s="52">
        <f t="shared" si="5"/>
        <v>0</v>
      </c>
      <c r="I12" s="49">
        <f t="shared" si="3"/>
        <v>997.21</v>
      </c>
      <c r="J12" s="52">
        <f>IF(A12&lt;&gt;"",SUMIFS(metas!N:N, metas!E:E, "&gt;=" &amp; DATEVALUE(B12&amp;"-01"),metas!D:D, "&lt;=" &amp; DATEVALUE(B12&amp;"-01")),"")</f>
        <v>13759.73294</v>
      </c>
      <c r="K12" s="49">
        <f t="shared" si="4"/>
        <v>-12762.52294</v>
      </c>
      <c r="L12" s="49">
        <f t="shared" si="6"/>
        <v>-130477.3785</v>
      </c>
      <c r="M12" s="49">
        <f>IF(A12&lt;&gt;"",IF(COUNTIF(investimento!F:F, B12) &gt; 0, SUM(investimento!B:B)+I12, M11+I12),"")</f>
        <v>155551.5767</v>
      </c>
    </row>
    <row r="13" ht="22.5" customHeight="1">
      <c r="A13" s="47">
        <v>46235.0</v>
      </c>
      <c r="B13" s="48" t="str">
        <f t="shared" si="1"/>
        <v>2026-08</v>
      </c>
      <c r="C13" s="49">
        <f>SUMIF(despesas_recorrentes!C:C, "&gt;="&amp;A13,despesas_recorrentes!B:B) 
+SUMIF(despesas_recorrentes!C:C, "",despesas_recorrentes!B:B)
-despesas_recorrentes!$B$12
+IF(SUMIF(gasto_cartao!E:E,saldo!B13,gasto_cartao!B:B)&gt;despesas_recorrentes!$B$12, SUMIF(gasto_cartao!E:E,saldo!B13,gasto_cartao!B:B),despesas_recorrentes!$B$12)</f>
        <v>43338</v>
      </c>
      <c r="D13" s="50">
        <f>SUM(receitas_recorrentes!B:B)+SUMIF(receitas_pontuais!E:E,B13,receitas_pontuais!B:B)</f>
        <v>62907</v>
      </c>
      <c r="E13" s="50">
        <f t="shared" si="2"/>
        <v>19569</v>
      </c>
      <c r="F13" s="49">
        <f>IFERROR(SUMIF(contas!G:G, B13, contas!B:B),0)</f>
        <v>0</v>
      </c>
      <c r="G13" s="51">
        <f>SUMIFS(previsoes!D:D, previsoes!E:E, "&lt;=" &amp; EOMONTH(DATEVALUE(B13&amp;"-01"),0), previsoes!F:F, "&gt;=" &amp; DATEVALUE(B13&amp;"-01"))</f>
        <v>5566.3425</v>
      </c>
      <c r="H13" s="52">
        <f t="shared" si="5"/>
        <v>5566.3425</v>
      </c>
      <c r="I13" s="49">
        <f t="shared" si="3"/>
        <v>14002.6575</v>
      </c>
      <c r="J13" s="52">
        <f>IF(A13&lt;&gt;"",SUMIFS(metas!N:N, metas!E:E, "&gt;=" &amp; DATEVALUE(B13&amp;"-01"),metas!D:D, "&lt;=" &amp; DATEVALUE(B13&amp;"-01")),"")</f>
        <v>13759.73294</v>
      </c>
      <c r="K13" s="49">
        <f t="shared" si="4"/>
        <v>242.9245635</v>
      </c>
      <c r="L13" s="49">
        <f t="shared" si="6"/>
        <v>-130234.4539</v>
      </c>
      <c r="M13" s="49">
        <f>IF(A13&lt;&gt;"",IF(COUNTIF(investimento!F:F, B13) &gt; 0, SUM(investimento!B:B)+I13, M12+I13),"")</f>
        <v>169554.2342</v>
      </c>
    </row>
    <row r="14" ht="22.5" customHeight="1">
      <c r="A14" s="47">
        <v>46266.0</v>
      </c>
      <c r="B14" s="48" t="str">
        <f t="shared" si="1"/>
        <v>2026-09</v>
      </c>
      <c r="C14" s="49">
        <f>SUMIF(despesas_recorrentes!C:C, "&gt;="&amp;A14,despesas_recorrentes!B:B) 
+SUMIF(despesas_recorrentes!C:C, "",despesas_recorrentes!B:B)
-despesas_recorrentes!$B$12
+IF(SUMIF(gasto_cartao!E:E,saldo!B14,gasto_cartao!B:B)&gt;despesas_recorrentes!$B$12, SUMIF(gasto_cartao!E:E,saldo!B14,gasto_cartao!B:B),despesas_recorrentes!$B$12)</f>
        <v>39410</v>
      </c>
      <c r="D14" s="50">
        <f>SUM(receitas_recorrentes!B:B)+SUMIF(receitas_pontuais!E:E,B14,receitas_pontuais!B:B)</f>
        <v>56919</v>
      </c>
      <c r="E14" s="50">
        <f t="shared" si="2"/>
        <v>17509</v>
      </c>
      <c r="F14" s="49">
        <f>IFERROR(SUMIF(contas!G:G, B14, contas!B:B),0)</f>
        <v>0</v>
      </c>
      <c r="G14" s="51">
        <f>SUMIFS(previsoes!D:D, previsoes!E:E, "&lt;=" &amp; EOMONTH(DATEVALUE(B14&amp;"-01"),0), previsoes!F:F, "&gt;=" &amp; DATEVALUE(B14&amp;"-01"))</f>
        <v>5566.3425</v>
      </c>
      <c r="H14" s="52">
        <f t="shared" si="5"/>
        <v>11132.685</v>
      </c>
      <c r="I14" s="49">
        <f t="shared" si="3"/>
        <v>11942.6575</v>
      </c>
      <c r="J14" s="52">
        <f>IF(A14&lt;&gt;"",SUMIFS(metas!N:N, metas!E:E, "&gt;=" &amp; DATEVALUE(B14&amp;"-01"),metas!D:D, "&lt;=" &amp; DATEVALUE(B14&amp;"-01")),"")</f>
        <v>13759.73294</v>
      </c>
      <c r="K14" s="49">
        <f t="shared" si="4"/>
        <v>-1817.075437</v>
      </c>
      <c r="L14" s="49">
        <f t="shared" si="6"/>
        <v>-132051.5294</v>
      </c>
      <c r="M14" s="49">
        <f>IF(A14&lt;&gt;"",IF(COUNTIF(investimento!F:F, B14) &gt; 0, SUM(investimento!B:B)+I14, M13+I14),"")</f>
        <v>181496.8917</v>
      </c>
    </row>
    <row r="15" ht="22.5" customHeight="1">
      <c r="A15" s="47">
        <v>46296.0</v>
      </c>
      <c r="B15" s="48" t="str">
        <f t="shared" si="1"/>
        <v>2026-10</v>
      </c>
      <c r="C15" s="49">
        <f>SUMIF(despesas_recorrentes!C:C, "&gt;="&amp;A15,despesas_recorrentes!B:B) 
+SUMIF(despesas_recorrentes!C:C, "",despesas_recorrentes!B:B)
-despesas_recorrentes!$B$12
+IF(SUMIF(gasto_cartao!E:E,saldo!B15,gasto_cartao!B:B)&gt;despesas_recorrentes!$B$12, SUMIF(gasto_cartao!E:E,saldo!B15,gasto_cartao!B:B),despesas_recorrentes!$B$12)</f>
        <v>34013</v>
      </c>
      <c r="D15" s="50">
        <f>SUM(receitas_recorrentes!B:B)+SUMIF(receitas_pontuais!E:E,B15,receitas_pontuais!B:B)</f>
        <v>56919</v>
      </c>
      <c r="E15" s="50">
        <f t="shared" si="2"/>
        <v>22906</v>
      </c>
      <c r="F15" s="49">
        <f>IFERROR(SUMIF(contas!G:G, B15, contas!B:B),0)</f>
        <v>0</v>
      </c>
      <c r="G15" s="51">
        <f>SUMIFS(previsoes!D:D, previsoes!E:E, "&lt;=" &amp; EOMONTH(DATEVALUE(B15&amp;"-01"),0), previsoes!F:F, "&gt;=" &amp; DATEVALUE(B15&amp;"-01"))</f>
        <v>8899.675833</v>
      </c>
      <c r="H15" s="52">
        <f t="shared" si="5"/>
        <v>20032.36083</v>
      </c>
      <c r="I15" s="49">
        <f t="shared" si="3"/>
        <v>14006.32417</v>
      </c>
      <c r="J15" s="52">
        <f>IF(A15&lt;&gt;"",SUMIFS(metas!N:N, metas!E:E, "&gt;=" &amp; DATEVALUE(B15&amp;"-01"),metas!D:D, "&lt;=" &amp; DATEVALUE(B15&amp;"-01")),"")</f>
        <v>13759.73294</v>
      </c>
      <c r="K15" s="49">
        <f t="shared" si="4"/>
        <v>246.5912302</v>
      </c>
      <c r="L15" s="49">
        <f t="shared" si="6"/>
        <v>-131804.9381</v>
      </c>
      <c r="M15" s="49">
        <f>IF(A15&lt;&gt;"",IF(COUNTIF(investimento!F:F, B15) &gt; 0, SUM(investimento!B:B)+I15, M14+I15),"")</f>
        <v>195503.2158</v>
      </c>
    </row>
    <row r="16" ht="22.5" customHeight="1">
      <c r="A16" s="47">
        <v>46327.0</v>
      </c>
      <c r="B16" s="48" t="str">
        <f t="shared" si="1"/>
        <v>2026-11</v>
      </c>
      <c r="C16" s="49">
        <f>SUMIF(despesas_recorrentes!C:C, "&gt;="&amp;A16,despesas_recorrentes!B:B) 
+SUMIF(despesas_recorrentes!C:C, "",despesas_recorrentes!B:B)
-despesas_recorrentes!$B$12
+IF(SUMIF(gasto_cartao!E:E,saldo!B16,gasto_cartao!B:B)&gt;despesas_recorrentes!$B$12, SUMIF(gasto_cartao!E:E,saldo!B16,gasto_cartao!B:B),despesas_recorrentes!$B$12)</f>
        <v>34013</v>
      </c>
      <c r="D16" s="50">
        <f>SUM(receitas_recorrentes!B:B)+SUMIF(receitas_pontuais!E:E,B16,receitas_pontuais!B:B)</f>
        <v>82719</v>
      </c>
      <c r="E16" s="50">
        <f t="shared" si="2"/>
        <v>48706</v>
      </c>
      <c r="F16" s="49">
        <f>IFERROR(SUMIF(contas!G:G, B16, contas!B:B),0)</f>
        <v>0</v>
      </c>
      <c r="G16" s="51">
        <f>SUMIFS(previsoes!D:D, previsoes!E:E, "&lt;=" &amp; EOMONTH(DATEVALUE(B16&amp;"-01"),0), previsoes!F:F, "&gt;=" &amp; DATEVALUE(B16&amp;"-01"))</f>
        <v>11899.67583</v>
      </c>
      <c r="H16" s="52">
        <f t="shared" si="5"/>
        <v>31932.03667</v>
      </c>
      <c r="I16" s="49">
        <f t="shared" si="3"/>
        <v>36806.32417</v>
      </c>
      <c r="J16" s="52">
        <f>IF(A16&lt;&gt;"",SUMIFS(metas!N:N, metas!E:E, "&gt;=" &amp; DATEVALUE(B16&amp;"-01"),metas!D:D, "&lt;=" &amp; DATEVALUE(B16&amp;"-01")),"")</f>
        <v>13759.73294</v>
      </c>
      <c r="K16" s="49">
        <f t="shared" si="4"/>
        <v>23046.59123</v>
      </c>
      <c r="L16" s="49">
        <f t="shared" si="6"/>
        <v>-108758.3469</v>
      </c>
      <c r="M16" s="49">
        <f>IF(A16&lt;&gt;"",IF(COUNTIF(investimento!F:F, B16) &gt; 0, SUM(investimento!B:B)+I16, M15+I16),"")</f>
        <v>232309.54</v>
      </c>
    </row>
    <row r="17" ht="22.5" customHeight="1">
      <c r="A17" s="47">
        <v>46357.0</v>
      </c>
      <c r="B17" s="48" t="str">
        <f t="shared" si="1"/>
        <v>2026-12</v>
      </c>
      <c r="C17" s="49">
        <f>SUMIF(despesas_recorrentes!C:C, "&gt;="&amp;A17,despesas_recorrentes!B:B) 
+SUMIF(despesas_recorrentes!C:C, "",despesas_recorrentes!B:B)
-despesas_recorrentes!$B$12
+IF(SUMIF(gasto_cartao!E:E,saldo!B17,gasto_cartao!B:B)&gt;despesas_recorrentes!$B$12, SUMIF(gasto_cartao!E:E,saldo!B17,gasto_cartao!B:B),despesas_recorrentes!$B$12)</f>
        <v>34013</v>
      </c>
      <c r="D17" s="50">
        <f>SUM(receitas_recorrentes!B:B)+SUMIF(receitas_pontuais!E:E,B17,receitas_pontuais!B:B)</f>
        <v>79418</v>
      </c>
      <c r="E17" s="50">
        <f t="shared" si="2"/>
        <v>45405</v>
      </c>
      <c r="F17" s="49">
        <f>IFERROR(SUMIF(contas!G:G, B17, contas!B:B),0)</f>
        <v>0</v>
      </c>
      <c r="G17" s="51">
        <f>SUMIFS(previsoes!D:D, previsoes!E:E, "&lt;=" &amp; EOMONTH(DATEVALUE(B17&amp;"-01"),0), previsoes!F:F, "&gt;=" &amp; DATEVALUE(B17&amp;"-01"))</f>
        <v>12899.67583</v>
      </c>
      <c r="H17" s="52">
        <f t="shared" si="5"/>
        <v>44831.7125</v>
      </c>
      <c r="I17" s="49">
        <f t="shared" si="3"/>
        <v>32505.32417</v>
      </c>
      <c r="J17" s="52">
        <f>IF(A17&lt;&gt;"",SUMIFS(metas!N:N, metas!E:E, "&gt;=" &amp; DATEVALUE(B17&amp;"-01"),metas!D:D, "&lt;=" &amp; DATEVALUE(B17&amp;"-01")),"")</f>
        <v>13759.73294</v>
      </c>
      <c r="K17" s="49">
        <f t="shared" si="4"/>
        <v>18745.59123</v>
      </c>
      <c r="L17" s="49">
        <f t="shared" si="6"/>
        <v>-90012.75567</v>
      </c>
      <c r="M17" s="49">
        <f>IF(A17&lt;&gt;"",IF(COUNTIF(investimento!F:F, B17) &gt; 0, SUM(investimento!B:B)+I17, M16+I17),"")</f>
        <v>264814.8642</v>
      </c>
    </row>
    <row r="18" ht="22.5" customHeight="1">
      <c r="A18" s="47">
        <v>46388.0</v>
      </c>
      <c r="B18" s="48" t="str">
        <f t="shared" si="1"/>
        <v>2027-01</v>
      </c>
      <c r="C18" s="49">
        <f>SUMIF(despesas_recorrentes!C:C, "&gt;="&amp;A18,despesas_recorrentes!B:B) 
+SUMIF(despesas_recorrentes!C:C, "",despesas_recorrentes!B:B)
-despesas_recorrentes!$B$12
+IF(SUMIF(gasto_cartao!E:E,saldo!B18,gasto_cartao!B:B)&gt;despesas_recorrentes!$B$12, SUMIF(gasto_cartao!E:E,saldo!B18,gasto_cartao!B:B),despesas_recorrentes!$B$12)</f>
        <v>34013</v>
      </c>
      <c r="D18" s="50">
        <f>SUM(receitas_recorrentes!B:B)+SUMIF(receitas_pontuais!E:E,B18,receitas_pontuais!B:B)</f>
        <v>56919</v>
      </c>
      <c r="E18" s="50">
        <f t="shared" si="2"/>
        <v>22906</v>
      </c>
      <c r="F18" s="49">
        <f>IFERROR(SUMIF(contas!G:G, B18, contas!B:B),0)</f>
        <v>0</v>
      </c>
      <c r="G18" s="51">
        <f>SUMIFS(previsoes!D:D, previsoes!E:E, "&lt;=" &amp; EOMONTH(DATEVALUE(B18&amp;"-01"),0), previsoes!F:F, "&gt;=" &amp; DATEVALUE(B18&amp;"-01"))</f>
        <v>9899.675833</v>
      </c>
      <c r="H18" s="52">
        <f t="shared" si="5"/>
        <v>54731.38833</v>
      </c>
      <c r="I18" s="49">
        <f t="shared" si="3"/>
        <v>13006.32417</v>
      </c>
      <c r="J18" s="52">
        <f>IF(A18&lt;&gt;"",SUMIFS(metas!N:N, metas!E:E, "&gt;=" &amp; DATEVALUE(B18&amp;"-01"),metas!D:D, "&lt;=" &amp; DATEVALUE(B18&amp;"-01")),"")</f>
        <v>6944.444444</v>
      </c>
      <c r="K18" s="49">
        <f t="shared" si="4"/>
        <v>6061.879722</v>
      </c>
      <c r="L18" s="49">
        <f t="shared" si="6"/>
        <v>-83950.87595</v>
      </c>
      <c r="M18" s="49">
        <f>IF(A18&lt;&gt;"",IF(COUNTIF(investimento!F:F, B18) &gt; 0, SUM(investimento!B:B)+I18, M17+I18),"")</f>
        <v>277821.1883</v>
      </c>
    </row>
    <row r="19" ht="22.5" customHeight="1">
      <c r="A19" s="47">
        <v>46419.0</v>
      </c>
      <c r="B19" s="48" t="str">
        <f t="shared" si="1"/>
        <v>2027-02</v>
      </c>
      <c r="C19" s="49">
        <f>SUMIF(despesas_recorrentes!C:C, "&gt;="&amp;A19,despesas_recorrentes!B:B) 
+SUMIF(despesas_recorrentes!C:C, "",despesas_recorrentes!B:B)
-despesas_recorrentes!$B$12
+IF(SUMIF(gasto_cartao!E:E,saldo!B19,gasto_cartao!B:B)&gt;despesas_recorrentes!$B$12, SUMIF(gasto_cartao!E:E,saldo!B19,gasto_cartao!B:B),despesas_recorrentes!$B$12)</f>
        <v>34013</v>
      </c>
      <c r="D19" s="50">
        <f>SUM(receitas_recorrentes!B:B)+SUMIF(receitas_pontuais!E:E,B19,receitas_pontuais!B:B)</f>
        <v>56919</v>
      </c>
      <c r="E19" s="50">
        <f t="shared" si="2"/>
        <v>22906</v>
      </c>
      <c r="F19" s="49">
        <f>IFERROR(SUMIF(contas!G:G, B19, contas!B:B),0)</f>
        <v>0</v>
      </c>
      <c r="G19" s="51">
        <f>SUMIFS(previsoes!D:D, previsoes!E:E, "&lt;=" &amp; EOMONTH(DATEVALUE(B19&amp;"-01"),0), previsoes!F:F, "&gt;=" &amp; DATEVALUE(B19&amp;"-01"))</f>
        <v>5566.3425</v>
      </c>
      <c r="H19" s="52">
        <f t="shared" si="5"/>
        <v>60297.73083</v>
      </c>
      <c r="I19" s="49">
        <f t="shared" si="3"/>
        <v>17339.6575</v>
      </c>
      <c r="J19" s="52">
        <f>IF(A19&lt;&gt;"",SUMIFS(metas!N:N, metas!E:E, "&gt;=" &amp; DATEVALUE(B19&amp;"-01"),metas!D:D, "&lt;=" &amp; DATEVALUE(B19&amp;"-01")),"")</f>
        <v>10127.25838</v>
      </c>
      <c r="K19" s="49">
        <f t="shared" si="4"/>
        <v>7212.399119</v>
      </c>
      <c r="L19" s="49">
        <f t="shared" si="6"/>
        <v>-76738.47683</v>
      </c>
      <c r="M19" s="49">
        <f>IF(A19&lt;&gt;"",IF(COUNTIF(investimento!F:F, B19) &gt; 0, SUM(investimento!B:B)+I19, M18+I19),"")</f>
        <v>295160.8458</v>
      </c>
    </row>
    <row r="20" ht="22.5" customHeight="1">
      <c r="A20" s="47">
        <v>46447.0</v>
      </c>
      <c r="B20" s="48" t="str">
        <f t="shared" si="1"/>
        <v>2027-03</v>
      </c>
      <c r="C20" s="49">
        <f>SUMIF(despesas_recorrentes!C:C, "&gt;="&amp;A20,despesas_recorrentes!B:B) 
+SUMIF(despesas_recorrentes!C:C, "",despesas_recorrentes!B:B)
-despesas_recorrentes!$B$12
+IF(SUMIF(gasto_cartao!E:E,saldo!B20,gasto_cartao!B:B)&gt;despesas_recorrentes!$B$12, SUMIF(gasto_cartao!E:E,saldo!B20,gasto_cartao!B:B),despesas_recorrentes!$B$12)</f>
        <v>34013</v>
      </c>
      <c r="D20" s="50">
        <f>SUM(receitas_recorrentes!B:B)+SUMIF(receitas_pontuais!E:E,B20,receitas_pontuais!B:B)</f>
        <v>56919</v>
      </c>
      <c r="E20" s="50">
        <f t="shared" si="2"/>
        <v>22906</v>
      </c>
      <c r="F20" s="49">
        <f>IFERROR(SUMIF(contas!G:G, B20, contas!B:B),0)</f>
        <v>0</v>
      </c>
      <c r="G20" s="51">
        <f>SUMIFS(previsoes!D:D, previsoes!E:E, "&lt;=" &amp; EOMONTH(DATEVALUE(B20&amp;"-01"),0), previsoes!F:F, "&gt;=" &amp; DATEVALUE(B20&amp;"-01"))</f>
        <v>5566.3425</v>
      </c>
      <c r="H20" s="52">
        <f t="shared" si="5"/>
        <v>65864.07333</v>
      </c>
      <c r="I20" s="49">
        <f t="shared" si="3"/>
        <v>17339.6575</v>
      </c>
      <c r="J20" s="52">
        <f>IF(A20&lt;&gt;"",SUMIFS(metas!N:N, metas!E:E, "&gt;=" &amp; DATEVALUE(B20&amp;"-01"),metas!D:D, "&lt;=" &amp; DATEVALUE(B20&amp;"-01")),"")</f>
        <v>10127.25838</v>
      </c>
      <c r="K20" s="49">
        <f t="shared" si="4"/>
        <v>7212.399119</v>
      </c>
      <c r="L20" s="49">
        <f t="shared" si="6"/>
        <v>-69526.07771</v>
      </c>
      <c r="M20" s="49">
        <f>IF(A20&lt;&gt;"",IF(COUNTIF(investimento!F:F, B20) &gt; 0, SUM(investimento!B:B)+I20, M19+I20),"")</f>
        <v>312500.5033</v>
      </c>
    </row>
    <row r="21" ht="22.5" customHeight="1">
      <c r="A21" s="47">
        <v>46478.0</v>
      </c>
      <c r="B21" s="48" t="str">
        <f t="shared" si="1"/>
        <v>2027-04</v>
      </c>
      <c r="C21" s="49">
        <f>SUMIF(despesas_recorrentes!C:C, "&gt;="&amp;A21,despesas_recorrentes!B:B) 
+SUMIF(despesas_recorrentes!C:C, "",despesas_recorrentes!B:B)
-despesas_recorrentes!$B$12
+IF(SUMIF(gasto_cartao!E:E,saldo!B21,gasto_cartao!B:B)&gt;despesas_recorrentes!$B$12, SUMIF(gasto_cartao!E:E,saldo!B21,gasto_cartao!B:B),despesas_recorrentes!$B$12)</f>
        <v>34013</v>
      </c>
      <c r="D21" s="50">
        <f>SUM(receitas_recorrentes!B:B)+SUMIF(receitas_pontuais!E:E,B21,receitas_pontuais!B:B)</f>
        <v>56919</v>
      </c>
      <c r="E21" s="50">
        <f t="shared" si="2"/>
        <v>22906</v>
      </c>
      <c r="F21" s="49">
        <f>IFERROR(SUMIF(contas!G:G, B21, contas!B:B),0)</f>
        <v>0</v>
      </c>
      <c r="G21" s="51">
        <f>SUMIFS(previsoes!D:D, previsoes!E:E, "&lt;=" &amp; EOMONTH(DATEVALUE(B21&amp;"-01"),0), previsoes!F:F, "&gt;=" &amp; DATEVALUE(B21&amp;"-01"))</f>
        <v>5566.3425</v>
      </c>
      <c r="H21" s="52">
        <f t="shared" si="5"/>
        <v>71430.41583</v>
      </c>
      <c r="I21" s="49">
        <f t="shared" si="3"/>
        <v>17339.6575</v>
      </c>
      <c r="J21" s="52">
        <f>IF(A21&lt;&gt;"",SUMIFS(metas!N:N, metas!E:E, "&gt;=" &amp; DATEVALUE(B21&amp;"-01"),metas!D:D, "&lt;=" &amp; DATEVALUE(B21&amp;"-01")),"")</f>
        <v>10127.25838</v>
      </c>
      <c r="K21" s="49">
        <f t="shared" si="4"/>
        <v>7212.399119</v>
      </c>
      <c r="L21" s="49">
        <f t="shared" si="6"/>
        <v>-62313.6786</v>
      </c>
      <c r="M21" s="49">
        <f>IF(A21&lt;&gt;"",IF(COUNTIF(investimento!F:F, B21) &gt; 0, SUM(investimento!B:B)+I21, M20+I21),"")</f>
        <v>329840.1608</v>
      </c>
    </row>
    <row r="22" ht="22.5" customHeight="1">
      <c r="A22" s="47">
        <v>46508.0</v>
      </c>
      <c r="B22" s="48" t="str">
        <f t="shared" si="1"/>
        <v>2027-05</v>
      </c>
      <c r="C22" s="49">
        <f>SUMIF(despesas_recorrentes!C:C, "&gt;="&amp;A22,despesas_recorrentes!B:B) 
+SUMIF(despesas_recorrentes!C:C, "",despesas_recorrentes!B:B)
-despesas_recorrentes!$B$12
+IF(SUMIF(gasto_cartao!E:E,saldo!B22,gasto_cartao!B:B)&gt;despesas_recorrentes!$B$12, SUMIF(gasto_cartao!E:E,saldo!B22,gasto_cartao!B:B),despesas_recorrentes!$B$12)</f>
        <v>34013</v>
      </c>
      <c r="D22" s="50">
        <f>SUM(receitas_recorrentes!B:B)+SUMIF(receitas_pontuais!E:E,B22,receitas_pontuais!B:B)</f>
        <v>56919</v>
      </c>
      <c r="E22" s="50">
        <f t="shared" si="2"/>
        <v>22906</v>
      </c>
      <c r="F22" s="49">
        <f>IFERROR(SUMIF(contas!G:G, B22, contas!B:B),0)</f>
        <v>0</v>
      </c>
      <c r="G22" s="51">
        <f>SUMIFS(previsoes!D:D, previsoes!E:E, "&lt;=" &amp; EOMONTH(DATEVALUE(B22&amp;"-01"),0), previsoes!F:F, "&gt;=" &amp; DATEVALUE(B22&amp;"-01"))</f>
        <v>5566.3425</v>
      </c>
      <c r="H22" s="52">
        <f t="shared" si="5"/>
        <v>76996.75833</v>
      </c>
      <c r="I22" s="49">
        <f t="shared" si="3"/>
        <v>17339.6575</v>
      </c>
      <c r="J22" s="52">
        <f>IF(A22&lt;&gt;"",SUMIFS(metas!N:N, metas!E:E, "&gt;=" &amp; DATEVALUE(B22&amp;"-01"),metas!D:D, "&lt;=" &amp; DATEVALUE(B22&amp;"-01")),"")</f>
        <v>10127.25838</v>
      </c>
      <c r="K22" s="49">
        <f t="shared" si="4"/>
        <v>7212.399119</v>
      </c>
      <c r="L22" s="49">
        <f t="shared" si="6"/>
        <v>-55101.27948</v>
      </c>
      <c r="M22" s="49">
        <f>IF(A22&lt;&gt;"",IF(COUNTIF(investimento!F:F, B22) &gt; 0, SUM(investimento!B:B)+I22, M21+I22),"")</f>
        <v>347179.8183</v>
      </c>
    </row>
    <row r="23" ht="22.5" customHeight="1">
      <c r="A23" s="47">
        <v>46539.0</v>
      </c>
      <c r="B23" s="48" t="str">
        <f t="shared" si="1"/>
        <v>2027-06</v>
      </c>
      <c r="C23" s="49">
        <f>SUMIF(despesas_recorrentes!C:C, "&gt;="&amp;A23,despesas_recorrentes!B:B) 
+SUMIF(despesas_recorrentes!C:C, "",despesas_recorrentes!B:B)
-despesas_recorrentes!$B$12
+IF(SUMIF(gasto_cartao!E:E,saldo!B23,gasto_cartao!B:B)&gt;despesas_recorrentes!$B$12, SUMIF(gasto_cartao!E:E,saldo!B23,gasto_cartao!B:B),despesas_recorrentes!$B$12)</f>
        <v>34013</v>
      </c>
      <c r="D23" s="50">
        <f>SUM(receitas_recorrentes!B:B)+SUMIF(receitas_pontuais!E:E,B23,receitas_pontuais!B:B)</f>
        <v>56919</v>
      </c>
      <c r="E23" s="50">
        <f t="shared" si="2"/>
        <v>22906</v>
      </c>
      <c r="F23" s="49">
        <f>IFERROR(SUMIF(contas!G:G, B23, contas!B:B),0)</f>
        <v>0</v>
      </c>
      <c r="G23" s="51">
        <f>SUMIFS(previsoes!D:D, previsoes!E:E, "&lt;=" &amp; EOMONTH(DATEVALUE(B23&amp;"-01"),0), previsoes!F:F, "&gt;=" &amp; DATEVALUE(B23&amp;"-01"))</f>
        <v>5566.3425</v>
      </c>
      <c r="H23" s="52">
        <f t="shared" si="5"/>
        <v>82563.10083</v>
      </c>
      <c r="I23" s="49">
        <f t="shared" si="3"/>
        <v>17339.6575</v>
      </c>
      <c r="J23" s="52">
        <f>IF(A23&lt;&gt;"",SUMIFS(metas!N:N, metas!E:E, "&gt;=" &amp; DATEVALUE(B23&amp;"-01"),metas!D:D, "&lt;=" &amp; DATEVALUE(B23&amp;"-01")),"")</f>
        <v>10127.25838</v>
      </c>
      <c r="K23" s="49">
        <f t="shared" si="4"/>
        <v>7212.399119</v>
      </c>
      <c r="L23" s="49">
        <f t="shared" si="6"/>
        <v>-47888.88036</v>
      </c>
      <c r="M23" s="49">
        <f>IF(A23&lt;&gt;"",IF(COUNTIF(investimento!F:F, B23) &gt; 0, SUM(investimento!B:B)+I23, M22+I23),"")</f>
        <v>364519.4758</v>
      </c>
    </row>
    <row r="24" ht="22.5" customHeight="1">
      <c r="A24" s="47">
        <v>46569.0</v>
      </c>
      <c r="B24" s="48" t="str">
        <f t="shared" si="1"/>
        <v>2027-07</v>
      </c>
      <c r="C24" s="49">
        <f>SUMIF(despesas_recorrentes!C:C, "&gt;="&amp;A24,despesas_recorrentes!B:B) 
+SUMIF(despesas_recorrentes!C:C, "",despesas_recorrentes!B:B)
-despesas_recorrentes!$B$12
+IF(SUMIF(gasto_cartao!E:E,saldo!B24,gasto_cartao!B:B)&gt;despesas_recorrentes!$B$12, SUMIF(gasto_cartao!E:E,saldo!B24,gasto_cartao!B:B),despesas_recorrentes!$B$12)</f>
        <v>34013</v>
      </c>
      <c r="D24" s="50">
        <f>SUM(receitas_recorrentes!B:B)+SUMIF(receitas_pontuais!E:E,B24,receitas_pontuais!B:B)</f>
        <v>56919</v>
      </c>
      <c r="E24" s="50">
        <f t="shared" si="2"/>
        <v>22906</v>
      </c>
      <c r="F24" s="49">
        <f>IFERROR(SUMIF(contas!G:G, B24, contas!B:B),0)</f>
        <v>0</v>
      </c>
      <c r="G24" s="51">
        <f>SUMIFS(previsoes!D:D, previsoes!E:E, "&lt;=" &amp; EOMONTH(DATEVALUE(B24&amp;"-01"),0), previsoes!F:F, "&gt;=" &amp; DATEVALUE(B24&amp;"-01"))</f>
        <v>5566.3425</v>
      </c>
      <c r="H24" s="52">
        <f t="shared" si="5"/>
        <v>88129.44333</v>
      </c>
      <c r="I24" s="49">
        <f t="shared" si="3"/>
        <v>17339.6575</v>
      </c>
      <c r="J24" s="52">
        <f>IF(A24&lt;&gt;"",SUMIFS(metas!N:N, metas!E:E, "&gt;=" &amp; DATEVALUE(B24&amp;"-01"),metas!D:D, "&lt;=" &amp; DATEVALUE(B24&amp;"-01")),"")</f>
        <v>10127.25838</v>
      </c>
      <c r="K24" s="49">
        <f t="shared" si="4"/>
        <v>7212.399119</v>
      </c>
      <c r="L24" s="49">
        <f t="shared" si="6"/>
        <v>-40676.48124</v>
      </c>
      <c r="M24" s="49">
        <f>IF(A24&lt;&gt;"",IF(COUNTIF(investimento!F:F, B24) &gt; 0, SUM(investimento!B:B)+I24, M23+I24),"")</f>
        <v>381859.1333</v>
      </c>
    </row>
    <row r="25" ht="22.5" customHeight="1">
      <c r="A25" s="47">
        <v>46600.0</v>
      </c>
      <c r="B25" s="48" t="str">
        <f t="shared" si="1"/>
        <v>2027-08</v>
      </c>
      <c r="C25" s="49">
        <f>SUMIF(despesas_recorrentes!C:C, "&gt;="&amp;A25,despesas_recorrentes!B:B) 
+SUMIF(despesas_recorrentes!C:C, "",despesas_recorrentes!B:B)
-despesas_recorrentes!$B$12
+IF(SUMIF(gasto_cartao!E:E,saldo!B25,gasto_cartao!B:B)&gt;despesas_recorrentes!$B$12, SUMIF(gasto_cartao!E:E,saldo!B25,gasto_cartao!B:B),despesas_recorrentes!$B$12)</f>
        <v>34013</v>
      </c>
      <c r="D25" s="50">
        <f>SUM(receitas_recorrentes!B:B)+SUMIF(receitas_pontuais!E:E,B25,receitas_pontuais!B:B)</f>
        <v>56919</v>
      </c>
      <c r="E25" s="50">
        <f t="shared" si="2"/>
        <v>22906</v>
      </c>
      <c r="F25" s="49">
        <f>IFERROR(SUMIF(contas!G:G, B25, contas!B:B),0)</f>
        <v>0</v>
      </c>
      <c r="G25" s="51">
        <f>SUMIFS(previsoes!D:D, previsoes!E:E, "&lt;=" &amp; EOMONTH(DATEVALUE(B25&amp;"-01"),0), previsoes!F:F, "&gt;=" &amp; DATEVALUE(B25&amp;"-01"))</f>
        <v>5566.3425</v>
      </c>
      <c r="H25" s="52">
        <f t="shared" si="5"/>
        <v>93695.78583</v>
      </c>
      <c r="I25" s="49">
        <f t="shared" si="3"/>
        <v>17339.6575</v>
      </c>
      <c r="J25" s="52">
        <f>IF(A25&lt;&gt;"",SUMIFS(metas!N:N, metas!E:E, "&gt;=" &amp; DATEVALUE(B25&amp;"-01"),metas!D:D, "&lt;=" &amp; DATEVALUE(B25&amp;"-01")),"")</f>
        <v>10127.25838</v>
      </c>
      <c r="K25" s="49">
        <f t="shared" si="4"/>
        <v>7212.399119</v>
      </c>
      <c r="L25" s="49">
        <f t="shared" si="6"/>
        <v>-33464.08212</v>
      </c>
      <c r="M25" s="49">
        <f>IF(A25&lt;&gt;"",IF(COUNTIF(investimento!F:F, B25) &gt; 0, SUM(investimento!B:B)+I25, M24+I25),"")</f>
        <v>399198.7908</v>
      </c>
    </row>
    <row r="26" ht="22.5" customHeight="1">
      <c r="A26" s="47">
        <v>46631.0</v>
      </c>
      <c r="B26" s="48" t="str">
        <f t="shared" si="1"/>
        <v>2027-09</v>
      </c>
      <c r="C26" s="49">
        <f>SUMIF(despesas_recorrentes!C:C, "&gt;="&amp;A26,despesas_recorrentes!B:B) 
+SUMIF(despesas_recorrentes!C:C, "",despesas_recorrentes!B:B)
-despesas_recorrentes!$B$12
+IF(SUMIF(gasto_cartao!E:E,saldo!B26,gasto_cartao!B:B)&gt;despesas_recorrentes!$B$12, SUMIF(gasto_cartao!E:E,saldo!B26,gasto_cartao!B:B),despesas_recorrentes!$B$12)</f>
        <v>34013</v>
      </c>
      <c r="D26" s="50">
        <f>SUM(receitas_recorrentes!B:B)+SUMIF(receitas_pontuais!E:E,B26,receitas_pontuais!B:B)</f>
        <v>56919</v>
      </c>
      <c r="E26" s="50">
        <f t="shared" si="2"/>
        <v>22906</v>
      </c>
      <c r="F26" s="49">
        <f>IFERROR(SUMIF(contas!G:G, B26, contas!B:B),0)</f>
        <v>0</v>
      </c>
      <c r="G26" s="51">
        <f>SUMIFS(previsoes!D:D, previsoes!E:E, "&lt;=" &amp; EOMONTH(DATEVALUE(B26&amp;"-01"),0), previsoes!F:F, "&gt;=" &amp; DATEVALUE(B26&amp;"-01"))</f>
        <v>5566.3425</v>
      </c>
      <c r="H26" s="52">
        <f t="shared" si="5"/>
        <v>99262.12833</v>
      </c>
      <c r="I26" s="49">
        <f t="shared" si="3"/>
        <v>17339.6575</v>
      </c>
      <c r="J26" s="52">
        <f>IF(A26&lt;&gt;"",SUMIFS(metas!N:N, metas!E:E, "&gt;=" &amp; DATEVALUE(B26&amp;"-01"),metas!D:D, "&lt;=" &amp; DATEVALUE(B26&amp;"-01")),"")</f>
        <v>10127.25838</v>
      </c>
      <c r="K26" s="49">
        <f t="shared" si="4"/>
        <v>7212.399119</v>
      </c>
      <c r="L26" s="49">
        <f t="shared" si="6"/>
        <v>-26251.683</v>
      </c>
      <c r="M26" s="49">
        <f>IF(A26&lt;&gt;"",IF(COUNTIF(investimento!F:F, B26) &gt; 0, SUM(investimento!B:B)+I26, M25+I26),"")</f>
        <v>416538.4483</v>
      </c>
    </row>
    <row r="27" ht="22.5" customHeight="1">
      <c r="A27" s="47">
        <v>46661.0</v>
      </c>
      <c r="B27" s="48" t="str">
        <f t="shared" si="1"/>
        <v>2027-10</v>
      </c>
      <c r="C27" s="49">
        <f>SUMIF(despesas_recorrentes!C:C, "&gt;="&amp;A27,despesas_recorrentes!B:B) 
+SUMIF(despesas_recorrentes!C:C, "",despesas_recorrentes!B:B)
-despesas_recorrentes!$B$12
+IF(SUMIF(gasto_cartao!E:E,saldo!B27,gasto_cartao!B:B)&gt;despesas_recorrentes!$B$12, SUMIF(gasto_cartao!E:E,saldo!B27,gasto_cartao!B:B),despesas_recorrentes!$B$12)</f>
        <v>34013</v>
      </c>
      <c r="D27" s="50">
        <f>SUM(receitas_recorrentes!B:B)+SUMIF(receitas_pontuais!E:E,B27,receitas_pontuais!B:B)</f>
        <v>56919</v>
      </c>
      <c r="E27" s="50">
        <f t="shared" si="2"/>
        <v>22906</v>
      </c>
      <c r="F27" s="49">
        <f>IFERROR(SUMIF(contas!G:G, B27, contas!B:B),0)</f>
        <v>0</v>
      </c>
      <c r="G27" s="51">
        <f>SUMIFS(previsoes!D:D, previsoes!E:E, "&lt;=" &amp; EOMONTH(DATEVALUE(B27&amp;"-01"),0), previsoes!F:F, "&gt;=" &amp; DATEVALUE(B27&amp;"-01"))</f>
        <v>5566.3425</v>
      </c>
      <c r="H27" s="52">
        <f t="shared" si="5"/>
        <v>104828.4708</v>
      </c>
      <c r="I27" s="49">
        <f t="shared" si="3"/>
        <v>17339.6575</v>
      </c>
      <c r="J27" s="52">
        <f>IF(A27&lt;&gt;"",SUMIFS(metas!N:N, metas!E:E, "&gt;=" &amp; DATEVALUE(B27&amp;"-01"),metas!D:D, "&lt;=" &amp; DATEVALUE(B27&amp;"-01")),"")</f>
        <v>10127.25838</v>
      </c>
      <c r="K27" s="49">
        <f t="shared" si="4"/>
        <v>7212.399119</v>
      </c>
      <c r="L27" s="49">
        <f t="shared" si="6"/>
        <v>-19039.28388</v>
      </c>
      <c r="M27" s="49">
        <f>IF(A27&lt;&gt;"",IF(COUNTIF(investimento!F:F, B27) &gt; 0, SUM(investimento!B:B)+I27, M26+I27),"")</f>
        <v>433878.1058</v>
      </c>
    </row>
    <row r="28" ht="22.5" customHeight="1">
      <c r="A28" s="47">
        <v>46692.0</v>
      </c>
      <c r="B28" s="48" t="str">
        <f t="shared" si="1"/>
        <v>2027-11</v>
      </c>
      <c r="C28" s="49">
        <f>SUMIF(despesas_recorrentes!C:C, "&gt;="&amp;A28,despesas_recorrentes!B:B) 
+SUMIF(despesas_recorrentes!C:C, "",despesas_recorrentes!B:B)
-despesas_recorrentes!$B$12
+IF(SUMIF(gasto_cartao!E:E,saldo!B28,gasto_cartao!B:B)&gt;despesas_recorrentes!$B$12, SUMIF(gasto_cartao!E:E,saldo!B28,gasto_cartao!B:B),despesas_recorrentes!$B$12)</f>
        <v>34013</v>
      </c>
      <c r="D28" s="50">
        <f>SUM(receitas_recorrentes!B:B)+SUMIF(receitas_pontuais!E:E,B28,receitas_pontuais!B:B)</f>
        <v>56919</v>
      </c>
      <c r="E28" s="50">
        <f t="shared" si="2"/>
        <v>22906</v>
      </c>
      <c r="F28" s="49">
        <f>IFERROR(SUMIF(contas!G:G, B28, contas!B:B),0)</f>
        <v>0</v>
      </c>
      <c r="G28" s="51">
        <f>SUMIFS(previsoes!D:D, previsoes!E:E, "&lt;=" &amp; EOMONTH(DATEVALUE(B28&amp;"-01"),0), previsoes!F:F, "&gt;=" &amp; DATEVALUE(B28&amp;"-01"))</f>
        <v>5566.3425</v>
      </c>
      <c r="H28" s="52">
        <f t="shared" si="5"/>
        <v>110394.8133</v>
      </c>
      <c r="I28" s="49">
        <f t="shared" si="3"/>
        <v>17339.6575</v>
      </c>
      <c r="J28" s="52">
        <f>IF(A28&lt;&gt;"",SUMIFS(metas!N:N, metas!E:E, "&gt;=" &amp; DATEVALUE(B28&amp;"-01"),metas!D:D, "&lt;=" &amp; DATEVALUE(B28&amp;"-01")),"")</f>
        <v>10127.25838</v>
      </c>
      <c r="K28" s="49">
        <f t="shared" si="4"/>
        <v>7212.399119</v>
      </c>
      <c r="L28" s="49">
        <f t="shared" si="6"/>
        <v>-11826.88476</v>
      </c>
      <c r="M28" s="49">
        <f>IF(A28&lt;&gt;"",IF(COUNTIF(investimento!F:F, B28) &gt; 0, SUM(investimento!B:B)+I28, M27+I28),"")</f>
        <v>451217.7633</v>
      </c>
    </row>
    <row r="29" ht="22.5" customHeight="1">
      <c r="A29" s="47">
        <v>46722.0</v>
      </c>
      <c r="B29" s="48" t="str">
        <f t="shared" si="1"/>
        <v>2027-12</v>
      </c>
      <c r="C29" s="49">
        <f>SUMIF(despesas_recorrentes!C:C, "&gt;="&amp;A29,despesas_recorrentes!B:B) 
+SUMIF(despesas_recorrentes!C:C, "",despesas_recorrentes!B:B)
-despesas_recorrentes!$B$12
+IF(SUMIF(gasto_cartao!E:E,saldo!B29,gasto_cartao!B:B)&gt;despesas_recorrentes!$B$12, SUMIF(gasto_cartao!E:E,saldo!B29,gasto_cartao!B:B),despesas_recorrentes!$B$12)</f>
        <v>34013</v>
      </c>
      <c r="D29" s="50">
        <f>SUM(receitas_recorrentes!B:B)+SUMIF(receitas_pontuais!E:E,B29,receitas_pontuais!B:B)</f>
        <v>56919</v>
      </c>
      <c r="E29" s="50">
        <f t="shared" si="2"/>
        <v>22906</v>
      </c>
      <c r="F29" s="49">
        <f>IFERROR(SUMIF(contas!G:G, B29, contas!B:B),0)</f>
        <v>0</v>
      </c>
      <c r="G29" s="51">
        <f>SUMIFS(previsoes!D:D, previsoes!E:E, "&lt;=" &amp; EOMONTH(DATEVALUE(B29&amp;"-01"),0), previsoes!F:F, "&gt;=" &amp; DATEVALUE(B29&amp;"-01"))</f>
        <v>5566.3425</v>
      </c>
      <c r="H29" s="52">
        <f t="shared" si="5"/>
        <v>115961.1558</v>
      </c>
      <c r="I29" s="49">
        <f t="shared" si="3"/>
        <v>17339.6575</v>
      </c>
      <c r="J29" s="52">
        <f>IF(A29&lt;&gt;"",SUMIFS(metas!N:N, metas!E:E, "&gt;=" &amp; DATEVALUE(B29&amp;"-01"),metas!D:D, "&lt;=" &amp; DATEVALUE(B29&amp;"-01")),"")</f>
        <v>10127.25838</v>
      </c>
      <c r="K29" s="49">
        <f t="shared" si="4"/>
        <v>7212.399119</v>
      </c>
      <c r="L29" s="49">
        <f t="shared" si="6"/>
        <v>-4614.485643</v>
      </c>
      <c r="M29" s="49">
        <f>IF(A29&lt;&gt;"",IF(COUNTIF(investimento!F:F, B29) &gt; 0, SUM(investimento!B:B)+I29, M28+I29),"")</f>
        <v>468557.4208</v>
      </c>
    </row>
    <row r="30" ht="22.5" customHeight="1">
      <c r="A30" s="47">
        <v>46753.0</v>
      </c>
      <c r="B30" s="48" t="str">
        <f t="shared" si="1"/>
        <v>2028-01</v>
      </c>
      <c r="C30" s="49">
        <f>SUMIF(despesas_recorrentes!C:C, "&gt;="&amp;A30,despesas_recorrentes!B:B) 
+SUMIF(despesas_recorrentes!C:C, "",despesas_recorrentes!B:B)
-despesas_recorrentes!$B$12
+IF(SUMIF(gasto_cartao!E:E,saldo!B30,gasto_cartao!B:B)&gt;despesas_recorrentes!$B$12, SUMIF(gasto_cartao!E:E,saldo!B30,gasto_cartao!B:B),despesas_recorrentes!$B$12)</f>
        <v>34013</v>
      </c>
      <c r="D30" s="50">
        <f>SUM(receitas_recorrentes!B:B)+SUMIF(receitas_pontuais!E:E,B30,receitas_pontuais!B:B)</f>
        <v>56919</v>
      </c>
      <c r="E30" s="50">
        <f t="shared" si="2"/>
        <v>22906</v>
      </c>
      <c r="F30" s="49">
        <f>IFERROR(SUMIF(contas!G:G, B30, contas!B:B),0)</f>
        <v>0</v>
      </c>
      <c r="G30" s="51">
        <f>SUMIFS(previsoes!D:D, previsoes!E:E, "&lt;=" &amp; EOMONTH(DATEVALUE(B30&amp;"-01"),0), previsoes!F:F, "&gt;=" &amp; DATEVALUE(B30&amp;"-01"))</f>
        <v>5566.3425</v>
      </c>
      <c r="H30" s="52">
        <f t="shared" si="5"/>
        <v>121527.4983</v>
      </c>
      <c r="I30" s="49">
        <f t="shared" si="3"/>
        <v>17339.6575</v>
      </c>
      <c r="J30" s="52">
        <f>IF(A30&lt;&gt;"",SUMIFS(metas!N:N, metas!E:E, "&gt;=" &amp; DATEVALUE(B30&amp;"-01"),metas!D:D, "&lt;=" &amp; DATEVALUE(B30&amp;"-01")),"")</f>
        <v>10127.25838</v>
      </c>
      <c r="K30" s="49">
        <f t="shared" si="4"/>
        <v>7212.399119</v>
      </c>
      <c r="L30" s="49">
        <f t="shared" si="6"/>
        <v>2597.913476</v>
      </c>
      <c r="M30" s="49">
        <f>IF(A30&lt;&gt;"",IF(COUNTIF(investimento!F:F, B30) &gt; 0, SUM(investimento!B:B)+I30, M29+I30),"")</f>
        <v>485897.0783</v>
      </c>
    </row>
    <row r="31" ht="22.5" customHeight="1">
      <c r="A31" s="47">
        <v>46784.0</v>
      </c>
      <c r="B31" s="48" t="str">
        <f t="shared" si="1"/>
        <v>2028-02</v>
      </c>
      <c r="C31" s="49">
        <f>SUMIF(despesas_recorrentes!C:C, "&gt;="&amp;A31,despesas_recorrentes!B:B) 
+SUMIF(despesas_recorrentes!C:C, "",despesas_recorrentes!B:B)
-despesas_recorrentes!$B$12
+IF(SUMIF(gasto_cartao!E:E,saldo!B31,gasto_cartao!B:B)&gt;despesas_recorrentes!$B$12, SUMIF(gasto_cartao!E:E,saldo!B31,gasto_cartao!B:B),despesas_recorrentes!$B$12)</f>
        <v>34013</v>
      </c>
      <c r="D31" s="50">
        <f>SUM(receitas_recorrentes!B:B)+SUMIF(receitas_pontuais!E:E,B31,receitas_pontuais!B:B)</f>
        <v>56919</v>
      </c>
      <c r="E31" s="50">
        <f t="shared" si="2"/>
        <v>22906</v>
      </c>
      <c r="F31" s="49">
        <f>IFERROR(SUMIF(contas!G:G, B31, contas!B:B),0)</f>
        <v>0</v>
      </c>
      <c r="G31" s="51">
        <f>SUMIFS(previsoes!D:D, previsoes!E:E, "&lt;=" &amp; EOMONTH(DATEVALUE(B31&amp;"-01"),0), previsoes!F:F, "&gt;=" &amp; DATEVALUE(B31&amp;"-01"))</f>
        <v>5566.3425</v>
      </c>
      <c r="H31" s="52">
        <f t="shared" si="5"/>
        <v>127093.8408</v>
      </c>
      <c r="I31" s="49">
        <f t="shared" si="3"/>
        <v>17339.6575</v>
      </c>
      <c r="J31" s="52">
        <f>IF(A31&lt;&gt;"",SUMIFS(metas!N:N, metas!E:E, "&gt;=" &amp; DATEVALUE(B31&amp;"-01"),metas!D:D, "&lt;=" &amp; DATEVALUE(B31&amp;"-01")),"")</f>
        <v>10127.25838</v>
      </c>
      <c r="K31" s="49">
        <f t="shared" si="4"/>
        <v>7212.399119</v>
      </c>
      <c r="L31" s="49">
        <f t="shared" si="6"/>
        <v>9810.312595</v>
      </c>
      <c r="M31" s="49">
        <f>IF(A31&lt;&gt;"",IF(COUNTIF(investimento!F:F, B31) &gt; 0, SUM(investimento!B:B)+I31, M30+I31),"")</f>
        <v>503236.7358</v>
      </c>
    </row>
    <row r="32" ht="22.5" customHeight="1">
      <c r="A32" s="47">
        <v>46813.0</v>
      </c>
      <c r="B32" s="48" t="str">
        <f t="shared" si="1"/>
        <v>2028-03</v>
      </c>
      <c r="C32" s="49">
        <f>SUMIF(despesas_recorrentes!C:C, "&gt;="&amp;A32,despesas_recorrentes!B:B) 
+SUMIF(despesas_recorrentes!C:C, "",despesas_recorrentes!B:B)
-despesas_recorrentes!$B$12
+IF(SUMIF(gasto_cartao!E:E,saldo!B32,gasto_cartao!B:B)&gt;despesas_recorrentes!$B$12, SUMIF(gasto_cartao!E:E,saldo!B32,gasto_cartao!B:B),despesas_recorrentes!$B$12)</f>
        <v>34013</v>
      </c>
      <c r="D32" s="50">
        <f>SUM(receitas_recorrentes!B:B)+SUMIF(receitas_pontuais!E:E,B32,receitas_pontuais!B:B)</f>
        <v>56919</v>
      </c>
      <c r="E32" s="50">
        <f t="shared" si="2"/>
        <v>22906</v>
      </c>
      <c r="F32" s="49">
        <f>IFERROR(SUMIF(contas!G:G, B32, contas!B:B),0)</f>
        <v>0</v>
      </c>
      <c r="G32" s="51">
        <f>SUMIFS(previsoes!D:D, previsoes!E:E, "&lt;=" &amp; EOMONTH(DATEVALUE(B32&amp;"-01"),0), previsoes!F:F, "&gt;=" &amp; DATEVALUE(B32&amp;"-01"))</f>
        <v>5566.3425</v>
      </c>
      <c r="H32" s="52">
        <f t="shared" si="5"/>
        <v>132660.1833</v>
      </c>
      <c r="I32" s="49">
        <f t="shared" si="3"/>
        <v>17339.6575</v>
      </c>
      <c r="J32" s="52">
        <f>IF(A32&lt;&gt;"",SUMIFS(metas!N:N, metas!E:E, "&gt;=" &amp; DATEVALUE(B32&amp;"-01"),metas!D:D, "&lt;=" &amp; DATEVALUE(B32&amp;"-01")),"")</f>
        <v>10127.25838</v>
      </c>
      <c r="K32" s="49">
        <f t="shared" si="4"/>
        <v>7212.399119</v>
      </c>
      <c r="L32" s="49">
        <f t="shared" si="6"/>
        <v>17022.71171</v>
      </c>
      <c r="M32" s="49">
        <f>IF(A32&lt;&gt;"",IF(COUNTIF(investimento!F:F, B32) &gt; 0, SUM(investimento!B:B)+I32, M31+I32),"")</f>
        <v>520576.3933</v>
      </c>
    </row>
    <row r="33" ht="22.5" customHeight="1">
      <c r="A33" s="47">
        <v>46844.0</v>
      </c>
      <c r="B33" s="48" t="str">
        <f t="shared" si="1"/>
        <v>2028-04</v>
      </c>
      <c r="C33" s="49">
        <f>SUMIF(despesas_recorrentes!C:C, "&gt;="&amp;A33,despesas_recorrentes!B:B) 
+SUMIF(despesas_recorrentes!C:C, "",despesas_recorrentes!B:B)
-despesas_recorrentes!$B$12
+IF(SUMIF(gasto_cartao!E:E,saldo!B33,gasto_cartao!B:B)&gt;despesas_recorrentes!$B$12, SUMIF(gasto_cartao!E:E,saldo!B33,gasto_cartao!B:B),despesas_recorrentes!$B$12)</f>
        <v>34013</v>
      </c>
      <c r="D33" s="50">
        <f>SUM(receitas_recorrentes!B:B)+SUMIF(receitas_pontuais!E:E,B33,receitas_pontuais!B:B)</f>
        <v>56919</v>
      </c>
      <c r="E33" s="50">
        <f t="shared" si="2"/>
        <v>22906</v>
      </c>
      <c r="F33" s="49">
        <f>IFERROR(SUMIF(contas!G:G, B33, contas!B:B),0)</f>
        <v>0</v>
      </c>
      <c r="G33" s="51">
        <f>SUMIFS(previsoes!D:D, previsoes!E:E, "&lt;=" &amp; EOMONTH(DATEVALUE(B33&amp;"-01"),0), previsoes!F:F, "&gt;=" &amp; DATEVALUE(B33&amp;"-01"))</f>
        <v>5566.3425</v>
      </c>
      <c r="H33" s="52">
        <f t="shared" si="5"/>
        <v>138226.5258</v>
      </c>
      <c r="I33" s="49">
        <f t="shared" si="3"/>
        <v>17339.6575</v>
      </c>
      <c r="J33" s="52">
        <f>IF(A33&lt;&gt;"",SUMIFS(metas!N:N, metas!E:E, "&gt;=" &amp; DATEVALUE(B33&amp;"-01"),metas!D:D, "&lt;=" &amp; DATEVALUE(B33&amp;"-01")),"")</f>
        <v>10127.25838</v>
      </c>
      <c r="K33" s="49">
        <f t="shared" si="4"/>
        <v>7212.399119</v>
      </c>
      <c r="L33" s="49">
        <f t="shared" si="6"/>
        <v>24235.11083</v>
      </c>
      <c r="M33" s="49">
        <f>IF(A33&lt;&gt;"",IF(COUNTIF(investimento!F:F, B33) &gt; 0, SUM(investimento!B:B)+I33, M32+I33),"")</f>
        <v>537916.0508</v>
      </c>
    </row>
    <row r="34" ht="22.5" customHeight="1">
      <c r="A34" s="47">
        <v>46874.0</v>
      </c>
      <c r="B34" s="48" t="str">
        <f t="shared" si="1"/>
        <v>2028-05</v>
      </c>
      <c r="C34" s="49">
        <f>SUMIF(despesas_recorrentes!C:C, "&gt;="&amp;A34,despesas_recorrentes!B:B) 
+SUMIF(despesas_recorrentes!C:C, "",despesas_recorrentes!B:B)
-despesas_recorrentes!$B$12
+IF(SUMIF(gasto_cartao!E:E,saldo!B34,gasto_cartao!B:B)&gt;despesas_recorrentes!$B$12, SUMIF(gasto_cartao!E:E,saldo!B34,gasto_cartao!B:B),despesas_recorrentes!$B$12)</f>
        <v>34013</v>
      </c>
      <c r="D34" s="50">
        <f>SUM(receitas_recorrentes!B:B)+SUMIF(receitas_pontuais!E:E,B34,receitas_pontuais!B:B)</f>
        <v>56919</v>
      </c>
      <c r="E34" s="50">
        <f t="shared" si="2"/>
        <v>22906</v>
      </c>
      <c r="F34" s="49">
        <f>IFERROR(SUMIF(contas!G:G, B34, contas!B:B),0)</f>
        <v>0</v>
      </c>
      <c r="G34" s="51">
        <f>SUMIFS(previsoes!D:D, previsoes!E:E, "&lt;=" &amp; EOMONTH(DATEVALUE(B34&amp;"-01"),0), previsoes!F:F, "&gt;=" &amp; DATEVALUE(B34&amp;"-01"))</f>
        <v>5566.3425</v>
      </c>
      <c r="H34" s="52">
        <f t="shared" si="5"/>
        <v>143792.8683</v>
      </c>
      <c r="I34" s="49">
        <f t="shared" si="3"/>
        <v>17339.6575</v>
      </c>
      <c r="J34" s="52">
        <f>IF(A34&lt;&gt;"",SUMIFS(metas!N:N, metas!E:E, "&gt;=" &amp; DATEVALUE(B34&amp;"-01"),metas!D:D, "&lt;=" &amp; DATEVALUE(B34&amp;"-01")),"")</f>
        <v>10127.25838</v>
      </c>
      <c r="K34" s="49">
        <f t="shared" si="4"/>
        <v>7212.399119</v>
      </c>
      <c r="L34" s="49">
        <f t="shared" si="6"/>
        <v>31447.50995</v>
      </c>
      <c r="M34" s="49">
        <f>IF(A34&lt;&gt;"",IF(COUNTIF(investimento!F:F, B34) &gt; 0, SUM(investimento!B:B)+I34, M33+I34),"")</f>
        <v>555255.7083</v>
      </c>
    </row>
    <row r="35" ht="22.5" customHeight="1">
      <c r="A35" s="47">
        <v>46905.0</v>
      </c>
      <c r="B35" s="48" t="str">
        <f t="shared" si="1"/>
        <v>2028-06</v>
      </c>
      <c r="C35" s="49">
        <f>SUMIF(despesas_recorrentes!C:C, "&gt;="&amp;A35,despesas_recorrentes!B:B) 
+SUMIF(despesas_recorrentes!C:C, "",despesas_recorrentes!B:B)
-despesas_recorrentes!$B$12
+IF(SUMIF(gasto_cartao!E:E,saldo!B35,gasto_cartao!B:B)&gt;despesas_recorrentes!$B$12, SUMIF(gasto_cartao!E:E,saldo!B35,gasto_cartao!B:B),despesas_recorrentes!$B$12)</f>
        <v>34013</v>
      </c>
      <c r="D35" s="50">
        <f>SUM(receitas_recorrentes!B:B)+SUMIF(receitas_pontuais!E:E,B35,receitas_pontuais!B:B)</f>
        <v>56919</v>
      </c>
      <c r="E35" s="50">
        <f t="shared" si="2"/>
        <v>22906</v>
      </c>
      <c r="F35" s="49">
        <f>IFERROR(SUMIF(contas!G:G, B35, contas!B:B),0)</f>
        <v>0</v>
      </c>
      <c r="G35" s="51">
        <f>SUMIFS(previsoes!D:D, previsoes!E:E, "&lt;=" &amp; EOMONTH(DATEVALUE(B35&amp;"-01"),0), previsoes!F:F, "&gt;=" &amp; DATEVALUE(B35&amp;"-01"))</f>
        <v>5566.3425</v>
      </c>
      <c r="H35" s="52">
        <f t="shared" si="5"/>
        <v>149359.2108</v>
      </c>
      <c r="I35" s="49">
        <f t="shared" si="3"/>
        <v>17339.6575</v>
      </c>
      <c r="J35" s="52">
        <f>IF(A35&lt;&gt;"",SUMIFS(metas!N:N, metas!E:E, "&gt;=" &amp; DATEVALUE(B35&amp;"-01"),metas!D:D, "&lt;=" &amp; DATEVALUE(B35&amp;"-01")),"")</f>
        <v>3182.813937</v>
      </c>
      <c r="K35" s="49">
        <f t="shared" si="4"/>
        <v>14156.84356</v>
      </c>
      <c r="L35" s="49">
        <f t="shared" si="6"/>
        <v>45604.35352</v>
      </c>
      <c r="M35" s="49">
        <f>IF(A35&lt;&gt;"",IF(COUNTIF(investimento!F:F, B35) &gt; 0, SUM(investimento!B:B)+I35, M34+I35),"")</f>
        <v>572595.3658</v>
      </c>
    </row>
    <row r="36" ht="22.5" customHeight="1">
      <c r="A36" s="47">
        <v>46935.0</v>
      </c>
      <c r="B36" s="48" t="str">
        <f t="shared" si="1"/>
        <v>2028-07</v>
      </c>
      <c r="C36" s="49">
        <f>SUMIF(despesas_recorrentes!C:C, "&gt;="&amp;A36,despesas_recorrentes!B:B) 
+SUMIF(despesas_recorrentes!C:C, "",despesas_recorrentes!B:B)
-despesas_recorrentes!$B$12
+IF(SUMIF(gasto_cartao!E:E,saldo!B36,gasto_cartao!B:B)&gt;despesas_recorrentes!$B$12, SUMIF(gasto_cartao!E:E,saldo!B36,gasto_cartao!B:B),despesas_recorrentes!$B$12)</f>
        <v>34013</v>
      </c>
      <c r="D36" s="50">
        <f>SUM(receitas_recorrentes!B:B)+SUMIF(receitas_pontuais!E:E,B36,receitas_pontuais!B:B)</f>
        <v>56919</v>
      </c>
      <c r="E36" s="50">
        <f t="shared" si="2"/>
        <v>22906</v>
      </c>
      <c r="F36" s="49">
        <f>IFERROR(SUMIF(contas!G:G, B36, contas!B:B),0)</f>
        <v>0</v>
      </c>
      <c r="G36" s="51">
        <f>SUMIFS(previsoes!D:D, previsoes!E:E, "&lt;=" &amp; EOMONTH(DATEVALUE(B36&amp;"-01"),0), previsoes!F:F, "&gt;=" &amp; DATEVALUE(B36&amp;"-01"))</f>
        <v>5566.3425</v>
      </c>
      <c r="H36" s="52">
        <f t="shared" si="5"/>
        <v>154925.5533</v>
      </c>
      <c r="I36" s="49">
        <f t="shared" si="3"/>
        <v>17339.6575</v>
      </c>
      <c r="J36" s="52">
        <f>IF(A36&lt;&gt;"",SUMIFS(metas!N:N, metas!E:E, "&gt;=" &amp; DATEVALUE(B36&amp;"-01"),metas!D:D, "&lt;=" &amp; DATEVALUE(B36&amp;"-01")),"")</f>
        <v>3182.813937</v>
      </c>
      <c r="K36" s="49">
        <f t="shared" si="4"/>
        <v>14156.84356</v>
      </c>
      <c r="L36" s="49">
        <f t="shared" si="6"/>
        <v>59761.19708</v>
      </c>
      <c r="M36" s="49">
        <f>IF(A36&lt;&gt;"",IF(COUNTIF(investimento!F:F, B36) &gt; 0, SUM(investimento!B:B)+I36, M35+I36),"")</f>
        <v>589935.0233</v>
      </c>
    </row>
    <row r="37" ht="22.5" customHeight="1">
      <c r="A37" s="47">
        <v>46966.0</v>
      </c>
      <c r="B37" s="48" t="str">
        <f t="shared" si="1"/>
        <v>2028-08</v>
      </c>
      <c r="C37" s="49">
        <f>SUMIF(despesas_recorrentes!C:C, "&gt;="&amp;A37,despesas_recorrentes!B:B) 
+SUMIF(despesas_recorrentes!C:C, "",despesas_recorrentes!B:B)
-despesas_recorrentes!$B$12
+IF(SUMIF(gasto_cartao!E:E,saldo!B37,gasto_cartao!B:B)&gt;despesas_recorrentes!$B$12, SUMIF(gasto_cartao!E:E,saldo!B37,gasto_cartao!B:B),despesas_recorrentes!$B$12)</f>
        <v>34013</v>
      </c>
      <c r="D37" s="50">
        <f>SUM(receitas_recorrentes!B:B)+SUMIF(receitas_pontuais!E:E,B37,receitas_pontuais!B:B)</f>
        <v>56919</v>
      </c>
      <c r="E37" s="50">
        <f t="shared" si="2"/>
        <v>22906</v>
      </c>
      <c r="F37" s="49">
        <f>IFERROR(SUMIF(contas!G:G, B37, contas!B:B),0)</f>
        <v>0</v>
      </c>
      <c r="G37" s="51">
        <f>SUMIFS(previsoes!D:D, previsoes!E:E, "&lt;=" &amp; EOMONTH(DATEVALUE(B37&amp;"-01"),0), previsoes!F:F, "&gt;=" &amp; DATEVALUE(B37&amp;"-01"))</f>
        <v>5566.3425</v>
      </c>
      <c r="H37" s="52">
        <f t="shared" si="5"/>
        <v>160491.8958</v>
      </c>
      <c r="I37" s="49">
        <f t="shared" si="3"/>
        <v>17339.6575</v>
      </c>
      <c r="J37" s="52">
        <f>IF(A37&lt;&gt;"",SUMIFS(metas!N:N, metas!E:E, "&gt;=" &amp; DATEVALUE(B37&amp;"-01"),metas!D:D, "&lt;=" &amp; DATEVALUE(B37&amp;"-01")),"")</f>
        <v>3182.813937</v>
      </c>
      <c r="K37" s="49">
        <f t="shared" si="4"/>
        <v>14156.84356</v>
      </c>
      <c r="L37" s="49">
        <f t="shared" si="6"/>
        <v>73918.04064</v>
      </c>
      <c r="M37" s="49">
        <f>IF(A37&lt;&gt;"",IF(COUNTIF(investimento!F:F, B37) &gt; 0, SUM(investimento!B:B)+I37, M36+I37),"")</f>
        <v>607274.6808</v>
      </c>
    </row>
    <row r="38" ht="22.5" customHeight="1">
      <c r="A38" s="47">
        <v>46997.0</v>
      </c>
      <c r="B38" s="48" t="str">
        <f t="shared" si="1"/>
        <v>2028-09</v>
      </c>
      <c r="C38" s="49">
        <f>SUMIF(despesas_recorrentes!C:C, "&gt;="&amp;A38,despesas_recorrentes!B:B) 
+SUMIF(despesas_recorrentes!C:C, "",despesas_recorrentes!B:B)
-despesas_recorrentes!$B$12
+IF(SUMIF(gasto_cartao!E:E,saldo!B38,gasto_cartao!B:B)&gt;despesas_recorrentes!$B$12, SUMIF(gasto_cartao!E:E,saldo!B38,gasto_cartao!B:B),despesas_recorrentes!$B$12)</f>
        <v>34013</v>
      </c>
      <c r="D38" s="50">
        <f>SUM(receitas_recorrentes!B:B)+SUMIF(receitas_pontuais!E:E,B38,receitas_pontuais!B:B)</f>
        <v>56919</v>
      </c>
      <c r="E38" s="50">
        <f t="shared" si="2"/>
        <v>22906</v>
      </c>
      <c r="F38" s="49">
        <f>IFERROR(SUMIF(contas!G:G, B38, contas!B:B),0)</f>
        <v>0</v>
      </c>
      <c r="G38" s="51">
        <f>SUMIFS(previsoes!D:D, previsoes!E:E, "&lt;=" &amp; EOMONTH(DATEVALUE(B38&amp;"-01"),0), previsoes!F:F, "&gt;=" &amp; DATEVALUE(B38&amp;"-01"))</f>
        <v>0</v>
      </c>
      <c r="H38" s="52">
        <f t="shared" si="5"/>
        <v>160491.8958</v>
      </c>
      <c r="I38" s="49">
        <f t="shared" si="3"/>
        <v>22906</v>
      </c>
      <c r="J38" s="52">
        <f>IF(A38&lt;&gt;"",SUMIFS(metas!N:N, metas!E:E, "&gt;=" &amp; DATEVALUE(B38&amp;"-01"),metas!D:D, "&lt;=" &amp; DATEVALUE(B38&amp;"-01")),"")</f>
        <v>3182.813937</v>
      </c>
      <c r="K38" s="49">
        <f t="shared" si="4"/>
        <v>19723.18606</v>
      </c>
      <c r="L38" s="49">
        <f t="shared" si="6"/>
        <v>93641.22671</v>
      </c>
      <c r="M38" s="49">
        <f>IF(A38&lt;&gt;"",IF(COUNTIF(investimento!F:F, B38) &gt; 0, SUM(investimento!B:B)+I38, M37+I38),"")</f>
        <v>630180.6808</v>
      </c>
    </row>
    <row r="39" ht="22.5" customHeight="1">
      <c r="A39" s="47">
        <v>47027.0</v>
      </c>
      <c r="B39" s="48" t="str">
        <f t="shared" si="1"/>
        <v>2028-10</v>
      </c>
      <c r="C39" s="49">
        <f>SUMIF(despesas_recorrentes!C:C, "&gt;="&amp;A39,despesas_recorrentes!B:B) 
+SUMIF(despesas_recorrentes!C:C, "",despesas_recorrentes!B:B)
-despesas_recorrentes!$B$12
+IF(SUMIF(gasto_cartao!E:E,saldo!B39,gasto_cartao!B:B)&gt;despesas_recorrentes!$B$12, SUMIF(gasto_cartao!E:E,saldo!B39,gasto_cartao!B:B),despesas_recorrentes!$B$12)</f>
        <v>34013</v>
      </c>
      <c r="D39" s="50">
        <f>SUM(receitas_recorrentes!B:B)+SUMIF(receitas_pontuais!E:E,B39,receitas_pontuais!B:B)</f>
        <v>56919</v>
      </c>
      <c r="E39" s="50">
        <f t="shared" si="2"/>
        <v>22906</v>
      </c>
      <c r="F39" s="49">
        <f>IFERROR(SUMIF(contas!G:G, B39, contas!B:B),0)</f>
        <v>0</v>
      </c>
      <c r="G39" s="51">
        <f>SUMIFS(previsoes!D:D, previsoes!E:E, "&lt;=" &amp; EOMONTH(DATEVALUE(B39&amp;"-01"),0), previsoes!F:F, "&gt;=" &amp; DATEVALUE(B39&amp;"-01"))</f>
        <v>0</v>
      </c>
      <c r="H39" s="52">
        <f t="shared" si="5"/>
        <v>160491.8958</v>
      </c>
      <c r="I39" s="49">
        <f t="shared" si="3"/>
        <v>22906</v>
      </c>
      <c r="J39" s="52">
        <f>IF(A39&lt;&gt;"",SUMIFS(metas!N:N, metas!E:E, "&gt;=" &amp; DATEVALUE(B39&amp;"-01"),metas!D:D, "&lt;=" &amp; DATEVALUE(B39&amp;"-01")),"")</f>
        <v>3182.813937</v>
      </c>
      <c r="K39" s="49">
        <f t="shared" si="4"/>
        <v>19723.18606</v>
      </c>
      <c r="L39" s="49">
        <f t="shared" si="6"/>
        <v>113364.4128</v>
      </c>
      <c r="M39" s="49">
        <f>IF(A39&lt;&gt;"",IF(COUNTIF(investimento!F:F, B39) &gt; 0, SUM(investimento!B:B)+I39, M38+I39),"")</f>
        <v>653086.6808</v>
      </c>
    </row>
    <row r="40" ht="22.5" customHeight="1">
      <c r="A40" s="47">
        <v>47058.0</v>
      </c>
      <c r="B40" s="48" t="str">
        <f t="shared" si="1"/>
        <v>2028-11</v>
      </c>
      <c r="C40" s="49">
        <f>SUMIF(despesas_recorrentes!C:C, "&gt;="&amp;A40,despesas_recorrentes!B:B) 
+SUMIF(despesas_recorrentes!C:C, "",despesas_recorrentes!B:B)
-despesas_recorrentes!$B$12
+IF(SUMIF(gasto_cartao!E:E,saldo!B40,gasto_cartao!B:B)&gt;despesas_recorrentes!$B$12, SUMIF(gasto_cartao!E:E,saldo!B40,gasto_cartao!B:B),despesas_recorrentes!$B$12)</f>
        <v>34013</v>
      </c>
      <c r="D40" s="50">
        <f>SUM(receitas_recorrentes!B:B)+SUMIF(receitas_pontuais!E:E,B40,receitas_pontuais!B:B)</f>
        <v>56919</v>
      </c>
      <c r="E40" s="50">
        <f t="shared" si="2"/>
        <v>22906</v>
      </c>
      <c r="F40" s="49">
        <f>IFERROR(SUMIF(contas!G:G, B40, contas!B:B),0)</f>
        <v>0</v>
      </c>
      <c r="G40" s="51">
        <f>SUMIFS(previsoes!D:D, previsoes!E:E, "&lt;=" &amp; EOMONTH(DATEVALUE(B40&amp;"-01"),0), previsoes!F:F, "&gt;=" &amp; DATEVALUE(B40&amp;"-01"))</f>
        <v>0</v>
      </c>
      <c r="H40" s="52">
        <f t="shared" si="5"/>
        <v>160491.8958</v>
      </c>
      <c r="I40" s="49">
        <f t="shared" si="3"/>
        <v>22906</v>
      </c>
      <c r="J40" s="52">
        <f>IF(A40&lt;&gt;"",SUMIFS(metas!N:N, metas!E:E, "&gt;=" &amp; DATEVALUE(B40&amp;"-01"),metas!D:D, "&lt;=" &amp; DATEVALUE(B40&amp;"-01")),"")</f>
        <v>3182.813937</v>
      </c>
      <c r="K40" s="49">
        <f t="shared" si="4"/>
        <v>19723.18606</v>
      </c>
      <c r="L40" s="49">
        <f t="shared" si="6"/>
        <v>133087.5988</v>
      </c>
      <c r="M40" s="49">
        <f>IF(A40&lt;&gt;"",IF(COUNTIF(investimento!F:F, B40) &gt; 0, SUM(investimento!B:B)+I40, M39+I40),"")</f>
        <v>675992.6808</v>
      </c>
    </row>
    <row r="41" ht="22.5" customHeight="1">
      <c r="A41" s="47">
        <v>47088.0</v>
      </c>
      <c r="B41" s="48" t="str">
        <f t="shared" si="1"/>
        <v>2028-12</v>
      </c>
      <c r="C41" s="49">
        <f>SUMIF(despesas_recorrentes!C:C, "&gt;="&amp;A41,despesas_recorrentes!B:B) 
+SUMIF(despesas_recorrentes!C:C, "",despesas_recorrentes!B:B)
-despesas_recorrentes!$B$12
+IF(SUMIF(gasto_cartao!E:E,saldo!B41,gasto_cartao!B:B)&gt;despesas_recorrentes!$B$12, SUMIF(gasto_cartao!E:E,saldo!B41,gasto_cartao!B:B),despesas_recorrentes!$B$12)</f>
        <v>34013</v>
      </c>
      <c r="D41" s="50">
        <f>SUM(receitas_recorrentes!B:B)+SUMIF(receitas_pontuais!E:E,B41,receitas_pontuais!B:B)</f>
        <v>56919</v>
      </c>
      <c r="E41" s="50">
        <f t="shared" si="2"/>
        <v>22906</v>
      </c>
      <c r="F41" s="49">
        <f>IFERROR(SUMIF(contas!G:G, B41, contas!B:B),0)</f>
        <v>0</v>
      </c>
      <c r="G41" s="51">
        <f>SUMIFS(previsoes!D:D, previsoes!E:E, "&lt;=" &amp; EOMONTH(DATEVALUE(B41&amp;"-01"),0), previsoes!F:F, "&gt;=" &amp; DATEVALUE(B41&amp;"-01"))</f>
        <v>0</v>
      </c>
      <c r="H41" s="52">
        <f t="shared" si="5"/>
        <v>160491.8958</v>
      </c>
      <c r="I41" s="49">
        <f t="shared" si="3"/>
        <v>22906</v>
      </c>
      <c r="J41" s="52">
        <f>IF(A41&lt;&gt;"",SUMIFS(metas!N:N, metas!E:E, "&gt;=" &amp; DATEVALUE(B41&amp;"-01"),metas!D:D, "&lt;=" &amp; DATEVALUE(B41&amp;"-01")),"")</f>
        <v>3182.813937</v>
      </c>
      <c r="K41" s="49">
        <f t="shared" si="4"/>
        <v>19723.18606</v>
      </c>
      <c r="L41" s="49">
        <f t="shared" si="6"/>
        <v>152810.7849</v>
      </c>
      <c r="M41" s="49">
        <f>IF(A41&lt;&gt;"",IF(COUNTIF(investimento!F:F, B41) &gt; 0, SUM(investimento!B:B)+I41, M40+I41),"")</f>
        <v>698898.6808</v>
      </c>
    </row>
    <row r="42" ht="22.5" customHeight="1">
      <c r="A42" s="47">
        <v>47119.0</v>
      </c>
      <c r="B42" s="48" t="str">
        <f t="shared" si="1"/>
        <v>2029-01</v>
      </c>
      <c r="C42" s="49">
        <f>SUMIF(despesas_recorrentes!C:C, "&gt;="&amp;A42,despesas_recorrentes!B:B) 
+SUMIF(despesas_recorrentes!C:C, "",despesas_recorrentes!B:B)
-despesas_recorrentes!$B$12
+IF(SUMIF(gasto_cartao!E:E,saldo!B42,gasto_cartao!B:B)&gt;despesas_recorrentes!$B$12, SUMIF(gasto_cartao!E:E,saldo!B42,gasto_cartao!B:B),despesas_recorrentes!$B$12)</f>
        <v>34013</v>
      </c>
      <c r="D42" s="50">
        <f>SUM(receitas_recorrentes!B:B)+SUMIF(receitas_pontuais!E:E,B42,receitas_pontuais!B:B)</f>
        <v>56919</v>
      </c>
      <c r="E42" s="50">
        <f t="shared" si="2"/>
        <v>22906</v>
      </c>
      <c r="F42" s="49">
        <f>IFERROR(SUMIF(contas!G:G, B42, contas!B:B),0)</f>
        <v>0</v>
      </c>
      <c r="G42" s="51">
        <f>SUMIFS(previsoes!D:D, previsoes!E:E, "&lt;=" &amp; EOMONTH(DATEVALUE(B42&amp;"-01"),0), previsoes!F:F, "&gt;=" &amp; DATEVALUE(B42&amp;"-01"))</f>
        <v>0</v>
      </c>
      <c r="H42" s="52">
        <f t="shared" si="5"/>
        <v>160491.8958</v>
      </c>
      <c r="I42" s="49">
        <f t="shared" si="3"/>
        <v>22906</v>
      </c>
      <c r="J42" s="52">
        <f>IF(A42&lt;&gt;"",SUMIFS(metas!N:N, metas!E:E, "&gt;=" &amp; DATEVALUE(B42&amp;"-01"),metas!D:D, "&lt;=" &amp; DATEVALUE(B42&amp;"-01")),"")</f>
        <v>3182.813937</v>
      </c>
      <c r="K42" s="49">
        <f t="shared" si="4"/>
        <v>19723.18606</v>
      </c>
      <c r="L42" s="49">
        <f t="shared" si="6"/>
        <v>172533.971</v>
      </c>
      <c r="M42" s="49">
        <f>IF(A42&lt;&gt;"",IF(COUNTIF(investimento!F:F, B42) &gt; 0, SUM(investimento!B:B)+I42, M41+I42),"")</f>
        <v>721804.6808</v>
      </c>
    </row>
    <row r="43" ht="22.5" customHeight="1">
      <c r="A43" s="47">
        <v>47150.0</v>
      </c>
      <c r="B43" s="48" t="str">
        <f t="shared" si="1"/>
        <v>2029-02</v>
      </c>
      <c r="C43" s="49">
        <f>SUMIF(despesas_recorrentes!C:C, "&gt;="&amp;A43,despesas_recorrentes!B:B) 
+SUMIF(despesas_recorrentes!C:C, "",despesas_recorrentes!B:B)
-despesas_recorrentes!$B$12
+IF(SUMIF(gasto_cartao!E:E,saldo!B43,gasto_cartao!B:B)&gt;despesas_recorrentes!$B$12, SUMIF(gasto_cartao!E:E,saldo!B43,gasto_cartao!B:B),despesas_recorrentes!$B$12)</f>
        <v>34013</v>
      </c>
      <c r="D43" s="50">
        <f>SUM(receitas_recorrentes!B:B)+SUMIF(receitas_pontuais!E:E,B43,receitas_pontuais!B:B)</f>
        <v>56919</v>
      </c>
      <c r="E43" s="50">
        <f t="shared" si="2"/>
        <v>22906</v>
      </c>
      <c r="F43" s="49">
        <f>IFERROR(SUMIF(contas!G:G, B43, contas!B:B),0)</f>
        <v>0</v>
      </c>
      <c r="G43" s="51">
        <f>SUMIFS(previsoes!D:D, previsoes!E:E, "&lt;=" &amp; EOMONTH(DATEVALUE(B43&amp;"-01"),0), previsoes!F:F, "&gt;=" &amp; DATEVALUE(B43&amp;"-01"))</f>
        <v>0</v>
      </c>
      <c r="H43" s="52">
        <f t="shared" si="5"/>
        <v>160491.8958</v>
      </c>
      <c r="I43" s="49">
        <f t="shared" si="3"/>
        <v>22906</v>
      </c>
      <c r="J43" s="52">
        <f>IF(A43&lt;&gt;"",SUMIFS(metas!N:N, metas!E:E, "&gt;=" &amp; DATEVALUE(B43&amp;"-01"),metas!D:D, "&lt;=" &amp; DATEVALUE(B43&amp;"-01")),"")</f>
        <v>3182.813937</v>
      </c>
      <c r="K43" s="49">
        <f t="shared" si="4"/>
        <v>19723.18606</v>
      </c>
      <c r="L43" s="49">
        <f t="shared" si="6"/>
        <v>192257.157</v>
      </c>
      <c r="M43" s="49">
        <f>IF(A43&lt;&gt;"",IF(COUNTIF(investimento!F:F, B43) &gt; 0, SUM(investimento!B:B)+I43, M42+I43),"")</f>
        <v>744710.6808</v>
      </c>
    </row>
    <row r="44" ht="22.5" customHeight="1">
      <c r="A44" s="47">
        <v>47178.0</v>
      </c>
      <c r="B44" s="48" t="str">
        <f t="shared" si="1"/>
        <v>2029-03</v>
      </c>
      <c r="C44" s="49">
        <f>SUMIF(despesas_recorrentes!C:C, "&gt;="&amp;A44,despesas_recorrentes!B:B) 
+SUMIF(despesas_recorrentes!C:C, "",despesas_recorrentes!B:B)
-despesas_recorrentes!$B$12
+IF(SUMIF(gasto_cartao!E:E,saldo!B44,gasto_cartao!B:B)&gt;despesas_recorrentes!$B$12, SUMIF(gasto_cartao!E:E,saldo!B44,gasto_cartao!B:B),despesas_recorrentes!$B$12)</f>
        <v>34013</v>
      </c>
      <c r="D44" s="50">
        <f>SUM(receitas_recorrentes!B:B)+SUMIF(receitas_pontuais!E:E,B44,receitas_pontuais!B:B)</f>
        <v>56919</v>
      </c>
      <c r="E44" s="50">
        <f t="shared" si="2"/>
        <v>22906</v>
      </c>
      <c r="F44" s="49">
        <f>IFERROR(SUMIF(contas!G:G, B44, contas!B:B),0)</f>
        <v>0</v>
      </c>
      <c r="G44" s="51">
        <f>SUMIFS(previsoes!D:D, previsoes!E:E, "&lt;=" &amp; EOMONTH(DATEVALUE(B44&amp;"-01"),0), previsoes!F:F, "&gt;=" &amp; DATEVALUE(B44&amp;"-01"))</f>
        <v>0</v>
      </c>
      <c r="H44" s="52">
        <f t="shared" si="5"/>
        <v>160491.8958</v>
      </c>
      <c r="I44" s="49">
        <f t="shared" si="3"/>
        <v>22906</v>
      </c>
      <c r="J44" s="52">
        <f>IF(A44&lt;&gt;"",SUMIFS(metas!N:N, metas!E:E, "&gt;=" &amp; DATEVALUE(B44&amp;"-01"),metas!D:D, "&lt;=" &amp; DATEVALUE(B44&amp;"-01")),"")</f>
        <v>3182.813937</v>
      </c>
      <c r="K44" s="49">
        <f t="shared" si="4"/>
        <v>19723.18606</v>
      </c>
      <c r="L44" s="49">
        <f t="shared" si="6"/>
        <v>211980.3431</v>
      </c>
      <c r="M44" s="49">
        <f>IF(A44&lt;&gt;"",IF(COUNTIF(investimento!F:F, B44) &gt; 0, SUM(investimento!B:B)+I44, M43+I44),"")</f>
        <v>767616.6808</v>
      </c>
    </row>
    <row r="45" ht="22.5" customHeight="1">
      <c r="A45" s="47">
        <v>47209.0</v>
      </c>
      <c r="B45" s="48" t="str">
        <f t="shared" si="1"/>
        <v>2029-04</v>
      </c>
      <c r="C45" s="49">
        <f>SUMIF(despesas_recorrentes!C:C, "&gt;="&amp;A45,despesas_recorrentes!B:B) 
+SUMIF(despesas_recorrentes!C:C, "",despesas_recorrentes!B:B)
-despesas_recorrentes!$B$12
+IF(SUMIF(gasto_cartao!E:E,saldo!B45,gasto_cartao!B:B)&gt;despesas_recorrentes!$B$12, SUMIF(gasto_cartao!E:E,saldo!B45,gasto_cartao!B:B),despesas_recorrentes!$B$12)</f>
        <v>34013</v>
      </c>
      <c r="D45" s="50">
        <f>SUM(receitas_recorrentes!B:B)+SUMIF(receitas_pontuais!E:E,B45,receitas_pontuais!B:B)</f>
        <v>56919</v>
      </c>
      <c r="E45" s="50">
        <f t="shared" si="2"/>
        <v>22906</v>
      </c>
      <c r="F45" s="49">
        <f>IFERROR(SUMIF(contas!G:G, B45, contas!B:B),0)</f>
        <v>0</v>
      </c>
      <c r="G45" s="51">
        <f>SUMIFS(previsoes!D:D, previsoes!E:E, "&lt;=" &amp; EOMONTH(DATEVALUE(B45&amp;"-01"),0), previsoes!F:F, "&gt;=" &amp; DATEVALUE(B45&amp;"-01"))</f>
        <v>0</v>
      </c>
      <c r="H45" s="52">
        <f t="shared" si="5"/>
        <v>160491.8958</v>
      </c>
      <c r="I45" s="49">
        <f t="shared" si="3"/>
        <v>22906</v>
      </c>
      <c r="J45" s="52">
        <f>IF(A45&lt;&gt;"",SUMIFS(metas!N:N, metas!E:E, "&gt;=" &amp; DATEVALUE(B45&amp;"-01"),metas!D:D, "&lt;=" &amp; DATEVALUE(B45&amp;"-01")),"")</f>
        <v>3182.813937</v>
      </c>
      <c r="K45" s="49">
        <f t="shared" si="4"/>
        <v>19723.18606</v>
      </c>
      <c r="L45" s="49">
        <f t="shared" si="6"/>
        <v>231703.5291</v>
      </c>
      <c r="M45" s="49">
        <f>IF(A45&lt;&gt;"",IF(COUNTIF(investimento!F:F, B45) &gt; 0, SUM(investimento!B:B)+I45, M44+I45),"")</f>
        <v>790522.6808</v>
      </c>
    </row>
    <row r="46" ht="22.5" customHeight="1">
      <c r="A46" s="47">
        <v>47239.0</v>
      </c>
      <c r="B46" s="48" t="str">
        <f t="shared" si="1"/>
        <v>2029-05</v>
      </c>
      <c r="C46" s="49">
        <f>SUMIF(despesas_recorrentes!C:C, "&gt;="&amp;A46,despesas_recorrentes!B:B) 
+SUMIF(despesas_recorrentes!C:C, "",despesas_recorrentes!B:B)
-despesas_recorrentes!$B$12
+IF(SUMIF(gasto_cartao!E:E,saldo!B46,gasto_cartao!B:B)&gt;despesas_recorrentes!$B$12, SUMIF(gasto_cartao!E:E,saldo!B46,gasto_cartao!B:B),despesas_recorrentes!$B$12)</f>
        <v>34013</v>
      </c>
      <c r="D46" s="50">
        <f>SUM(receitas_recorrentes!B:B)+SUMIF(receitas_pontuais!E:E,B46,receitas_pontuais!B:B)</f>
        <v>56919</v>
      </c>
      <c r="E46" s="50">
        <f t="shared" si="2"/>
        <v>22906</v>
      </c>
      <c r="F46" s="49">
        <f>IFERROR(SUMIF(contas!G:G, B46, contas!B:B),0)</f>
        <v>0</v>
      </c>
      <c r="G46" s="51">
        <f>SUMIFS(previsoes!D:D, previsoes!E:E, "&lt;=" &amp; EOMONTH(DATEVALUE(B46&amp;"-01"),0), previsoes!F:F, "&gt;=" &amp; DATEVALUE(B46&amp;"-01"))</f>
        <v>0</v>
      </c>
      <c r="H46" s="52">
        <f t="shared" si="5"/>
        <v>160491.8958</v>
      </c>
      <c r="I46" s="49">
        <f t="shared" si="3"/>
        <v>22906</v>
      </c>
      <c r="J46" s="52">
        <f>IF(A46&lt;&gt;"",SUMIFS(metas!N:N, metas!E:E, "&gt;=" &amp; DATEVALUE(B46&amp;"-01"),metas!D:D, "&lt;=" &amp; DATEVALUE(B46&amp;"-01")),"")</f>
        <v>3182.813937</v>
      </c>
      <c r="K46" s="49">
        <f t="shared" si="4"/>
        <v>19723.18606</v>
      </c>
      <c r="L46" s="49">
        <f t="shared" si="6"/>
        <v>251426.7152</v>
      </c>
      <c r="M46" s="49">
        <f>IF(A46&lt;&gt;"",IF(COUNTIF(investimento!F:F, B46) &gt; 0, SUM(investimento!B:B)+I46, M45+I46),"")</f>
        <v>813428.6808</v>
      </c>
    </row>
    <row r="47" ht="22.5" customHeight="1">
      <c r="A47" s="47">
        <v>47270.0</v>
      </c>
      <c r="B47" s="48" t="str">
        <f t="shared" si="1"/>
        <v>2029-06</v>
      </c>
      <c r="C47" s="49">
        <f>SUMIF(despesas_recorrentes!C:C, "&gt;="&amp;A47,despesas_recorrentes!B:B) 
+SUMIF(despesas_recorrentes!C:C, "",despesas_recorrentes!B:B)
-despesas_recorrentes!$B$12
+IF(SUMIF(gasto_cartao!E:E,saldo!B47,gasto_cartao!B:B)&gt;despesas_recorrentes!$B$12, SUMIF(gasto_cartao!E:E,saldo!B47,gasto_cartao!B:B),despesas_recorrentes!$B$12)</f>
        <v>34013</v>
      </c>
      <c r="D47" s="50">
        <f>SUM(receitas_recorrentes!B:B)+SUMIF(receitas_pontuais!E:E,B47,receitas_pontuais!B:B)</f>
        <v>56919</v>
      </c>
      <c r="E47" s="50">
        <f t="shared" si="2"/>
        <v>22906</v>
      </c>
      <c r="F47" s="49">
        <f>IFERROR(SUMIF(contas!G:G, B47, contas!B:B),0)</f>
        <v>0</v>
      </c>
      <c r="G47" s="51">
        <f>SUMIFS(previsoes!D:D, previsoes!E:E, "&lt;=" &amp; EOMONTH(DATEVALUE(B47&amp;"-01"),0), previsoes!F:F, "&gt;=" &amp; DATEVALUE(B47&amp;"-01"))</f>
        <v>0</v>
      </c>
      <c r="H47" s="52">
        <f t="shared" si="5"/>
        <v>160491.8958</v>
      </c>
      <c r="I47" s="49">
        <f t="shared" si="3"/>
        <v>22906</v>
      </c>
      <c r="J47" s="52">
        <f>IF(A47&lt;&gt;"",SUMIFS(metas!N:N, metas!E:E, "&gt;=" &amp; DATEVALUE(B47&amp;"-01"),metas!D:D, "&lt;=" &amp; DATEVALUE(B47&amp;"-01")),"")</f>
        <v>3182.813937</v>
      </c>
      <c r="K47" s="49">
        <f t="shared" si="4"/>
        <v>19723.18606</v>
      </c>
      <c r="L47" s="49">
        <f t="shared" si="6"/>
        <v>271149.9013</v>
      </c>
      <c r="M47" s="49">
        <f>IF(A47&lt;&gt;"",IF(COUNTIF(investimento!F:F, B47) &gt; 0, SUM(investimento!B:B)+I47, M46+I47),"")</f>
        <v>836334.6808</v>
      </c>
    </row>
    <row r="48" ht="22.5" customHeight="1">
      <c r="A48" s="47">
        <v>47300.0</v>
      </c>
      <c r="B48" s="48" t="str">
        <f t="shared" si="1"/>
        <v>2029-07</v>
      </c>
      <c r="C48" s="49">
        <f>SUMIF(despesas_recorrentes!C:C, "&gt;="&amp;A48,despesas_recorrentes!B:B) 
+SUMIF(despesas_recorrentes!C:C, "",despesas_recorrentes!B:B)
-despesas_recorrentes!$B$12
+IF(SUMIF(gasto_cartao!E:E,saldo!B48,gasto_cartao!B:B)&gt;despesas_recorrentes!$B$12, SUMIF(gasto_cartao!E:E,saldo!B48,gasto_cartao!B:B),despesas_recorrentes!$B$12)</f>
        <v>34013</v>
      </c>
      <c r="D48" s="50">
        <f>SUM(receitas_recorrentes!B:B)+SUMIF(receitas_pontuais!E:E,B48,receitas_pontuais!B:B)</f>
        <v>56919</v>
      </c>
      <c r="E48" s="50">
        <f t="shared" si="2"/>
        <v>22906</v>
      </c>
      <c r="F48" s="49">
        <f>IFERROR(SUMIF(contas!G:G, B48, contas!B:B),0)</f>
        <v>0</v>
      </c>
      <c r="G48" s="51">
        <f>SUMIFS(previsoes!D:D, previsoes!E:E, "&lt;=" &amp; EOMONTH(DATEVALUE(B48&amp;"-01"),0), previsoes!F:F, "&gt;=" &amp; DATEVALUE(B48&amp;"-01"))</f>
        <v>0</v>
      </c>
      <c r="H48" s="52">
        <f t="shared" si="5"/>
        <v>160491.8958</v>
      </c>
      <c r="I48" s="49">
        <f t="shared" si="3"/>
        <v>22906</v>
      </c>
      <c r="J48" s="52">
        <f>IF(A48&lt;&gt;"",SUMIFS(metas!N:N, metas!E:E, "&gt;=" &amp; DATEVALUE(B48&amp;"-01"),metas!D:D, "&lt;=" &amp; DATEVALUE(B48&amp;"-01")),"")</f>
        <v>3182.813937</v>
      </c>
      <c r="K48" s="49">
        <f t="shared" si="4"/>
        <v>19723.18606</v>
      </c>
      <c r="L48" s="49">
        <f t="shared" si="6"/>
        <v>290873.0873</v>
      </c>
      <c r="M48" s="49">
        <f>IF(A48&lt;&gt;"",IF(COUNTIF(investimento!F:F, B48) &gt; 0, SUM(investimento!B:B)+I48, M47+I48),"")</f>
        <v>859240.6808</v>
      </c>
    </row>
    <row r="49" ht="22.5" customHeight="1">
      <c r="A49" s="47">
        <v>47331.0</v>
      </c>
      <c r="B49" s="48" t="str">
        <f t="shared" si="1"/>
        <v>2029-08</v>
      </c>
      <c r="C49" s="49">
        <f>SUMIF(despesas_recorrentes!C:C, "&gt;="&amp;A49,despesas_recorrentes!B:B) 
+SUMIF(despesas_recorrentes!C:C, "",despesas_recorrentes!B:B)
-despesas_recorrentes!$B$12
+IF(SUMIF(gasto_cartao!E:E,saldo!B49,gasto_cartao!B:B)&gt;despesas_recorrentes!$B$12, SUMIF(gasto_cartao!E:E,saldo!B49,gasto_cartao!B:B),despesas_recorrentes!$B$12)</f>
        <v>34013</v>
      </c>
      <c r="D49" s="50">
        <f>SUM(receitas_recorrentes!B:B)+SUMIF(receitas_pontuais!E:E,B49,receitas_pontuais!B:B)</f>
        <v>56919</v>
      </c>
      <c r="E49" s="50">
        <f t="shared" si="2"/>
        <v>22906</v>
      </c>
      <c r="F49" s="49">
        <f>IFERROR(SUMIF(contas!G:G, B49, contas!B:B),0)</f>
        <v>0</v>
      </c>
      <c r="G49" s="51">
        <f>SUMIFS(previsoes!D:D, previsoes!E:E, "&lt;=" &amp; EOMONTH(DATEVALUE(B49&amp;"-01"),0), previsoes!F:F, "&gt;=" &amp; DATEVALUE(B49&amp;"-01"))</f>
        <v>0</v>
      </c>
      <c r="H49" s="52">
        <f t="shared" si="5"/>
        <v>160491.8958</v>
      </c>
      <c r="I49" s="49">
        <f t="shared" si="3"/>
        <v>22906</v>
      </c>
      <c r="J49" s="52">
        <f>IF(A49&lt;&gt;"",SUMIFS(metas!N:N, metas!E:E, "&gt;=" &amp; DATEVALUE(B49&amp;"-01"),metas!D:D, "&lt;=" &amp; DATEVALUE(B49&amp;"-01")),"")</f>
        <v>3182.813937</v>
      </c>
      <c r="K49" s="49">
        <f t="shared" si="4"/>
        <v>19723.18606</v>
      </c>
      <c r="L49" s="49">
        <f t="shared" si="6"/>
        <v>310596.2734</v>
      </c>
      <c r="M49" s="49">
        <f>IF(A49&lt;&gt;"",IF(COUNTIF(investimento!F:F, B49) &gt; 0, SUM(investimento!B:B)+I49, M48+I49),"")</f>
        <v>882146.6808</v>
      </c>
    </row>
    <row r="50" ht="22.5" customHeight="1">
      <c r="A50" s="47">
        <v>47362.0</v>
      </c>
      <c r="B50" s="48" t="str">
        <f t="shared" si="1"/>
        <v>2029-09</v>
      </c>
      <c r="C50" s="49">
        <f>SUMIF(despesas_recorrentes!C:C, "&gt;="&amp;A50,despesas_recorrentes!B:B) 
+SUMIF(despesas_recorrentes!C:C, "",despesas_recorrentes!B:B)
-despesas_recorrentes!$B$12
+IF(SUMIF(gasto_cartao!E:E,saldo!B50,gasto_cartao!B:B)&gt;despesas_recorrentes!$B$12, SUMIF(gasto_cartao!E:E,saldo!B50,gasto_cartao!B:B),despesas_recorrentes!$B$12)</f>
        <v>34013</v>
      </c>
      <c r="D50" s="50">
        <f>SUM(receitas_recorrentes!B:B)+SUMIF(receitas_pontuais!E:E,B50,receitas_pontuais!B:B)</f>
        <v>56919</v>
      </c>
      <c r="E50" s="50">
        <f t="shared" si="2"/>
        <v>22906</v>
      </c>
      <c r="F50" s="49">
        <f>IFERROR(SUMIF(contas!G:G, B50, contas!B:B),0)</f>
        <v>0</v>
      </c>
      <c r="G50" s="51">
        <f>SUMIFS(previsoes!D:D, previsoes!E:E, "&lt;=" &amp; EOMONTH(DATEVALUE(B50&amp;"-01"),0), previsoes!F:F, "&gt;=" &amp; DATEVALUE(B50&amp;"-01"))</f>
        <v>0</v>
      </c>
      <c r="H50" s="52">
        <f t="shared" si="5"/>
        <v>160491.8958</v>
      </c>
      <c r="I50" s="49">
        <f t="shared" si="3"/>
        <v>22906</v>
      </c>
      <c r="J50" s="52">
        <f>IF(A50&lt;&gt;"",SUMIFS(metas!N:N, metas!E:E, "&gt;=" &amp; DATEVALUE(B50&amp;"-01"),metas!D:D, "&lt;=" &amp; DATEVALUE(B50&amp;"-01")),"")</f>
        <v>3182.813937</v>
      </c>
      <c r="K50" s="49">
        <f t="shared" si="4"/>
        <v>19723.18606</v>
      </c>
      <c r="L50" s="49">
        <f t="shared" si="6"/>
        <v>330319.4595</v>
      </c>
      <c r="M50" s="49">
        <f>IF(A50&lt;&gt;"",IF(COUNTIF(investimento!F:F, B50) &gt; 0, SUM(investimento!B:B)+I50, M49+I50),"")</f>
        <v>905052.6808</v>
      </c>
    </row>
    <row r="51" ht="22.5" customHeight="1">
      <c r="A51" s="47">
        <v>47392.0</v>
      </c>
      <c r="B51" s="48" t="str">
        <f t="shared" si="1"/>
        <v>2029-10</v>
      </c>
      <c r="C51" s="49">
        <f>SUMIF(despesas_recorrentes!C:C, "&gt;="&amp;A51,despesas_recorrentes!B:B) 
+SUMIF(despesas_recorrentes!C:C, "",despesas_recorrentes!B:B)
-despesas_recorrentes!$B$12
+IF(SUMIF(gasto_cartao!E:E,saldo!B51,gasto_cartao!B:B)&gt;despesas_recorrentes!$B$12, SUMIF(gasto_cartao!E:E,saldo!B51,gasto_cartao!B:B),despesas_recorrentes!$B$12)</f>
        <v>34013</v>
      </c>
      <c r="D51" s="50">
        <f>SUM(receitas_recorrentes!B:B)+SUMIF(receitas_pontuais!E:E,B51,receitas_pontuais!B:B)</f>
        <v>56919</v>
      </c>
      <c r="E51" s="50">
        <f t="shared" si="2"/>
        <v>22906</v>
      </c>
      <c r="F51" s="49">
        <f>IFERROR(SUMIF(contas!G:G, B51, contas!B:B),0)</f>
        <v>0</v>
      </c>
      <c r="G51" s="51">
        <f>SUMIFS(previsoes!D:D, previsoes!E:E, "&lt;=" &amp; EOMONTH(DATEVALUE(B51&amp;"-01"),0), previsoes!F:F, "&gt;=" &amp; DATEVALUE(B51&amp;"-01"))</f>
        <v>0</v>
      </c>
      <c r="H51" s="52">
        <f t="shared" si="5"/>
        <v>160491.8958</v>
      </c>
      <c r="I51" s="49">
        <f t="shared" si="3"/>
        <v>22906</v>
      </c>
      <c r="J51" s="52">
        <f>IF(A51&lt;&gt;"",SUMIFS(metas!N:N, metas!E:E, "&gt;=" &amp; DATEVALUE(B51&amp;"-01"),metas!D:D, "&lt;=" &amp; DATEVALUE(B51&amp;"-01")),"")</f>
        <v>3182.813937</v>
      </c>
      <c r="K51" s="49">
        <f t="shared" si="4"/>
        <v>19723.18606</v>
      </c>
      <c r="L51" s="49">
        <f t="shared" si="6"/>
        <v>350042.6455</v>
      </c>
      <c r="M51" s="49">
        <f>IF(A51&lt;&gt;"",IF(COUNTIF(investimento!F:F, B51) &gt; 0, SUM(investimento!B:B)+I51, M50+I51),"")</f>
        <v>927958.6808</v>
      </c>
    </row>
    <row r="52" ht="22.5" customHeight="1">
      <c r="A52" s="47">
        <v>47423.0</v>
      </c>
      <c r="B52" s="48" t="str">
        <f t="shared" si="1"/>
        <v>2029-11</v>
      </c>
      <c r="C52" s="49">
        <f>SUMIF(despesas_recorrentes!C:C, "&gt;="&amp;A52,despesas_recorrentes!B:B) 
+SUMIF(despesas_recorrentes!C:C, "",despesas_recorrentes!B:B)
-despesas_recorrentes!$B$12
+IF(SUMIF(gasto_cartao!E:E,saldo!B52,gasto_cartao!B:B)&gt;despesas_recorrentes!$B$12, SUMIF(gasto_cartao!E:E,saldo!B52,gasto_cartao!B:B),despesas_recorrentes!$B$12)</f>
        <v>34013</v>
      </c>
      <c r="D52" s="50">
        <f>SUM(receitas_recorrentes!B:B)+SUMIF(receitas_pontuais!E:E,B52,receitas_pontuais!B:B)</f>
        <v>56919</v>
      </c>
      <c r="E52" s="50">
        <f t="shared" si="2"/>
        <v>22906</v>
      </c>
      <c r="F52" s="49">
        <f>IFERROR(SUMIF(contas!G:G, B52, contas!B:B),0)</f>
        <v>0</v>
      </c>
      <c r="G52" s="51">
        <f>SUMIFS(previsoes!D:D, previsoes!E:E, "&lt;=" &amp; EOMONTH(DATEVALUE(B52&amp;"-01"),0), previsoes!F:F, "&gt;=" &amp; DATEVALUE(B52&amp;"-01"))</f>
        <v>0</v>
      </c>
      <c r="H52" s="52">
        <f t="shared" si="5"/>
        <v>160491.8958</v>
      </c>
      <c r="I52" s="49">
        <f t="shared" si="3"/>
        <v>22906</v>
      </c>
      <c r="J52" s="52">
        <f>IF(A52&lt;&gt;"",SUMIFS(metas!N:N, metas!E:E, "&gt;=" &amp; DATEVALUE(B52&amp;"-01"),metas!D:D, "&lt;=" &amp; DATEVALUE(B52&amp;"-01")),"")</f>
        <v>3182.813937</v>
      </c>
      <c r="K52" s="49">
        <f t="shared" si="4"/>
        <v>19723.18606</v>
      </c>
      <c r="L52" s="49">
        <f t="shared" si="6"/>
        <v>369765.8316</v>
      </c>
      <c r="M52" s="49">
        <f>IF(A52&lt;&gt;"",IF(COUNTIF(investimento!F:F, B52) &gt; 0, SUM(investimento!B:B)+I52, M51+I52),"")</f>
        <v>950864.6808</v>
      </c>
    </row>
    <row r="53" ht="22.5" customHeight="1">
      <c r="A53" s="47">
        <v>47453.0</v>
      </c>
      <c r="B53" s="48" t="str">
        <f t="shared" si="1"/>
        <v>2029-12</v>
      </c>
      <c r="C53" s="49">
        <f>SUMIF(despesas_recorrentes!C:C, "&gt;="&amp;A53,despesas_recorrentes!B:B) 
+SUMIF(despesas_recorrentes!C:C, "",despesas_recorrentes!B:B)
-despesas_recorrentes!$B$12
+IF(SUMIF(gasto_cartao!E:E,saldo!B53,gasto_cartao!B:B)&gt;despesas_recorrentes!$B$12, SUMIF(gasto_cartao!E:E,saldo!B53,gasto_cartao!B:B),despesas_recorrentes!$B$12)</f>
        <v>34013</v>
      </c>
      <c r="D53" s="50">
        <f>SUM(receitas_recorrentes!B:B)+SUMIF(receitas_pontuais!E:E,B53,receitas_pontuais!B:B)</f>
        <v>56919</v>
      </c>
      <c r="E53" s="50">
        <f t="shared" si="2"/>
        <v>22906</v>
      </c>
      <c r="F53" s="49">
        <f>IFERROR(SUMIF(contas!G:G, B53, contas!B:B),0)</f>
        <v>0</v>
      </c>
      <c r="G53" s="51">
        <f>SUMIFS(previsoes!D:D, previsoes!E:E, "&lt;=" &amp; EOMONTH(DATEVALUE(B53&amp;"-01"),0), previsoes!F:F, "&gt;=" &amp; DATEVALUE(B53&amp;"-01"))</f>
        <v>0</v>
      </c>
      <c r="H53" s="52">
        <f t="shared" si="5"/>
        <v>160491.8958</v>
      </c>
      <c r="I53" s="49">
        <f t="shared" si="3"/>
        <v>22906</v>
      </c>
      <c r="J53" s="52">
        <f>IF(A53&lt;&gt;"",SUMIFS(metas!N:N, metas!E:E, "&gt;=" &amp; DATEVALUE(B53&amp;"-01"),metas!D:D, "&lt;=" &amp; DATEVALUE(B53&amp;"-01")),"")</f>
        <v>3182.813937</v>
      </c>
      <c r="K53" s="49">
        <f t="shared" si="4"/>
        <v>19723.18606</v>
      </c>
      <c r="L53" s="49">
        <f t="shared" si="6"/>
        <v>389489.0177</v>
      </c>
      <c r="M53" s="49">
        <f>IF(A53&lt;&gt;"",IF(COUNTIF(investimento!F:F, B53) &gt; 0, SUM(investimento!B:B)+I53, M52+I53),"")</f>
        <v>973770.6808</v>
      </c>
    </row>
    <row r="54" ht="22.5" customHeight="1">
      <c r="A54" s="47">
        <v>47484.0</v>
      </c>
      <c r="B54" s="48" t="str">
        <f t="shared" si="1"/>
        <v>2030-01</v>
      </c>
      <c r="C54" s="49">
        <f>SUMIF(despesas_recorrentes!C:C, "&gt;="&amp;A54,despesas_recorrentes!B:B) 
+SUMIF(despesas_recorrentes!C:C, "",despesas_recorrentes!B:B)
-despesas_recorrentes!$B$12
+IF(SUMIF(gasto_cartao!E:E,saldo!B54,gasto_cartao!B:B)&gt;despesas_recorrentes!$B$12, SUMIF(gasto_cartao!E:E,saldo!B54,gasto_cartao!B:B),despesas_recorrentes!$B$12)</f>
        <v>34013</v>
      </c>
      <c r="D54" s="50">
        <f>SUM(receitas_recorrentes!B:B)+SUMIF(receitas_pontuais!E:E,B54,receitas_pontuais!B:B)</f>
        <v>56919</v>
      </c>
      <c r="E54" s="50">
        <f t="shared" si="2"/>
        <v>22906</v>
      </c>
      <c r="F54" s="49">
        <f>IFERROR(SUMIF(contas!G:G, B54, contas!B:B),0)</f>
        <v>0</v>
      </c>
      <c r="G54" s="51">
        <f>SUMIFS(previsoes!D:D, previsoes!E:E, "&lt;=" &amp; EOMONTH(DATEVALUE(B54&amp;"-01"),0), previsoes!F:F, "&gt;=" &amp; DATEVALUE(B54&amp;"-01"))</f>
        <v>0</v>
      </c>
      <c r="H54" s="52">
        <f t="shared" si="5"/>
        <v>160491.8958</v>
      </c>
      <c r="I54" s="49">
        <f t="shared" si="3"/>
        <v>22906</v>
      </c>
      <c r="J54" s="52">
        <f>IF(A54&lt;&gt;"",SUMIFS(metas!N:N, metas!E:E, "&gt;=" &amp; DATEVALUE(B54&amp;"-01"),metas!D:D, "&lt;=" &amp; DATEVALUE(B54&amp;"-01")),"")</f>
        <v>3182.813937</v>
      </c>
      <c r="K54" s="49">
        <f t="shared" si="4"/>
        <v>19723.18606</v>
      </c>
      <c r="L54" s="49">
        <f t="shared" si="6"/>
        <v>409212.2037</v>
      </c>
      <c r="M54" s="49">
        <f>IF(A54&lt;&gt;"",IF(COUNTIF(investimento!F:F, B54) &gt; 0, SUM(investimento!B:B)+I54, M53+I54),"")</f>
        <v>996676.6808</v>
      </c>
    </row>
    <row r="55" ht="22.5" customHeight="1">
      <c r="A55" s="47">
        <v>47515.0</v>
      </c>
      <c r="B55" s="48" t="str">
        <f t="shared" si="1"/>
        <v>2030-02</v>
      </c>
      <c r="C55" s="49">
        <f>SUMIF(despesas_recorrentes!C:C, "&gt;="&amp;A55,despesas_recorrentes!B:B) 
+SUMIF(despesas_recorrentes!C:C, "",despesas_recorrentes!B:B)
-despesas_recorrentes!$B$12
+IF(SUMIF(gasto_cartao!E:E,saldo!B55,gasto_cartao!B:B)&gt;despesas_recorrentes!$B$12, SUMIF(gasto_cartao!E:E,saldo!B55,gasto_cartao!B:B),despesas_recorrentes!$B$12)</f>
        <v>34013</v>
      </c>
      <c r="D55" s="50">
        <f>SUM(receitas_recorrentes!B:B)+SUMIF(receitas_pontuais!E:E,B55,receitas_pontuais!B:B)</f>
        <v>56919</v>
      </c>
      <c r="E55" s="50">
        <f t="shared" si="2"/>
        <v>22906</v>
      </c>
      <c r="F55" s="49">
        <f>IFERROR(SUMIF(contas!G:G, B55, contas!B:B),0)</f>
        <v>0</v>
      </c>
      <c r="G55" s="51">
        <f>SUMIFS(previsoes!D:D, previsoes!E:E, "&lt;=" &amp; EOMONTH(DATEVALUE(B55&amp;"-01"),0), previsoes!F:F, "&gt;=" &amp; DATEVALUE(B55&amp;"-01"))</f>
        <v>0</v>
      </c>
      <c r="H55" s="52">
        <f t="shared" si="5"/>
        <v>160491.8958</v>
      </c>
      <c r="I55" s="49">
        <f t="shared" si="3"/>
        <v>22906</v>
      </c>
      <c r="J55" s="52">
        <f>IF(A55&lt;&gt;"",SUMIFS(metas!N:N, metas!E:E, "&gt;=" &amp; DATEVALUE(B55&amp;"-01"),metas!D:D, "&lt;=" &amp; DATEVALUE(B55&amp;"-01")),"")</f>
        <v>3182.813937</v>
      </c>
      <c r="K55" s="49">
        <f t="shared" si="4"/>
        <v>19723.18606</v>
      </c>
      <c r="L55" s="49">
        <f t="shared" si="6"/>
        <v>428935.3898</v>
      </c>
      <c r="M55" s="49">
        <f>IF(A55&lt;&gt;"",IF(COUNTIF(investimento!F:F, B55) &gt; 0, SUM(investimento!B:B)+I55, M54+I55),"")</f>
        <v>1019582.681</v>
      </c>
    </row>
    <row r="56" ht="22.5" customHeight="1">
      <c r="A56" s="47">
        <v>47543.0</v>
      </c>
      <c r="B56" s="48" t="str">
        <f t="shared" si="1"/>
        <v>2030-03</v>
      </c>
      <c r="C56" s="49">
        <f>SUMIF(despesas_recorrentes!C:C, "&gt;="&amp;A56,despesas_recorrentes!B:B) 
+SUMIF(despesas_recorrentes!C:C, "",despesas_recorrentes!B:B)
-despesas_recorrentes!$B$12
+IF(SUMIF(gasto_cartao!E:E,saldo!B56,gasto_cartao!B:B)&gt;despesas_recorrentes!$B$12, SUMIF(gasto_cartao!E:E,saldo!B56,gasto_cartao!B:B),despesas_recorrentes!$B$12)</f>
        <v>34013</v>
      </c>
      <c r="D56" s="50">
        <f>SUM(receitas_recorrentes!B:B)+SUMIF(receitas_pontuais!E:E,B56,receitas_pontuais!B:B)</f>
        <v>56919</v>
      </c>
      <c r="E56" s="50">
        <f t="shared" si="2"/>
        <v>22906</v>
      </c>
      <c r="F56" s="49">
        <f>IFERROR(SUMIF(contas!G:G, B56, contas!B:B),0)</f>
        <v>0</v>
      </c>
      <c r="G56" s="51">
        <f>SUMIFS(previsoes!D:D, previsoes!E:E, "&lt;=" &amp; EOMONTH(DATEVALUE(B56&amp;"-01"),0), previsoes!F:F, "&gt;=" &amp; DATEVALUE(B56&amp;"-01"))</f>
        <v>0</v>
      </c>
      <c r="H56" s="52">
        <f t="shared" si="5"/>
        <v>160491.8958</v>
      </c>
      <c r="I56" s="49">
        <f t="shared" si="3"/>
        <v>22906</v>
      </c>
      <c r="J56" s="52">
        <f>IF(A56&lt;&gt;"",SUMIFS(metas!N:N, metas!E:E, "&gt;=" &amp; DATEVALUE(B56&amp;"-01"),metas!D:D, "&lt;=" &amp; DATEVALUE(B56&amp;"-01")),"")</f>
        <v>3182.813937</v>
      </c>
      <c r="K56" s="49">
        <f t="shared" si="4"/>
        <v>19723.18606</v>
      </c>
      <c r="L56" s="49">
        <f t="shared" si="6"/>
        <v>448658.5758</v>
      </c>
      <c r="M56" s="49">
        <f>IF(A56&lt;&gt;"",IF(COUNTIF(investimento!F:F, B56) &gt; 0, SUM(investimento!B:B)+I56, M55+I56),"")</f>
        <v>1042488.681</v>
      </c>
    </row>
    <row r="57" ht="22.5" customHeight="1">
      <c r="A57" s="47">
        <v>47574.0</v>
      </c>
      <c r="B57" s="48" t="str">
        <f t="shared" si="1"/>
        <v>2030-04</v>
      </c>
      <c r="C57" s="49">
        <f>SUMIF(despesas_recorrentes!C:C, "&gt;="&amp;A57,despesas_recorrentes!B:B) 
+SUMIF(despesas_recorrentes!C:C, "",despesas_recorrentes!B:B)
-despesas_recorrentes!$B$12
+IF(SUMIF(gasto_cartao!E:E,saldo!B57,gasto_cartao!B:B)&gt;despesas_recorrentes!$B$12, SUMIF(gasto_cartao!E:E,saldo!B57,gasto_cartao!B:B),despesas_recorrentes!$B$12)</f>
        <v>34013</v>
      </c>
      <c r="D57" s="50">
        <f>SUM(receitas_recorrentes!B:B)+SUMIF(receitas_pontuais!E:E,B57,receitas_pontuais!B:B)</f>
        <v>56919</v>
      </c>
      <c r="E57" s="50">
        <f t="shared" si="2"/>
        <v>22906</v>
      </c>
      <c r="F57" s="49">
        <f>IFERROR(SUMIF(contas!G:G, B57, contas!B:B),0)</f>
        <v>0</v>
      </c>
      <c r="G57" s="51">
        <f>SUMIFS(previsoes!D:D, previsoes!E:E, "&lt;=" &amp; EOMONTH(DATEVALUE(B57&amp;"-01"),0), previsoes!F:F, "&gt;=" &amp; DATEVALUE(B57&amp;"-01"))</f>
        <v>0</v>
      </c>
      <c r="H57" s="52">
        <f t="shared" si="5"/>
        <v>160491.8958</v>
      </c>
      <c r="I57" s="49">
        <f t="shared" si="3"/>
        <v>22906</v>
      </c>
      <c r="J57" s="52">
        <f>IF(A57&lt;&gt;"",SUMIFS(metas!N:N, metas!E:E, "&gt;=" &amp; DATEVALUE(B57&amp;"-01"),metas!D:D, "&lt;=" &amp; DATEVALUE(B57&amp;"-01")),"")</f>
        <v>3182.813937</v>
      </c>
      <c r="K57" s="49">
        <f t="shared" si="4"/>
        <v>19723.18606</v>
      </c>
      <c r="L57" s="49">
        <f t="shared" si="6"/>
        <v>468381.7619</v>
      </c>
      <c r="M57" s="49">
        <f>IF(A57&lt;&gt;"",IF(COUNTIF(investimento!F:F, B57) &gt; 0, SUM(investimento!B:B)+I57, M56+I57),"")</f>
        <v>1065394.681</v>
      </c>
    </row>
    <row r="58" ht="22.5" customHeight="1">
      <c r="A58" s="47">
        <v>47604.0</v>
      </c>
      <c r="B58" s="48" t="str">
        <f t="shared" si="1"/>
        <v>2030-05</v>
      </c>
      <c r="C58" s="49">
        <f>SUMIF(despesas_recorrentes!C:C, "&gt;="&amp;A58,despesas_recorrentes!B:B) 
+SUMIF(despesas_recorrentes!C:C, "",despesas_recorrentes!B:B)
-despesas_recorrentes!$B$12
+IF(SUMIF(gasto_cartao!E:E,saldo!B58,gasto_cartao!B:B)&gt;despesas_recorrentes!$B$12, SUMIF(gasto_cartao!E:E,saldo!B58,gasto_cartao!B:B),despesas_recorrentes!$B$12)</f>
        <v>34013</v>
      </c>
      <c r="D58" s="50">
        <f>SUM(receitas_recorrentes!B:B)+SUMIF(receitas_pontuais!E:E,B58,receitas_pontuais!B:B)</f>
        <v>56919</v>
      </c>
      <c r="E58" s="50">
        <f t="shared" si="2"/>
        <v>22906</v>
      </c>
      <c r="F58" s="49">
        <f>IFERROR(SUMIF(contas!G:G, B58, contas!B:B),0)</f>
        <v>0</v>
      </c>
      <c r="G58" s="51">
        <f>SUMIFS(previsoes!D:D, previsoes!E:E, "&lt;=" &amp; EOMONTH(DATEVALUE(B58&amp;"-01"),0), previsoes!F:F, "&gt;=" &amp; DATEVALUE(B58&amp;"-01"))</f>
        <v>0</v>
      </c>
      <c r="H58" s="52">
        <f t="shared" si="5"/>
        <v>160491.8958</v>
      </c>
      <c r="I58" s="49">
        <f t="shared" si="3"/>
        <v>22906</v>
      </c>
      <c r="J58" s="52">
        <f>IF(A58&lt;&gt;"",SUMIFS(metas!N:N, metas!E:E, "&gt;=" &amp; DATEVALUE(B58&amp;"-01"),metas!D:D, "&lt;=" &amp; DATEVALUE(B58&amp;"-01")),"")</f>
        <v>3182.813937</v>
      </c>
      <c r="K58" s="49">
        <f t="shared" si="4"/>
        <v>19723.18606</v>
      </c>
      <c r="L58" s="49">
        <f t="shared" si="6"/>
        <v>488104.948</v>
      </c>
      <c r="M58" s="49">
        <f>IF(A58&lt;&gt;"",IF(COUNTIF(investimento!F:F, B58) &gt; 0, SUM(investimento!B:B)+I58, M57+I58),"")</f>
        <v>1088300.681</v>
      </c>
    </row>
    <row r="59" ht="22.5" customHeight="1">
      <c r="A59" s="47">
        <v>47635.0</v>
      </c>
      <c r="B59" s="48" t="str">
        <f t="shared" si="1"/>
        <v>2030-06</v>
      </c>
      <c r="C59" s="49">
        <f>SUMIF(despesas_recorrentes!C:C, "&gt;="&amp;A59,despesas_recorrentes!B:B) 
+SUMIF(despesas_recorrentes!C:C, "",despesas_recorrentes!B:B)
-despesas_recorrentes!$B$12
+IF(SUMIF(gasto_cartao!E:E,saldo!B59,gasto_cartao!B:B)&gt;despesas_recorrentes!$B$12, SUMIF(gasto_cartao!E:E,saldo!B59,gasto_cartao!B:B),despesas_recorrentes!$B$12)</f>
        <v>34013</v>
      </c>
      <c r="D59" s="50">
        <f>SUM(receitas_recorrentes!B:B)+SUMIF(receitas_pontuais!E:E,B59,receitas_pontuais!B:B)</f>
        <v>56919</v>
      </c>
      <c r="E59" s="50">
        <f t="shared" si="2"/>
        <v>22906</v>
      </c>
      <c r="F59" s="49">
        <f>IFERROR(SUMIF(contas!G:G, B59, contas!B:B),0)</f>
        <v>0</v>
      </c>
      <c r="G59" s="51">
        <f>SUMIFS(previsoes!D:D, previsoes!E:E, "&lt;=" &amp; EOMONTH(DATEVALUE(B59&amp;"-01"),0), previsoes!F:F, "&gt;=" &amp; DATEVALUE(B59&amp;"-01"))</f>
        <v>0</v>
      </c>
      <c r="H59" s="52">
        <f t="shared" si="5"/>
        <v>160491.8958</v>
      </c>
      <c r="I59" s="49">
        <f t="shared" si="3"/>
        <v>22906</v>
      </c>
      <c r="J59" s="52">
        <f>IF(A59&lt;&gt;"",SUMIFS(metas!N:N, metas!E:E, "&gt;=" &amp; DATEVALUE(B59&amp;"-01"),metas!D:D, "&lt;=" &amp; DATEVALUE(B59&amp;"-01")),"")</f>
        <v>3182.813937</v>
      </c>
      <c r="K59" s="49">
        <f t="shared" si="4"/>
        <v>19723.18606</v>
      </c>
      <c r="L59" s="49">
        <f t="shared" si="6"/>
        <v>507828.134</v>
      </c>
      <c r="M59" s="49">
        <f>IF(A59&lt;&gt;"",IF(COUNTIF(investimento!F:F, B59) &gt; 0, SUM(investimento!B:B)+I59, M58+I59),"")</f>
        <v>1111206.681</v>
      </c>
    </row>
    <row r="60" ht="22.5" customHeight="1">
      <c r="A60" s="47">
        <v>47665.0</v>
      </c>
      <c r="B60" s="48" t="str">
        <f t="shared" si="1"/>
        <v>2030-07</v>
      </c>
      <c r="C60" s="49">
        <f>SUMIF(despesas_recorrentes!C:C, "&gt;="&amp;A60,despesas_recorrentes!B:B) 
+SUMIF(despesas_recorrentes!C:C, "",despesas_recorrentes!B:B)
-despesas_recorrentes!$B$12
+IF(SUMIF(gasto_cartao!E:E,saldo!B60,gasto_cartao!B:B)&gt;despesas_recorrentes!$B$12, SUMIF(gasto_cartao!E:E,saldo!B60,gasto_cartao!B:B),despesas_recorrentes!$B$12)</f>
        <v>34013</v>
      </c>
      <c r="D60" s="50">
        <f>SUM(receitas_recorrentes!B:B)+SUMIF(receitas_pontuais!E:E,B60,receitas_pontuais!B:B)</f>
        <v>56919</v>
      </c>
      <c r="E60" s="50">
        <f t="shared" si="2"/>
        <v>22906</v>
      </c>
      <c r="F60" s="49">
        <f>IFERROR(SUMIF(contas!G:G, B60, contas!B:B),0)</f>
        <v>0</v>
      </c>
      <c r="G60" s="51">
        <f>SUMIFS(previsoes!D:D, previsoes!E:E, "&lt;=" &amp; EOMONTH(DATEVALUE(B60&amp;"-01"),0), previsoes!F:F, "&gt;=" &amp; DATEVALUE(B60&amp;"-01"))</f>
        <v>0</v>
      </c>
      <c r="H60" s="52">
        <f t="shared" si="5"/>
        <v>160491.8958</v>
      </c>
      <c r="I60" s="49">
        <f t="shared" si="3"/>
        <v>22906</v>
      </c>
      <c r="J60" s="52">
        <f>IF(A60&lt;&gt;"",SUMIFS(metas!N:N, metas!E:E, "&gt;=" &amp; DATEVALUE(B60&amp;"-01"),metas!D:D, "&lt;=" &amp; DATEVALUE(B60&amp;"-01")),"")</f>
        <v>3182.813937</v>
      </c>
      <c r="K60" s="49">
        <f t="shared" si="4"/>
        <v>19723.18606</v>
      </c>
      <c r="L60" s="49">
        <f t="shared" si="6"/>
        <v>527551.3201</v>
      </c>
      <c r="M60" s="49">
        <f>IF(A60&lt;&gt;"",IF(COUNTIF(investimento!F:F, B60) &gt; 0, SUM(investimento!B:B)+I60, M59+I60),"")</f>
        <v>1134112.681</v>
      </c>
    </row>
    <row r="61" ht="22.5" customHeight="1">
      <c r="A61" s="47">
        <v>47696.0</v>
      </c>
      <c r="B61" s="48" t="str">
        <f t="shared" si="1"/>
        <v>2030-08</v>
      </c>
      <c r="C61" s="49">
        <f>SUMIF(despesas_recorrentes!C:C, "&gt;="&amp;A61,despesas_recorrentes!B:B) 
+SUMIF(despesas_recorrentes!C:C, "",despesas_recorrentes!B:B)
-despesas_recorrentes!$B$12
+IF(SUMIF(gasto_cartao!E:E,saldo!B61,gasto_cartao!B:B)&gt;despesas_recorrentes!$B$12, SUMIF(gasto_cartao!E:E,saldo!B61,gasto_cartao!B:B),despesas_recorrentes!$B$12)</f>
        <v>34013</v>
      </c>
      <c r="D61" s="50">
        <f>SUM(receitas_recorrentes!B:B)+SUMIF(receitas_pontuais!E:E,B61,receitas_pontuais!B:B)</f>
        <v>56919</v>
      </c>
      <c r="E61" s="50">
        <f t="shared" si="2"/>
        <v>22906</v>
      </c>
      <c r="F61" s="49">
        <f>IFERROR(SUMIF(contas!G:G, B61, contas!B:B),0)</f>
        <v>0</v>
      </c>
      <c r="G61" s="51">
        <f>SUMIFS(previsoes!D:D, previsoes!E:E, "&lt;=" &amp; EOMONTH(DATEVALUE(B61&amp;"-01"),0), previsoes!F:F, "&gt;=" &amp; DATEVALUE(B61&amp;"-01"))</f>
        <v>0</v>
      </c>
      <c r="H61" s="52">
        <f t="shared" si="5"/>
        <v>160491.8958</v>
      </c>
      <c r="I61" s="49">
        <f t="shared" si="3"/>
        <v>22906</v>
      </c>
      <c r="J61" s="52">
        <f>IF(A61&lt;&gt;"",SUMIFS(metas!N:N, metas!E:E, "&gt;=" &amp; DATEVALUE(B61&amp;"-01"),metas!D:D, "&lt;=" &amp; DATEVALUE(B61&amp;"-01")),"")</f>
        <v>3182.813937</v>
      </c>
      <c r="K61" s="49">
        <f t="shared" si="4"/>
        <v>19723.18606</v>
      </c>
      <c r="L61" s="49">
        <f t="shared" si="6"/>
        <v>547274.5062</v>
      </c>
      <c r="M61" s="49">
        <f>IF(A61&lt;&gt;"",IF(COUNTIF(investimento!F:F, B61) &gt; 0, SUM(investimento!B:B)+I61, M60+I61),"")</f>
        <v>1157018.681</v>
      </c>
    </row>
    <row r="62" ht="22.5" customHeight="1">
      <c r="A62" s="47">
        <v>47727.0</v>
      </c>
      <c r="B62" s="48" t="str">
        <f t="shared" si="1"/>
        <v>2030-09</v>
      </c>
      <c r="C62" s="49">
        <f>SUMIF(despesas_recorrentes!C:C, "&gt;="&amp;A62,despesas_recorrentes!B:B) 
+SUMIF(despesas_recorrentes!C:C, "",despesas_recorrentes!B:B)
-despesas_recorrentes!$B$12
+IF(SUMIF(gasto_cartao!E:E,saldo!B62,gasto_cartao!B:B)&gt;despesas_recorrentes!$B$12, SUMIF(gasto_cartao!E:E,saldo!B62,gasto_cartao!B:B),despesas_recorrentes!$B$12)</f>
        <v>34013</v>
      </c>
      <c r="D62" s="50">
        <f>SUM(receitas_recorrentes!B:B)+SUMIF(receitas_pontuais!E:E,B62,receitas_pontuais!B:B)</f>
        <v>56919</v>
      </c>
      <c r="E62" s="50">
        <f t="shared" si="2"/>
        <v>22906</v>
      </c>
      <c r="F62" s="49">
        <f>IFERROR(SUMIF(contas!G:G, B62, contas!B:B),0)</f>
        <v>0</v>
      </c>
      <c r="G62" s="51">
        <f>SUMIFS(previsoes!D:D, previsoes!E:E, "&lt;=" &amp; EOMONTH(DATEVALUE(B62&amp;"-01"),0), previsoes!F:F, "&gt;=" &amp; DATEVALUE(B62&amp;"-01"))</f>
        <v>0</v>
      </c>
      <c r="H62" s="52">
        <f t="shared" si="5"/>
        <v>160491.8958</v>
      </c>
      <c r="I62" s="49">
        <f t="shared" si="3"/>
        <v>22906</v>
      </c>
      <c r="J62" s="52">
        <f>IF(A62&lt;&gt;"",SUMIFS(metas!N:N, metas!E:E, "&gt;=" &amp; DATEVALUE(B62&amp;"-01"),metas!D:D, "&lt;=" &amp; DATEVALUE(B62&amp;"-01")),"")</f>
        <v>3182.813937</v>
      </c>
      <c r="K62" s="49">
        <f t="shared" si="4"/>
        <v>19723.18606</v>
      </c>
      <c r="L62" s="49">
        <f t="shared" si="6"/>
        <v>566997.6922</v>
      </c>
      <c r="M62" s="49">
        <f>IF(A62&lt;&gt;"",IF(COUNTIF(investimento!F:F, B62) &gt; 0, SUM(investimento!B:B)+I62, M61+I62),"")</f>
        <v>1179924.681</v>
      </c>
    </row>
    <row r="63" ht="22.5" customHeight="1">
      <c r="A63" s="47">
        <v>47757.0</v>
      </c>
      <c r="B63" s="48" t="str">
        <f t="shared" si="1"/>
        <v>2030-10</v>
      </c>
      <c r="C63" s="49">
        <f>SUMIF(despesas_recorrentes!C:C, "&gt;="&amp;A63,despesas_recorrentes!B:B) 
+SUMIF(despesas_recorrentes!C:C, "",despesas_recorrentes!B:B)
-despesas_recorrentes!$B$12
+IF(SUMIF(gasto_cartao!E:E,saldo!B63,gasto_cartao!B:B)&gt;despesas_recorrentes!$B$12, SUMIF(gasto_cartao!E:E,saldo!B63,gasto_cartao!B:B),despesas_recorrentes!$B$12)</f>
        <v>34013</v>
      </c>
      <c r="D63" s="50">
        <f>SUM(receitas_recorrentes!B:B)+SUMIF(receitas_pontuais!E:E,B63,receitas_pontuais!B:B)</f>
        <v>56919</v>
      </c>
      <c r="E63" s="50">
        <f t="shared" si="2"/>
        <v>22906</v>
      </c>
      <c r="F63" s="49">
        <f>IFERROR(SUMIF(contas!G:G, B63, contas!B:B),0)</f>
        <v>0</v>
      </c>
      <c r="G63" s="51">
        <f>SUMIFS(previsoes!D:D, previsoes!E:E, "&lt;=" &amp; EOMONTH(DATEVALUE(B63&amp;"-01"),0), previsoes!F:F, "&gt;=" &amp; DATEVALUE(B63&amp;"-01"))</f>
        <v>0</v>
      </c>
      <c r="H63" s="52">
        <f t="shared" si="5"/>
        <v>160491.8958</v>
      </c>
      <c r="I63" s="49">
        <f t="shared" si="3"/>
        <v>22906</v>
      </c>
      <c r="J63" s="52">
        <f>IF(A63&lt;&gt;"",SUMIFS(metas!N:N, metas!E:E, "&gt;=" &amp; DATEVALUE(B63&amp;"-01"),metas!D:D, "&lt;=" &amp; DATEVALUE(B63&amp;"-01")),"")</f>
        <v>3182.813937</v>
      </c>
      <c r="K63" s="49">
        <f t="shared" si="4"/>
        <v>19723.18606</v>
      </c>
      <c r="L63" s="49">
        <f t="shared" si="6"/>
        <v>586720.8783</v>
      </c>
      <c r="M63" s="49">
        <f>IF(A63&lt;&gt;"",IF(COUNTIF(investimento!F:F, B63) &gt; 0, SUM(investimento!B:B)+I63, M62+I63),"")</f>
        <v>1202830.681</v>
      </c>
    </row>
    <row r="64" ht="22.5" customHeight="1">
      <c r="A64" s="47">
        <v>47788.0</v>
      </c>
      <c r="B64" s="48" t="str">
        <f t="shared" si="1"/>
        <v>2030-11</v>
      </c>
      <c r="C64" s="49">
        <f>SUMIF(despesas_recorrentes!C:C, "&gt;="&amp;A64,despesas_recorrentes!B:B) 
+SUMIF(despesas_recorrentes!C:C, "",despesas_recorrentes!B:B)
-despesas_recorrentes!$B$12
+IF(SUMIF(gasto_cartao!E:E,saldo!B64,gasto_cartao!B:B)&gt;despesas_recorrentes!$B$12, SUMIF(gasto_cartao!E:E,saldo!B64,gasto_cartao!B:B),despesas_recorrentes!$B$12)</f>
        <v>34013</v>
      </c>
      <c r="D64" s="50">
        <f>SUM(receitas_recorrentes!B:B)+SUMIF(receitas_pontuais!E:E,B64,receitas_pontuais!B:B)</f>
        <v>56919</v>
      </c>
      <c r="E64" s="50">
        <f t="shared" si="2"/>
        <v>22906</v>
      </c>
      <c r="F64" s="49">
        <f>IFERROR(SUMIF(contas!G:G, B64, contas!B:B),0)</f>
        <v>0</v>
      </c>
      <c r="G64" s="51">
        <f>SUMIFS(previsoes!D:D, previsoes!E:E, "&lt;=" &amp; EOMONTH(DATEVALUE(B64&amp;"-01"),0), previsoes!F:F, "&gt;=" &amp; DATEVALUE(B64&amp;"-01"))</f>
        <v>0</v>
      </c>
      <c r="H64" s="52">
        <f t="shared" si="5"/>
        <v>160491.8958</v>
      </c>
      <c r="I64" s="49">
        <f t="shared" si="3"/>
        <v>22906</v>
      </c>
      <c r="J64" s="52">
        <f>IF(A64&lt;&gt;"",SUMIFS(metas!N:N, metas!E:E, "&gt;=" &amp; DATEVALUE(B64&amp;"-01"),metas!D:D, "&lt;=" &amp; DATEVALUE(B64&amp;"-01")),"")</f>
        <v>3182.813937</v>
      </c>
      <c r="K64" s="49">
        <f t="shared" si="4"/>
        <v>19723.18606</v>
      </c>
      <c r="L64" s="49">
        <f t="shared" si="6"/>
        <v>606444.0644</v>
      </c>
      <c r="M64" s="49">
        <f>IF(A64&lt;&gt;"",IF(COUNTIF(investimento!F:F, B64) &gt; 0, SUM(investimento!B:B)+I64, M63+I64),"")</f>
        <v>1225736.681</v>
      </c>
    </row>
    <row r="65" ht="22.5" customHeight="1">
      <c r="A65" s="47">
        <v>47818.0</v>
      </c>
      <c r="B65" s="48" t="str">
        <f t="shared" si="1"/>
        <v>2030-12</v>
      </c>
      <c r="C65" s="49">
        <f>SUMIF(despesas_recorrentes!C:C, "&gt;="&amp;A65,despesas_recorrentes!B:B) 
+SUMIF(despesas_recorrentes!C:C, "",despesas_recorrentes!B:B)
-despesas_recorrentes!$B$12
+IF(SUMIF(gasto_cartao!E:E,saldo!B65,gasto_cartao!B:B)&gt;despesas_recorrentes!$B$12, SUMIF(gasto_cartao!E:E,saldo!B65,gasto_cartao!B:B),despesas_recorrentes!$B$12)</f>
        <v>34013</v>
      </c>
      <c r="D65" s="50">
        <f>SUM(receitas_recorrentes!B:B)+SUMIF(receitas_pontuais!E:E,B65,receitas_pontuais!B:B)</f>
        <v>56919</v>
      </c>
      <c r="E65" s="50">
        <f t="shared" si="2"/>
        <v>22906</v>
      </c>
      <c r="F65" s="49">
        <f>IFERROR(SUMIF(contas!G:G, B65, contas!B:B),0)</f>
        <v>0</v>
      </c>
      <c r="G65" s="51">
        <f>SUMIFS(previsoes!D:D, previsoes!E:E, "&lt;=" &amp; EOMONTH(DATEVALUE(B65&amp;"-01"),0), previsoes!F:F, "&gt;=" &amp; DATEVALUE(B65&amp;"-01"))</f>
        <v>0</v>
      </c>
      <c r="H65" s="52">
        <f t="shared" si="5"/>
        <v>160491.8958</v>
      </c>
      <c r="I65" s="49">
        <f t="shared" si="3"/>
        <v>22906</v>
      </c>
      <c r="J65" s="52">
        <f>IF(A65&lt;&gt;"",SUMIFS(metas!N:N, metas!E:E, "&gt;=" &amp; DATEVALUE(B65&amp;"-01"),metas!D:D, "&lt;=" &amp; DATEVALUE(B65&amp;"-01")),"")</f>
        <v>3182.813937</v>
      </c>
      <c r="K65" s="49">
        <f t="shared" si="4"/>
        <v>19723.18606</v>
      </c>
      <c r="L65" s="49">
        <f t="shared" si="6"/>
        <v>626167.2504</v>
      </c>
      <c r="M65" s="49">
        <f>IF(A65&lt;&gt;"",IF(COUNTIF(investimento!F:F, B65) &gt; 0, SUM(investimento!B:B)+I65, M64+I65),"")</f>
        <v>1248642.681</v>
      </c>
    </row>
    <row r="66" ht="22.5" customHeight="1">
      <c r="A66" s="47">
        <v>47849.0</v>
      </c>
      <c r="B66" s="48" t="str">
        <f t="shared" si="1"/>
        <v>2031-01</v>
      </c>
      <c r="C66" s="49">
        <f>SUMIF(despesas_recorrentes!C:C, "&gt;="&amp;A66,despesas_recorrentes!B:B) 
+SUMIF(despesas_recorrentes!C:C, "",despesas_recorrentes!B:B)
-despesas_recorrentes!$B$12
+IF(SUMIF(gasto_cartao!E:E,saldo!B66,gasto_cartao!B:B)&gt;despesas_recorrentes!$B$12, SUMIF(gasto_cartao!E:E,saldo!B66,gasto_cartao!B:B),despesas_recorrentes!$B$12)</f>
        <v>34013</v>
      </c>
      <c r="D66" s="50">
        <f>SUM(receitas_recorrentes!B:B)+SUMIF(receitas_pontuais!E:E,B66,receitas_pontuais!B:B)</f>
        <v>56919</v>
      </c>
      <c r="E66" s="50">
        <f t="shared" si="2"/>
        <v>22906</v>
      </c>
      <c r="F66" s="49">
        <f>IFERROR(SUMIF(contas!G:G, B66, contas!B:B),0)</f>
        <v>0</v>
      </c>
      <c r="G66" s="51">
        <f>SUMIFS(previsoes!D:D, previsoes!E:E, "&lt;=" &amp; EOMONTH(DATEVALUE(B66&amp;"-01"),0), previsoes!F:F, "&gt;=" &amp; DATEVALUE(B66&amp;"-01"))</f>
        <v>0</v>
      </c>
      <c r="H66" s="52">
        <f t="shared" si="5"/>
        <v>160491.8958</v>
      </c>
      <c r="I66" s="49">
        <f t="shared" si="3"/>
        <v>22906</v>
      </c>
      <c r="J66" s="52">
        <f>IF(A66&lt;&gt;"",SUMIFS(metas!N:N, metas!E:E, "&gt;=" &amp; DATEVALUE(B66&amp;"-01"),metas!D:D, "&lt;=" &amp; DATEVALUE(B66&amp;"-01")),"")</f>
        <v>3182.813937</v>
      </c>
      <c r="K66" s="49">
        <f t="shared" si="4"/>
        <v>19723.18606</v>
      </c>
      <c r="L66" s="49">
        <f t="shared" si="6"/>
        <v>645890.4365</v>
      </c>
      <c r="M66" s="49">
        <f>IF(A66&lt;&gt;"",IF(COUNTIF(investimento!F:F, B66) &gt; 0, SUM(investimento!B:B)+I66, M65+I66),"")</f>
        <v>1271548.681</v>
      </c>
    </row>
    <row r="67" ht="22.5" customHeight="1">
      <c r="A67" s="47">
        <v>47880.0</v>
      </c>
      <c r="B67" s="48" t="str">
        <f t="shared" si="1"/>
        <v>2031-02</v>
      </c>
      <c r="C67" s="49">
        <f>SUMIF(despesas_recorrentes!C:C, "&gt;="&amp;A67,despesas_recorrentes!B:B) 
+SUMIF(despesas_recorrentes!C:C, "",despesas_recorrentes!B:B)
-despesas_recorrentes!$B$12
+IF(SUMIF(gasto_cartao!E:E,saldo!B67,gasto_cartao!B:B)&gt;despesas_recorrentes!$B$12, SUMIF(gasto_cartao!E:E,saldo!B67,gasto_cartao!B:B),despesas_recorrentes!$B$12)</f>
        <v>34013</v>
      </c>
      <c r="D67" s="50">
        <f>SUM(receitas_recorrentes!B:B)+SUMIF(receitas_pontuais!E:E,B67,receitas_pontuais!B:B)</f>
        <v>56919</v>
      </c>
      <c r="E67" s="50">
        <f t="shared" si="2"/>
        <v>22906</v>
      </c>
      <c r="F67" s="49">
        <f>IFERROR(SUMIF(contas!G:G, B67, contas!B:B),0)</f>
        <v>0</v>
      </c>
      <c r="G67" s="51">
        <f>SUMIFS(previsoes!D:D, previsoes!E:E, "&lt;=" &amp; EOMONTH(DATEVALUE(B67&amp;"-01"),0), previsoes!F:F, "&gt;=" &amp; DATEVALUE(B67&amp;"-01"))</f>
        <v>0</v>
      </c>
      <c r="H67" s="52">
        <f t="shared" si="5"/>
        <v>160491.8958</v>
      </c>
      <c r="I67" s="49">
        <f t="shared" si="3"/>
        <v>22906</v>
      </c>
      <c r="J67" s="52">
        <f>IF(A67&lt;&gt;"",SUMIFS(metas!N:N, metas!E:E, "&gt;=" &amp; DATEVALUE(B67&amp;"-01"),metas!D:D, "&lt;=" &amp; DATEVALUE(B67&amp;"-01")),"")</f>
        <v>3182.813937</v>
      </c>
      <c r="K67" s="49">
        <f t="shared" si="4"/>
        <v>19723.18606</v>
      </c>
      <c r="L67" s="49">
        <f t="shared" si="6"/>
        <v>665613.6225</v>
      </c>
      <c r="M67" s="49">
        <f>IF(A67&lt;&gt;"",IF(COUNTIF(investimento!F:F, B67) &gt; 0, SUM(investimento!B:B)+I67, M66+I67),"")</f>
        <v>1294454.681</v>
      </c>
    </row>
    <row r="68" ht="22.5" customHeight="1">
      <c r="A68" s="47">
        <v>47908.0</v>
      </c>
      <c r="B68" s="48" t="str">
        <f t="shared" si="1"/>
        <v>2031-03</v>
      </c>
      <c r="C68" s="49">
        <f>SUMIF(despesas_recorrentes!C:C, "&gt;="&amp;A68,despesas_recorrentes!B:B) 
+SUMIF(despesas_recorrentes!C:C, "",despesas_recorrentes!B:B)
-despesas_recorrentes!$B$12
+IF(SUMIF(gasto_cartao!E:E,saldo!B68,gasto_cartao!B:B)&gt;despesas_recorrentes!$B$12, SUMIF(gasto_cartao!E:E,saldo!B68,gasto_cartao!B:B),despesas_recorrentes!$B$12)</f>
        <v>34013</v>
      </c>
      <c r="D68" s="50">
        <f>SUM(receitas_recorrentes!B:B)+SUMIF(receitas_pontuais!E:E,B68,receitas_pontuais!B:B)</f>
        <v>56919</v>
      </c>
      <c r="E68" s="50">
        <f t="shared" si="2"/>
        <v>22906</v>
      </c>
      <c r="F68" s="49">
        <f>IFERROR(SUMIF(contas!G:G, B68, contas!B:B),0)</f>
        <v>0</v>
      </c>
      <c r="G68" s="51">
        <f>SUMIFS(previsoes!D:D, previsoes!E:E, "&lt;=" &amp; EOMONTH(DATEVALUE(B68&amp;"-01"),0), previsoes!F:F, "&gt;=" &amp; DATEVALUE(B68&amp;"-01"))</f>
        <v>0</v>
      </c>
      <c r="H68" s="52">
        <f t="shared" si="5"/>
        <v>160491.8958</v>
      </c>
      <c r="I68" s="49">
        <f t="shared" si="3"/>
        <v>22906</v>
      </c>
      <c r="J68" s="52">
        <f>IF(A68&lt;&gt;"",SUMIFS(metas!N:N, metas!E:E, "&gt;=" &amp; DATEVALUE(B68&amp;"-01"),metas!D:D, "&lt;=" &amp; DATEVALUE(B68&amp;"-01")),"")</f>
        <v>3182.813937</v>
      </c>
      <c r="K68" s="49">
        <f t="shared" si="4"/>
        <v>19723.18606</v>
      </c>
      <c r="L68" s="49">
        <f t="shared" si="6"/>
        <v>685336.8086</v>
      </c>
      <c r="M68" s="49">
        <f>IF(A68&lt;&gt;"",IF(COUNTIF(investimento!F:F, B68) &gt; 0, SUM(investimento!B:B)+I68, M67+I68),"")</f>
        <v>1317360.681</v>
      </c>
    </row>
    <row r="69" ht="22.5" customHeight="1">
      <c r="A69" s="47">
        <v>47939.0</v>
      </c>
      <c r="B69" s="48" t="str">
        <f t="shared" si="1"/>
        <v>2031-04</v>
      </c>
      <c r="C69" s="49">
        <f>SUMIF(despesas_recorrentes!C:C, "&gt;="&amp;A69,despesas_recorrentes!B:B) 
+SUMIF(despesas_recorrentes!C:C, "",despesas_recorrentes!B:B)
-despesas_recorrentes!$B$12
+IF(SUMIF(gasto_cartao!E:E,saldo!B69,gasto_cartao!B:B)&gt;despesas_recorrentes!$B$12, SUMIF(gasto_cartao!E:E,saldo!B69,gasto_cartao!B:B),despesas_recorrentes!$B$12)</f>
        <v>34013</v>
      </c>
      <c r="D69" s="50">
        <f>SUM(receitas_recorrentes!B:B)+SUMIF(receitas_pontuais!E:E,B69,receitas_pontuais!B:B)</f>
        <v>56919</v>
      </c>
      <c r="E69" s="50">
        <f t="shared" si="2"/>
        <v>22906</v>
      </c>
      <c r="F69" s="49">
        <f>IFERROR(SUMIF(contas!G:G, B69, contas!B:B),0)</f>
        <v>0</v>
      </c>
      <c r="G69" s="51">
        <f>SUMIFS(previsoes!D:D, previsoes!E:E, "&lt;=" &amp; EOMONTH(DATEVALUE(B69&amp;"-01"),0), previsoes!F:F, "&gt;=" &amp; DATEVALUE(B69&amp;"-01"))</f>
        <v>0</v>
      </c>
      <c r="H69" s="52">
        <f t="shared" si="5"/>
        <v>160491.8958</v>
      </c>
      <c r="I69" s="49">
        <f t="shared" si="3"/>
        <v>22906</v>
      </c>
      <c r="J69" s="52">
        <f>IF(A69&lt;&gt;"",SUMIFS(metas!N:N, metas!E:E, "&gt;=" &amp; DATEVALUE(B69&amp;"-01"),metas!D:D, "&lt;=" &amp; DATEVALUE(B69&amp;"-01")),"")</f>
        <v>3182.813937</v>
      </c>
      <c r="K69" s="49">
        <f t="shared" si="4"/>
        <v>19723.18606</v>
      </c>
      <c r="L69" s="49">
        <f t="shared" si="6"/>
        <v>705059.9947</v>
      </c>
      <c r="M69" s="49">
        <f>IF(A69&lt;&gt;"",IF(COUNTIF(investimento!F:F, B69) &gt; 0, SUM(investimento!B:B)+I69, M68+I69),"")</f>
        <v>1340266.681</v>
      </c>
    </row>
    <row r="70" ht="22.5" customHeight="1">
      <c r="A70" s="47">
        <v>47969.0</v>
      </c>
      <c r="B70" s="48" t="str">
        <f t="shared" si="1"/>
        <v>2031-05</v>
      </c>
      <c r="C70" s="49">
        <f>SUMIF(despesas_recorrentes!C:C, "&gt;="&amp;A70,despesas_recorrentes!B:B) 
+SUMIF(despesas_recorrentes!C:C, "",despesas_recorrentes!B:B)
-despesas_recorrentes!$B$12
+IF(SUMIF(gasto_cartao!E:E,saldo!B70,gasto_cartao!B:B)&gt;despesas_recorrentes!$B$12, SUMIF(gasto_cartao!E:E,saldo!B70,gasto_cartao!B:B),despesas_recorrentes!$B$12)</f>
        <v>34013</v>
      </c>
      <c r="D70" s="50">
        <f>SUM(receitas_recorrentes!B:B)+SUMIF(receitas_pontuais!E:E,B70,receitas_pontuais!B:B)</f>
        <v>56919</v>
      </c>
      <c r="E70" s="50">
        <f t="shared" si="2"/>
        <v>22906</v>
      </c>
      <c r="F70" s="49">
        <f>IFERROR(SUMIF(contas!G:G, B70, contas!B:B),0)</f>
        <v>0</v>
      </c>
      <c r="G70" s="51">
        <f>SUMIFS(previsoes!D:D, previsoes!E:E, "&lt;=" &amp; EOMONTH(DATEVALUE(B70&amp;"-01"),0), previsoes!F:F, "&gt;=" &amp; DATEVALUE(B70&amp;"-01"))</f>
        <v>0</v>
      </c>
      <c r="H70" s="52">
        <f t="shared" si="5"/>
        <v>160491.8958</v>
      </c>
      <c r="I70" s="49">
        <f t="shared" si="3"/>
        <v>22906</v>
      </c>
      <c r="J70" s="52">
        <f>IF(A70&lt;&gt;"",SUMIFS(metas!N:N, metas!E:E, "&gt;=" &amp; DATEVALUE(B70&amp;"-01"),metas!D:D, "&lt;=" &amp; DATEVALUE(B70&amp;"-01")),"")</f>
        <v>3182.813937</v>
      </c>
      <c r="K70" s="49">
        <f t="shared" si="4"/>
        <v>19723.18606</v>
      </c>
      <c r="L70" s="49">
        <f t="shared" si="6"/>
        <v>724783.1807</v>
      </c>
      <c r="M70" s="49">
        <f>IF(A70&lt;&gt;"",IF(COUNTIF(investimento!F:F, B70) &gt; 0, SUM(investimento!B:B)+I70, M69+I70),"")</f>
        <v>1363172.681</v>
      </c>
    </row>
    <row r="71" ht="22.5" customHeight="1">
      <c r="A71" s="47">
        <v>48000.0</v>
      </c>
      <c r="B71" s="48" t="str">
        <f t="shared" si="1"/>
        <v>2031-06</v>
      </c>
      <c r="C71" s="49">
        <f>SUMIF(despesas_recorrentes!C:C, "&gt;="&amp;A71,despesas_recorrentes!B:B) 
+SUMIF(despesas_recorrentes!C:C, "",despesas_recorrentes!B:B)
-despesas_recorrentes!$B$12
+IF(SUMIF(gasto_cartao!E:E,saldo!B71,gasto_cartao!B:B)&gt;despesas_recorrentes!$B$12, SUMIF(gasto_cartao!E:E,saldo!B71,gasto_cartao!B:B),despesas_recorrentes!$B$12)</f>
        <v>34013</v>
      </c>
      <c r="D71" s="50">
        <f>SUM(receitas_recorrentes!B:B)+SUMIF(receitas_pontuais!E:E,B71,receitas_pontuais!B:B)</f>
        <v>56919</v>
      </c>
      <c r="E71" s="50">
        <f t="shared" si="2"/>
        <v>22906</v>
      </c>
      <c r="F71" s="49">
        <f>IFERROR(SUMIF(contas!G:G, B71, contas!B:B),0)</f>
        <v>0</v>
      </c>
      <c r="G71" s="51">
        <f>SUMIFS(previsoes!D:D, previsoes!E:E, "&lt;=" &amp; EOMONTH(DATEVALUE(B71&amp;"-01"),0), previsoes!F:F, "&gt;=" &amp; DATEVALUE(B71&amp;"-01"))</f>
        <v>0</v>
      </c>
      <c r="H71" s="52">
        <f t="shared" si="5"/>
        <v>160491.8958</v>
      </c>
      <c r="I71" s="49">
        <f t="shared" si="3"/>
        <v>22906</v>
      </c>
      <c r="J71" s="52">
        <f>IF(A71&lt;&gt;"",SUMIFS(metas!N:N, metas!E:E, "&gt;=" &amp; DATEVALUE(B71&amp;"-01"),metas!D:D, "&lt;=" &amp; DATEVALUE(B71&amp;"-01")),"")</f>
        <v>3182.813937</v>
      </c>
      <c r="K71" s="49">
        <f t="shared" si="4"/>
        <v>19723.18606</v>
      </c>
      <c r="L71" s="49">
        <f t="shared" si="6"/>
        <v>744506.3668</v>
      </c>
      <c r="M71" s="49">
        <f>IF(A71&lt;&gt;"",IF(COUNTIF(investimento!F:F, B71) &gt; 0, SUM(investimento!B:B)+I71, M70+I71),"")</f>
        <v>1386078.681</v>
      </c>
    </row>
    <row r="72" ht="22.5" customHeight="1">
      <c r="A72" s="47">
        <v>48030.0</v>
      </c>
      <c r="B72" s="48" t="str">
        <f t="shared" si="1"/>
        <v>2031-07</v>
      </c>
      <c r="C72" s="49">
        <f>SUMIF(despesas_recorrentes!C:C, "&gt;="&amp;A72,despesas_recorrentes!B:B) 
+SUMIF(despesas_recorrentes!C:C, "",despesas_recorrentes!B:B)
-despesas_recorrentes!$B$12
+IF(SUMIF(gasto_cartao!E:E,saldo!B72,gasto_cartao!B:B)&gt;despesas_recorrentes!$B$12, SUMIF(gasto_cartao!E:E,saldo!B72,gasto_cartao!B:B),despesas_recorrentes!$B$12)</f>
        <v>34013</v>
      </c>
      <c r="D72" s="50">
        <f>SUM(receitas_recorrentes!B:B)+SUMIF(receitas_pontuais!E:E,B72,receitas_pontuais!B:B)</f>
        <v>56919</v>
      </c>
      <c r="E72" s="50">
        <f t="shared" si="2"/>
        <v>22906</v>
      </c>
      <c r="F72" s="49">
        <f>IFERROR(SUMIF(contas!G:G, B72, contas!B:B),0)</f>
        <v>0</v>
      </c>
      <c r="G72" s="51">
        <f>SUMIFS(previsoes!D:D, previsoes!E:E, "&lt;=" &amp; EOMONTH(DATEVALUE(B72&amp;"-01"),0), previsoes!F:F, "&gt;=" &amp; DATEVALUE(B72&amp;"-01"))</f>
        <v>0</v>
      </c>
      <c r="H72" s="52">
        <f t="shared" si="5"/>
        <v>160491.8958</v>
      </c>
      <c r="I72" s="49">
        <f t="shared" si="3"/>
        <v>22906</v>
      </c>
      <c r="J72" s="52">
        <f>IF(A72&lt;&gt;"",SUMIFS(metas!N:N, metas!E:E, "&gt;=" &amp; DATEVALUE(B72&amp;"-01"),metas!D:D, "&lt;=" &amp; DATEVALUE(B72&amp;"-01")),"")</f>
        <v>3182.813937</v>
      </c>
      <c r="K72" s="49">
        <f t="shared" si="4"/>
        <v>19723.18606</v>
      </c>
      <c r="L72" s="49">
        <f t="shared" si="6"/>
        <v>764229.5529</v>
      </c>
      <c r="M72" s="49">
        <f>IF(A72&lt;&gt;"",IF(COUNTIF(investimento!F:F, B72) &gt; 0, SUM(investimento!B:B)+I72, M71+I72),"")</f>
        <v>1408984.681</v>
      </c>
    </row>
    <row r="73" ht="22.5" customHeight="1">
      <c r="A73" s="47">
        <v>48061.0</v>
      </c>
      <c r="B73" s="48" t="str">
        <f t="shared" si="1"/>
        <v>2031-08</v>
      </c>
      <c r="C73" s="49">
        <f>SUMIF(despesas_recorrentes!C:C, "&gt;="&amp;A73,despesas_recorrentes!B:B) 
+SUMIF(despesas_recorrentes!C:C, "",despesas_recorrentes!B:B)
-despesas_recorrentes!$B$12
+IF(SUMIF(gasto_cartao!E:E,saldo!B73,gasto_cartao!B:B)&gt;despesas_recorrentes!$B$12, SUMIF(gasto_cartao!E:E,saldo!B73,gasto_cartao!B:B),despesas_recorrentes!$B$12)</f>
        <v>34013</v>
      </c>
      <c r="D73" s="50">
        <f>SUM(receitas_recorrentes!B:B)+SUMIF(receitas_pontuais!E:E,B73,receitas_pontuais!B:B)</f>
        <v>56919</v>
      </c>
      <c r="E73" s="50">
        <f t="shared" si="2"/>
        <v>22906</v>
      </c>
      <c r="F73" s="49">
        <f>IFERROR(SUMIF(contas!G:G, B73, contas!B:B),0)</f>
        <v>0</v>
      </c>
      <c r="G73" s="51">
        <f>SUMIFS(previsoes!D:D, previsoes!E:E, "&lt;=" &amp; EOMONTH(DATEVALUE(B73&amp;"-01"),0), previsoes!F:F, "&gt;=" &amp; DATEVALUE(B73&amp;"-01"))</f>
        <v>0</v>
      </c>
      <c r="H73" s="52">
        <f t="shared" si="5"/>
        <v>160491.8958</v>
      </c>
      <c r="I73" s="49">
        <f t="shared" si="3"/>
        <v>22906</v>
      </c>
      <c r="J73" s="52">
        <f>IF(A73&lt;&gt;"",SUMIFS(metas!N:N, metas!E:E, "&gt;=" &amp; DATEVALUE(B73&amp;"-01"),metas!D:D, "&lt;=" &amp; DATEVALUE(B73&amp;"-01")),"")</f>
        <v>3182.813937</v>
      </c>
      <c r="K73" s="49">
        <f t="shared" si="4"/>
        <v>19723.18606</v>
      </c>
      <c r="L73" s="49">
        <f t="shared" si="6"/>
        <v>783952.7389</v>
      </c>
      <c r="M73" s="49">
        <f>IF(A73&lt;&gt;"",IF(COUNTIF(investimento!F:F, B73) &gt; 0, SUM(investimento!B:B)+I73, M72+I73),"")</f>
        <v>1431890.681</v>
      </c>
    </row>
    <row r="74" ht="22.5" customHeight="1">
      <c r="A74" s="47">
        <v>48092.0</v>
      </c>
      <c r="B74" s="48" t="str">
        <f t="shared" si="1"/>
        <v>2031-09</v>
      </c>
      <c r="C74" s="49">
        <f>SUMIF(despesas_recorrentes!C:C, "&gt;="&amp;A74,despesas_recorrentes!B:B) 
+SUMIF(despesas_recorrentes!C:C, "",despesas_recorrentes!B:B)
-despesas_recorrentes!$B$12
+IF(SUMIF(gasto_cartao!E:E,saldo!B74,gasto_cartao!B:B)&gt;despesas_recorrentes!$B$12, SUMIF(gasto_cartao!E:E,saldo!B74,gasto_cartao!B:B),despesas_recorrentes!$B$12)</f>
        <v>34013</v>
      </c>
      <c r="D74" s="50">
        <f>SUM(receitas_recorrentes!B:B)+SUMIF(receitas_pontuais!E:E,B74,receitas_pontuais!B:B)</f>
        <v>56919</v>
      </c>
      <c r="E74" s="50">
        <f t="shared" si="2"/>
        <v>22906</v>
      </c>
      <c r="F74" s="49">
        <f>IFERROR(SUMIF(contas!G:G, B74, contas!B:B),0)</f>
        <v>0</v>
      </c>
      <c r="G74" s="51">
        <f>SUMIFS(previsoes!D:D, previsoes!E:E, "&lt;=" &amp; EOMONTH(DATEVALUE(B74&amp;"-01"),0), previsoes!F:F, "&gt;=" &amp; DATEVALUE(B74&amp;"-01"))</f>
        <v>0</v>
      </c>
      <c r="H74" s="52">
        <f t="shared" si="5"/>
        <v>160491.8958</v>
      </c>
      <c r="I74" s="49">
        <f t="shared" si="3"/>
        <v>22906</v>
      </c>
      <c r="J74" s="52">
        <f>IF(A74&lt;&gt;"",SUMIFS(metas!N:N, metas!E:E, "&gt;=" &amp; DATEVALUE(B74&amp;"-01"),metas!D:D, "&lt;=" &amp; DATEVALUE(B74&amp;"-01")),"")</f>
        <v>3182.813937</v>
      </c>
      <c r="K74" s="49">
        <f t="shared" si="4"/>
        <v>19723.18606</v>
      </c>
      <c r="L74" s="49">
        <f t="shared" si="6"/>
        <v>803675.925</v>
      </c>
      <c r="M74" s="49">
        <f>IF(A74&lt;&gt;"",IF(COUNTIF(investimento!F:F, B74) &gt; 0, SUM(investimento!B:B)+I74, M73+I74),"")</f>
        <v>1454796.681</v>
      </c>
    </row>
    <row r="75" ht="22.5" customHeight="1">
      <c r="A75" s="47">
        <v>48122.0</v>
      </c>
      <c r="B75" s="48" t="str">
        <f t="shared" si="1"/>
        <v>2031-10</v>
      </c>
      <c r="C75" s="49">
        <f>SUMIF(despesas_recorrentes!C:C, "&gt;="&amp;A75,despesas_recorrentes!B:B) 
+SUMIF(despesas_recorrentes!C:C, "",despesas_recorrentes!B:B)
-despesas_recorrentes!$B$12
+IF(SUMIF(gasto_cartao!E:E,saldo!B75,gasto_cartao!B:B)&gt;despesas_recorrentes!$B$12, SUMIF(gasto_cartao!E:E,saldo!B75,gasto_cartao!B:B),despesas_recorrentes!$B$12)</f>
        <v>34013</v>
      </c>
      <c r="D75" s="50">
        <f>SUM(receitas_recorrentes!B:B)+SUMIF(receitas_pontuais!E:E,B75,receitas_pontuais!B:B)</f>
        <v>56919</v>
      </c>
      <c r="E75" s="50">
        <f t="shared" si="2"/>
        <v>22906</v>
      </c>
      <c r="F75" s="49">
        <f>IFERROR(SUMIF(contas!G:G, B75, contas!B:B),0)</f>
        <v>0</v>
      </c>
      <c r="G75" s="51">
        <f>SUMIFS(previsoes!D:D, previsoes!E:E, "&lt;=" &amp; EOMONTH(DATEVALUE(B75&amp;"-01"),0), previsoes!F:F, "&gt;=" &amp; DATEVALUE(B75&amp;"-01"))</f>
        <v>0</v>
      </c>
      <c r="H75" s="52">
        <f t="shared" si="5"/>
        <v>160491.8958</v>
      </c>
      <c r="I75" s="49">
        <f t="shared" si="3"/>
        <v>22906</v>
      </c>
      <c r="J75" s="52">
        <f>IF(A75&lt;&gt;"",SUMIFS(metas!N:N, metas!E:E, "&gt;=" &amp; DATEVALUE(B75&amp;"-01"),metas!D:D, "&lt;=" &amp; DATEVALUE(B75&amp;"-01")),"")</f>
        <v>3182.813937</v>
      </c>
      <c r="K75" s="49">
        <f t="shared" si="4"/>
        <v>19723.18606</v>
      </c>
      <c r="L75" s="49">
        <f t="shared" si="6"/>
        <v>823399.1111</v>
      </c>
      <c r="M75" s="49">
        <f>IF(A75&lt;&gt;"",IF(COUNTIF(investimento!F:F, B75) &gt; 0, SUM(investimento!B:B)+I75, M74+I75),"")</f>
        <v>1477702.681</v>
      </c>
    </row>
    <row r="76" ht="22.5" customHeight="1">
      <c r="A76" s="47">
        <v>48153.0</v>
      </c>
      <c r="B76" s="48" t="str">
        <f t="shared" si="1"/>
        <v>2031-11</v>
      </c>
      <c r="C76" s="49">
        <f>SUMIF(despesas_recorrentes!C:C, "&gt;="&amp;A76,despesas_recorrentes!B:B) 
+SUMIF(despesas_recorrentes!C:C, "",despesas_recorrentes!B:B)
-despesas_recorrentes!$B$12
+IF(SUMIF(gasto_cartao!E:E,saldo!B76,gasto_cartao!B:B)&gt;despesas_recorrentes!$B$12, SUMIF(gasto_cartao!E:E,saldo!B76,gasto_cartao!B:B),despesas_recorrentes!$B$12)</f>
        <v>34013</v>
      </c>
      <c r="D76" s="50">
        <f>SUM(receitas_recorrentes!B:B)+SUMIF(receitas_pontuais!E:E,B76,receitas_pontuais!B:B)</f>
        <v>56919</v>
      </c>
      <c r="E76" s="50">
        <f t="shared" si="2"/>
        <v>22906</v>
      </c>
      <c r="F76" s="49">
        <f>IFERROR(SUMIF(contas!G:G, B76, contas!B:B),0)</f>
        <v>0</v>
      </c>
      <c r="G76" s="51">
        <f>SUMIFS(previsoes!D:D, previsoes!E:E, "&lt;=" &amp; EOMONTH(DATEVALUE(B76&amp;"-01"),0), previsoes!F:F, "&gt;=" &amp; DATEVALUE(B76&amp;"-01"))</f>
        <v>0</v>
      </c>
      <c r="H76" s="52">
        <f t="shared" si="5"/>
        <v>160491.8958</v>
      </c>
      <c r="I76" s="49">
        <f t="shared" si="3"/>
        <v>22906</v>
      </c>
      <c r="J76" s="52">
        <f>IF(A76&lt;&gt;"",SUMIFS(metas!N:N, metas!E:E, "&gt;=" &amp; DATEVALUE(B76&amp;"-01"),metas!D:D, "&lt;=" &amp; DATEVALUE(B76&amp;"-01")),"")</f>
        <v>3182.813937</v>
      </c>
      <c r="K76" s="49">
        <f t="shared" si="4"/>
        <v>19723.18606</v>
      </c>
      <c r="L76" s="49">
        <f t="shared" si="6"/>
        <v>843122.2971</v>
      </c>
      <c r="M76" s="49">
        <f>IF(A76&lt;&gt;"",IF(COUNTIF(investimento!F:F, B76) &gt; 0, SUM(investimento!B:B)+I76, M75+I76),"")</f>
        <v>1500608.681</v>
      </c>
    </row>
    <row r="77" ht="22.5" customHeight="1">
      <c r="A77" s="47">
        <v>48183.0</v>
      </c>
      <c r="B77" s="48" t="str">
        <f t="shared" si="1"/>
        <v>2031-12</v>
      </c>
      <c r="C77" s="49">
        <f>SUMIF(despesas_recorrentes!C:C, "&gt;="&amp;A77,despesas_recorrentes!B:B) 
+SUMIF(despesas_recorrentes!C:C, "",despesas_recorrentes!B:B)
-despesas_recorrentes!$B$12
+IF(SUMIF(gasto_cartao!E:E,saldo!B77,gasto_cartao!B:B)&gt;despesas_recorrentes!$B$12, SUMIF(gasto_cartao!E:E,saldo!B77,gasto_cartao!B:B),despesas_recorrentes!$B$12)</f>
        <v>34013</v>
      </c>
      <c r="D77" s="50">
        <f>SUM(receitas_recorrentes!B:B)+SUMIF(receitas_pontuais!E:E,B77,receitas_pontuais!B:B)</f>
        <v>56919</v>
      </c>
      <c r="E77" s="50">
        <f t="shared" si="2"/>
        <v>22906</v>
      </c>
      <c r="F77" s="49">
        <f>IFERROR(SUMIF(contas!G:G, B77, contas!B:B),0)</f>
        <v>0</v>
      </c>
      <c r="G77" s="51">
        <f>SUMIFS(previsoes!D:D, previsoes!E:E, "&lt;=" &amp; EOMONTH(DATEVALUE(B77&amp;"-01"),0), previsoes!F:F, "&gt;=" &amp; DATEVALUE(B77&amp;"-01"))</f>
        <v>0</v>
      </c>
      <c r="H77" s="52">
        <f t="shared" si="5"/>
        <v>160491.8958</v>
      </c>
      <c r="I77" s="49">
        <f t="shared" si="3"/>
        <v>22906</v>
      </c>
      <c r="J77" s="52">
        <f>IF(A77&lt;&gt;"",SUMIFS(metas!N:N, metas!E:E, "&gt;=" &amp; DATEVALUE(B77&amp;"-01"),metas!D:D, "&lt;=" &amp; DATEVALUE(B77&amp;"-01")),"")</f>
        <v>3182.813937</v>
      </c>
      <c r="K77" s="49">
        <f t="shared" si="4"/>
        <v>19723.18606</v>
      </c>
      <c r="L77" s="49">
        <f t="shared" si="6"/>
        <v>862845.4832</v>
      </c>
      <c r="M77" s="49">
        <f>IF(A77&lt;&gt;"",IF(COUNTIF(investimento!F:F, B77) &gt; 0, SUM(investimento!B:B)+I77, M76+I77),"")</f>
        <v>1523514.681</v>
      </c>
    </row>
    <row r="78" ht="22.5" customHeight="1">
      <c r="A78" s="47">
        <v>48214.0</v>
      </c>
      <c r="B78" s="48" t="str">
        <f t="shared" si="1"/>
        <v>2032-01</v>
      </c>
      <c r="C78" s="49">
        <f>SUMIF(despesas_recorrentes!C:C, "&gt;="&amp;A78,despesas_recorrentes!B:B) 
+SUMIF(despesas_recorrentes!C:C, "",despesas_recorrentes!B:B)
-despesas_recorrentes!$B$12
+IF(SUMIF(gasto_cartao!E:E,saldo!B78,gasto_cartao!B:B)&gt;despesas_recorrentes!$B$12, SUMIF(gasto_cartao!E:E,saldo!B78,gasto_cartao!B:B),despesas_recorrentes!$B$12)</f>
        <v>34013</v>
      </c>
      <c r="D78" s="50">
        <f>SUM(receitas_recorrentes!B:B)+SUMIF(receitas_pontuais!E:E,B78,receitas_pontuais!B:B)</f>
        <v>56919</v>
      </c>
      <c r="E78" s="50">
        <f t="shared" si="2"/>
        <v>22906</v>
      </c>
      <c r="F78" s="49">
        <f>IFERROR(SUMIF(contas!G:G, B78, contas!B:B),0)</f>
        <v>0</v>
      </c>
      <c r="G78" s="51">
        <f>SUMIFS(previsoes!D:D, previsoes!E:E, "&lt;=" &amp; EOMONTH(DATEVALUE(B78&amp;"-01"),0), previsoes!F:F, "&gt;=" &amp; DATEVALUE(B78&amp;"-01"))</f>
        <v>0</v>
      </c>
      <c r="H78" s="52">
        <f t="shared" si="5"/>
        <v>160491.8958</v>
      </c>
      <c r="I78" s="49">
        <f t="shared" si="3"/>
        <v>22906</v>
      </c>
      <c r="J78" s="52">
        <f>IF(A78&lt;&gt;"",SUMIFS(metas!N:N, metas!E:E, "&gt;=" &amp; DATEVALUE(B78&amp;"-01"),metas!D:D, "&lt;=" &amp; DATEVALUE(B78&amp;"-01")),"")</f>
        <v>3182.813937</v>
      </c>
      <c r="K78" s="49">
        <f t="shared" si="4"/>
        <v>19723.18606</v>
      </c>
      <c r="L78" s="49">
        <f t="shared" si="6"/>
        <v>882568.6692</v>
      </c>
      <c r="M78" s="49">
        <f>IF(A78&lt;&gt;"",IF(COUNTIF(investimento!F:F, B78) &gt; 0, SUM(investimento!B:B)+I78, M77+I78),"")</f>
        <v>1546420.681</v>
      </c>
    </row>
    <row r="79" ht="22.5" customHeight="1">
      <c r="A79" s="47">
        <v>48245.0</v>
      </c>
      <c r="B79" s="48" t="str">
        <f t="shared" si="1"/>
        <v>2032-02</v>
      </c>
      <c r="C79" s="49">
        <f>SUMIF(despesas_recorrentes!C:C, "&gt;="&amp;A79,despesas_recorrentes!B:B) 
+SUMIF(despesas_recorrentes!C:C, "",despesas_recorrentes!B:B)
-despesas_recorrentes!$B$12
+IF(SUMIF(gasto_cartao!E:E,saldo!B79,gasto_cartao!B:B)&gt;despesas_recorrentes!$B$12, SUMIF(gasto_cartao!E:E,saldo!B79,gasto_cartao!B:B),despesas_recorrentes!$B$12)</f>
        <v>34013</v>
      </c>
      <c r="D79" s="50">
        <f>SUM(receitas_recorrentes!B:B)+SUMIF(receitas_pontuais!E:E,B79,receitas_pontuais!B:B)</f>
        <v>56919</v>
      </c>
      <c r="E79" s="50">
        <f t="shared" si="2"/>
        <v>22906</v>
      </c>
      <c r="F79" s="49">
        <f>IFERROR(SUMIF(contas!G:G, B79, contas!B:B),0)</f>
        <v>0</v>
      </c>
      <c r="G79" s="51">
        <f>SUMIFS(previsoes!D:D, previsoes!E:E, "&lt;=" &amp; EOMONTH(DATEVALUE(B79&amp;"-01"),0), previsoes!F:F, "&gt;=" &amp; DATEVALUE(B79&amp;"-01"))</f>
        <v>0</v>
      </c>
      <c r="H79" s="52">
        <f t="shared" si="5"/>
        <v>160491.8958</v>
      </c>
      <c r="I79" s="49">
        <f t="shared" si="3"/>
        <v>22906</v>
      </c>
      <c r="J79" s="52">
        <f>IF(A79&lt;&gt;"",SUMIFS(metas!N:N, metas!E:E, "&gt;=" &amp; DATEVALUE(B79&amp;"-01"),metas!D:D, "&lt;=" &amp; DATEVALUE(B79&amp;"-01")),"")</f>
        <v>3182.813937</v>
      </c>
      <c r="K79" s="49">
        <f t="shared" si="4"/>
        <v>19723.18606</v>
      </c>
      <c r="L79" s="49">
        <f t="shared" si="6"/>
        <v>902291.8553</v>
      </c>
      <c r="M79" s="49">
        <f>IF(A79&lt;&gt;"",IF(COUNTIF(investimento!F:F, B79) &gt; 0, SUM(investimento!B:B)+I79, M78+I79),"")</f>
        <v>1569326.681</v>
      </c>
    </row>
    <row r="80" ht="22.5" customHeight="1">
      <c r="A80" s="47">
        <v>48274.0</v>
      </c>
      <c r="B80" s="48" t="str">
        <f t="shared" si="1"/>
        <v>2032-03</v>
      </c>
      <c r="C80" s="49">
        <f>SUMIF(despesas_recorrentes!C:C, "&gt;="&amp;A80,despesas_recorrentes!B:B) 
+SUMIF(despesas_recorrentes!C:C, "",despesas_recorrentes!B:B)
-despesas_recorrentes!$B$12
+IF(SUMIF(gasto_cartao!E:E,saldo!B80,gasto_cartao!B:B)&gt;despesas_recorrentes!$B$12, SUMIF(gasto_cartao!E:E,saldo!B80,gasto_cartao!B:B),despesas_recorrentes!$B$12)</f>
        <v>34013</v>
      </c>
      <c r="D80" s="50">
        <f>SUM(receitas_recorrentes!B:B)+SUMIF(receitas_pontuais!E:E,B80,receitas_pontuais!B:B)</f>
        <v>56919</v>
      </c>
      <c r="E80" s="50">
        <f t="shared" si="2"/>
        <v>22906</v>
      </c>
      <c r="F80" s="49">
        <f>IFERROR(SUMIF(contas!G:G, B80, contas!B:B),0)</f>
        <v>0</v>
      </c>
      <c r="G80" s="51">
        <f>SUMIFS(previsoes!D:D, previsoes!E:E, "&lt;=" &amp; EOMONTH(DATEVALUE(B80&amp;"-01"),0), previsoes!F:F, "&gt;=" &amp; DATEVALUE(B80&amp;"-01"))</f>
        <v>0</v>
      </c>
      <c r="H80" s="52">
        <f t="shared" si="5"/>
        <v>160491.8958</v>
      </c>
      <c r="I80" s="49">
        <f t="shared" si="3"/>
        <v>22906</v>
      </c>
      <c r="J80" s="52">
        <f>IF(A80&lt;&gt;"",SUMIFS(metas!N:N, metas!E:E, "&gt;=" &amp; DATEVALUE(B80&amp;"-01"),metas!D:D, "&lt;=" &amp; DATEVALUE(B80&amp;"-01")),"")</f>
        <v>3182.813937</v>
      </c>
      <c r="K80" s="49">
        <f t="shared" si="4"/>
        <v>19723.18606</v>
      </c>
      <c r="L80" s="49">
        <f t="shared" si="6"/>
        <v>922015.0414</v>
      </c>
      <c r="M80" s="49">
        <f>IF(A80&lt;&gt;"",IF(COUNTIF(investimento!F:F, B80) &gt; 0, SUM(investimento!B:B)+I80, M79+I80),"")</f>
        <v>1592232.681</v>
      </c>
    </row>
    <row r="81" ht="22.5" customHeight="1">
      <c r="A81" s="47">
        <v>48305.0</v>
      </c>
      <c r="B81" s="48" t="str">
        <f t="shared" si="1"/>
        <v>2032-04</v>
      </c>
      <c r="C81" s="49">
        <f>SUMIF(despesas_recorrentes!C:C, "&gt;="&amp;A81,despesas_recorrentes!B:B) 
+SUMIF(despesas_recorrentes!C:C, "",despesas_recorrentes!B:B)
-despesas_recorrentes!$B$12
+IF(SUMIF(gasto_cartao!E:E,saldo!B81,gasto_cartao!B:B)&gt;despesas_recorrentes!$B$12, SUMIF(gasto_cartao!E:E,saldo!B81,gasto_cartao!B:B),despesas_recorrentes!$B$12)</f>
        <v>34013</v>
      </c>
      <c r="D81" s="50">
        <f>SUM(receitas_recorrentes!B:B)+SUMIF(receitas_pontuais!E:E,B81,receitas_pontuais!B:B)</f>
        <v>56919</v>
      </c>
      <c r="E81" s="50">
        <f t="shared" si="2"/>
        <v>22906</v>
      </c>
      <c r="F81" s="49">
        <f>IFERROR(SUMIF(contas!G:G, B81, contas!B:B),0)</f>
        <v>0</v>
      </c>
      <c r="G81" s="51">
        <f>SUMIFS(previsoes!D:D, previsoes!E:E, "&lt;=" &amp; EOMONTH(DATEVALUE(B81&amp;"-01"),0), previsoes!F:F, "&gt;=" &amp; DATEVALUE(B81&amp;"-01"))</f>
        <v>0</v>
      </c>
      <c r="H81" s="52">
        <f t="shared" si="5"/>
        <v>160491.8958</v>
      </c>
      <c r="I81" s="49">
        <f t="shared" si="3"/>
        <v>22906</v>
      </c>
      <c r="J81" s="52">
        <f>IF(A81&lt;&gt;"",SUMIFS(metas!N:N, metas!E:E, "&gt;=" &amp; DATEVALUE(B81&amp;"-01"),metas!D:D, "&lt;=" &amp; DATEVALUE(B81&amp;"-01")),"")</f>
        <v>3182.813937</v>
      </c>
      <c r="K81" s="49">
        <f t="shared" si="4"/>
        <v>19723.18606</v>
      </c>
      <c r="L81" s="49">
        <f t="shared" si="6"/>
        <v>941738.2274</v>
      </c>
      <c r="M81" s="49">
        <f>IF(A81&lt;&gt;"",IF(COUNTIF(investimento!F:F, B81) &gt; 0, SUM(investimento!B:B)+I81, M80+I81),"")</f>
        <v>1615138.681</v>
      </c>
    </row>
    <row r="82" ht="22.5" customHeight="1">
      <c r="A82" s="47">
        <v>48335.0</v>
      </c>
      <c r="B82" s="48" t="str">
        <f t="shared" si="1"/>
        <v>2032-05</v>
      </c>
      <c r="C82" s="49">
        <f>SUMIF(despesas_recorrentes!C:C, "&gt;="&amp;A82,despesas_recorrentes!B:B) 
+SUMIF(despesas_recorrentes!C:C, "",despesas_recorrentes!B:B)
-despesas_recorrentes!$B$12
+IF(SUMIF(gasto_cartao!E:E,saldo!B82,gasto_cartao!B:B)&gt;despesas_recorrentes!$B$12, SUMIF(gasto_cartao!E:E,saldo!B82,gasto_cartao!B:B),despesas_recorrentes!$B$12)</f>
        <v>34013</v>
      </c>
      <c r="D82" s="50">
        <f>SUM(receitas_recorrentes!B:B)+SUMIF(receitas_pontuais!E:E,B82,receitas_pontuais!B:B)</f>
        <v>56919</v>
      </c>
      <c r="E82" s="50">
        <f t="shared" si="2"/>
        <v>22906</v>
      </c>
      <c r="F82" s="49">
        <f>IFERROR(SUMIF(contas!G:G, B82, contas!B:B),0)</f>
        <v>0</v>
      </c>
      <c r="G82" s="51">
        <f>SUMIFS(previsoes!D:D, previsoes!E:E, "&lt;=" &amp; EOMONTH(DATEVALUE(B82&amp;"-01"),0), previsoes!F:F, "&gt;=" &amp; DATEVALUE(B82&amp;"-01"))</f>
        <v>0</v>
      </c>
      <c r="H82" s="52">
        <f t="shared" si="5"/>
        <v>160491.8958</v>
      </c>
      <c r="I82" s="49">
        <f t="shared" si="3"/>
        <v>22906</v>
      </c>
      <c r="J82" s="52">
        <f>IF(A82&lt;&gt;"",SUMIFS(metas!N:N, metas!E:E, "&gt;=" &amp; DATEVALUE(B82&amp;"-01"),metas!D:D, "&lt;=" &amp; DATEVALUE(B82&amp;"-01")),"")</f>
        <v>3182.813937</v>
      </c>
      <c r="K82" s="49">
        <f t="shared" si="4"/>
        <v>19723.18606</v>
      </c>
      <c r="L82" s="49">
        <f t="shared" si="6"/>
        <v>961461.4135</v>
      </c>
      <c r="M82" s="49">
        <f>IF(A82&lt;&gt;"",IF(COUNTIF(investimento!F:F, B82) &gt; 0, SUM(investimento!B:B)+I82, M81+I82),"")</f>
        <v>1638044.681</v>
      </c>
    </row>
    <row r="83" ht="22.5" customHeight="1">
      <c r="A83" s="47">
        <v>48366.0</v>
      </c>
      <c r="B83" s="48" t="str">
        <f t="shared" si="1"/>
        <v>2032-06</v>
      </c>
      <c r="C83" s="49">
        <f>SUMIF(despesas_recorrentes!C:C, "&gt;="&amp;A83,despesas_recorrentes!B:B) 
+SUMIF(despesas_recorrentes!C:C, "",despesas_recorrentes!B:B)
-despesas_recorrentes!$B$12
+IF(SUMIF(gasto_cartao!E:E,saldo!B83,gasto_cartao!B:B)&gt;despesas_recorrentes!$B$12, SUMIF(gasto_cartao!E:E,saldo!B83,gasto_cartao!B:B),despesas_recorrentes!$B$12)</f>
        <v>34013</v>
      </c>
      <c r="D83" s="50">
        <f>SUM(receitas_recorrentes!B:B)+SUMIF(receitas_pontuais!E:E,B83,receitas_pontuais!B:B)</f>
        <v>56919</v>
      </c>
      <c r="E83" s="50">
        <f t="shared" si="2"/>
        <v>22906</v>
      </c>
      <c r="F83" s="49">
        <f>IFERROR(SUMIF(contas!G:G, B83, contas!B:B),0)</f>
        <v>0</v>
      </c>
      <c r="G83" s="51">
        <f>SUMIFS(previsoes!D:D, previsoes!E:E, "&lt;=" &amp; EOMONTH(DATEVALUE(B83&amp;"-01"),0), previsoes!F:F, "&gt;=" &amp; DATEVALUE(B83&amp;"-01"))</f>
        <v>0</v>
      </c>
      <c r="H83" s="52">
        <f t="shared" si="5"/>
        <v>160491.8958</v>
      </c>
      <c r="I83" s="49">
        <f t="shared" si="3"/>
        <v>22906</v>
      </c>
      <c r="J83" s="52">
        <f>IF(A83&lt;&gt;"",SUMIFS(metas!N:N, metas!E:E, "&gt;=" &amp; DATEVALUE(B83&amp;"-01"),metas!D:D, "&lt;=" &amp; DATEVALUE(B83&amp;"-01")),"")</f>
        <v>3182.813937</v>
      </c>
      <c r="K83" s="49">
        <f t="shared" si="4"/>
        <v>19723.18606</v>
      </c>
      <c r="L83" s="49">
        <f t="shared" si="6"/>
        <v>981184.5996</v>
      </c>
      <c r="M83" s="49">
        <f>IF(A83&lt;&gt;"",IF(COUNTIF(investimento!F:F, B83) &gt; 0, SUM(investimento!B:B)+I83, M82+I83),"")</f>
        <v>1660950.681</v>
      </c>
    </row>
    <row r="84" ht="22.5" customHeight="1">
      <c r="A84" s="47">
        <v>48396.0</v>
      </c>
      <c r="B84" s="48" t="str">
        <f t="shared" si="1"/>
        <v>2032-07</v>
      </c>
      <c r="C84" s="49">
        <f>SUMIF(despesas_recorrentes!C:C, "&gt;="&amp;A84,despesas_recorrentes!B:B) 
+SUMIF(despesas_recorrentes!C:C, "",despesas_recorrentes!B:B)
-despesas_recorrentes!$B$12
+IF(SUMIF(gasto_cartao!E:E,saldo!B84,gasto_cartao!B:B)&gt;despesas_recorrentes!$B$12, SUMIF(gasto_cartao!E:E,saldo!B84,gasto_cartao!B:B),despesas_recorrentes!$B$12)</f>
        <v>34013</v>
      </c>
      <c r="D84" s="50">
        <f>SUM(receitas_recorrentes!B:B)+SUMIF(receitas_pontuais!E:E,B84,receitas_pontuais!B:B)</f>
        <v>56919</v>
      </c>
      <c r="E84" s="50">
        <f t="shared" si="2"/>
        <v>22906</v>
      </c>
      <c r="F84" s="49">
        <f>IFERROR(SUMIF(contas!G:G, B84, contas!B:B),0)</f>
        <v>0</v>
      </c>
      <c r="G84" s="51">
        <f>SUMIFS(previsoes!D:D, previsoes!E:E, "&lt;=" &amp; EOMONTH(DATEVALUE(B84&amp;"-01"),0), previsoes!F:F, "&gt;=" &amp; DATEVALUE(B84&amp;"-01"))</f>
        <v>0</v>
      </c>
      <c r="H84" s="52">
        <f t="shared" si="5"/>
        <v>160491.8958</v>
      </c>
      <c r="I84" s="49">
        <f t="shared" si="3"/>
        <v>22906</v>
      </c>
      <c r="J84" s="52">
        <f>IF(A84&lt;&gt;"",SUMIFS(metas!N:N, metas!E:E, "&gt;=" &amp; DATEVALUE(B84&amp;"-01"),metas!D:D, "&lt;=" &amp; DATEVALUE(B84&amp;"-01")),"")</f>
        <v>3182.813937</v>
      </c>
      <c r="K84" s="49">
        <f t="shared" si="4"/>
        <v>19723.18606</v>
      </c>
      <c r="L84" s="49">
        <f t="shared" si="6"/>
        <v>1000907.786</v>
      </c>
      <c r="M84" s="49">
        <f>IF(A84&lt;&gt;"",IF(COUNTIF(investimento!F:F, B84) &gt; 0, SUM(investimento!B:B)+I84, M83+I84),"")</f>
        <v>1683856.681</v>
      </c>
    </row>
    <row r="85" ht="22.5" customHeight="1">
      <c r="A85" s="47">
        <v>48427.0</v>
      </c>
      <c r="B85" s="48" t="str">
        <f t="shared" si="1"/>
        <v>2032-08</v>
      </c>
      <c r="C85" s="49">
        <f>SUMIF(despesas_recorrentes!C:C, "&gt;="&amp;A85,despesas_recorrentes!B:B) 
+SUMIF(despesas_recorrentes!C:C, "",despesas_recorrentes!B:B)
-despesas_recorrentes!$B$12
+IF(SUMIF(gasto_cartao!E:E,saldo!B85,gasto_cartao!B:B)&gt;despesas_recorrentes!$B$12, SUMIF(gasto_cartao!E:E,saldo!B85,gasto_cartao!B:B),despesas_recorrentes!$B$12)</f>
        <v>34013</v>
      </c>
      <c r="D85" s="50">
        <f>SUM(receitas_recorrentes!B:B)+SUMIF(receitas_pontuais!E:E,B85,receitas_pontuais!B:B)</f>
        <v>56919</v>
      </c>
      <c r="E85" s="50">
        <f t="shared" si="2"/>
        <v>22906</v>
      </c>
      <c r="F85" s="49">
        <f>IFERROR(SUMIF(contas!G:G, B85, contas!B:B),0)</f>
        <v>0</v>
      </c>
      <c r="G85" s="51">
        <f>SUMIFS(previsoes!D:D, previsoes!E:E, "&lt;=" &amp; EOMONTH(DATEVALUE(B85&amp;"-01"),0), previsoes!F:F, "&gt;=" &amp; DATEVALUE(B85&amp;"-01"))</f>
        <v>0</v>
      </c>
      <c r="H85" s="52">
        <f t="shared" si="5"/>
        <v>160491.8958</v>
      </c>
      <c r="I85" s="49">
        <f t="shared" si="3"/>
        <v>22906</v>
      </c>
      <c r="J85" s="52">
        <f>IF(A85&lt;&gt;"",SUMIFS(metas!N:N, metas!E:E, "&gt;=" &amp; DATEVALUE(B85&amp;"-01"),metas!D:D, "&lt;=" &amp; DATEVALUE(B85&amp;"-01")),"")</f>
        <v>3182.813937</v>
      </c>
      <c r="K85" s="49">
        <f t="shared" si="4"/>
        <v>19723.18606</v>
      </c>
      <c r="L85" s="49">
        <f t="shared" si="6"/>
        <v>1020630.972</v>
      </c>
      <c r="M85" s="49">
        <f>IF(A85&lt;&gt;"",IF(COUNTIF(investimento!F:F, B85) &gt; 0, SUM(investimento!B:B)+I85, M84+I85),"")</f>
        <v>1706762.681</v>
      </c>
    </row>
    <row r="86" ht="22.5" customHeight="1">
      <c r="A86" s="47">
        <v>48458.0</v>
      </c>
      <c r="B86" s="48" t="str">
        <f t="shared" si="1"/>
        <v>2032-09</v>
      </c>
      <c r="C86" s="49">
        <f>SUMIF(despesas_recorrentes!C:C, "&gt;="&amp;A86,despesas_recorrentes!B:B) 
+SUMIF(despesas_recorrentes!C:C, "",despesas_recorrentes!B:B)
-despesas_recorrentes!$B$12
+IF(SUMIF(gasto_cartao!E:E,saldo!B86,gasto_cartao!B:B)&gt;despesas_recorrentes!$B$12, SUMIF(gasto_cartao!E:E,saldo!B86,gasto_cartao!B:B),despesas_recorrentes!$B$12)</f>
        <v>34013</v>
      </c>
      <c r="D86" s="50">
        <f>SUM(receitas_recorrentes!B:B)+SUMIF(receitas_pontuais!E:E,B86,receitas_pontuais!B:B)</f>
        <v>56919</v>
      </c>
      <c r="E86" s="50">
        <f t="shared" si="2"/>
        <v>22906</v>
      </c>
      <c r="F86" s="49">
        <f>IFERROR(SUMIF(contas!G:G, B86, contas!B:B),0)</f>
        <v>0</v>
      </c>
      <c r="G86" s="51">
        <f>SUMIFS(previsoes!D:D, previsoes!E:E, "&lt;=" &amp; EOMONTH(DATEVALUE(B86&amp;"-01"),0), previsoes!F:F, "&gt;=" &amp; DATEVALUE(B86&amp;"-01"))</f>
        <v>0</v>
      </c>
      <c r="H86" s="52">
        <f t="shared" si="5"/>
        <v>160491.8958</v>
      </c>
      <c r="I86" s="49">
        <f t="shared" si="3"/>
        <v>22906</v>
      </c>
      <c r="J86" s="52">
        <f>IF(A86&lt;&gt;"",SUMIFS(metas!N:N, metas!E:E, "&gt;=" &amp; DATEVALUE(B86&amp;"-01"),metas!D:D, "&lt;=" &amp; DATEVALUE(B86&amp;"-01")),"")</f>
        <v>3182.813937</v>
      </c>
      <c r="K86" s="49">
        <f t="shared" si="4"/>
        <v>19723.18606</v>
      </c>
      <c r="L86" s="49">
        <f t="shared" si="6"/>
        <v>1040354.158</v>
      </c>
      <c r="M86" s="49">
        <f>IF(A86&lt;&gt;"",IF(COUNTIF(investimento!F:F, B86) &gt; 0, SUM(investimento!B:B)+I86, M85+I86),"")</f>
        <v>1729668.681</v>
      </c>
    </row>
    <row r="87" ht="22.5" customHeight="1">
      <c r="A87" s="47">
        <v>48488.0</v>
      </c>
      <c r="B87" s="48" t="str">
        <f t="shared" si="1"/>
        <v>2032-10</v>
      </c>
      <c r="C87" s="49">
        <f>SUMIF(despesas_recorrentes!C:C, "&gt;="&amp;A87,despesas_recorrentes!B:B) 
+SUMIF(despesas_recorrentes!C:C, "",despesas_recorrentes!B:B)
-despesas_recorrentes!$B$12
+IF(SUMIF(gasto_cartao!E:E,saldo!B87,gasto_cartao!B:B)&gt;despesas_recorrentes!$B$12, SUMIF(gasto_cartao!E:E,saldo!B87,gasto_cartao!B:B),despesas_recorrentes!$B$12)</f>
        <v>34013</v>
      </c>
      <c r="D87" s="50">
        <f>SUM(receitas_recorrentes!B:B)+SUMIF(receitas_pontuais!E:E,B87,receitas_pontuais!B:B)</f>
        <v>56919</v>
      </c>
      <c r="E87" s="50">
        <f t="shared" si="2"/>
        <v>22906</v>
      </c>
      <c r="F87" s="49">
        <f>IFERROR(SUMIF(contas!G:G, B87, contas!B:B),0)</f>
        <v>0</v>
      </c>
      <c r="G87" s="51">
        <f>SUMIFS(previsoes!D:D, previsoes!E:E, "&lt;=" &amp; EOMONTH(DATEVALUE(B87&amp;"-01"),0), previsoes!F:F, "&gt;=" &amp; DATEVALUE(B87&amp;"-01"))</f>
        <v>0</v>
      </c>
      <c r="H87" s="52">
        <f t="shared" si="5"/>
        <v>160491.8958</v>
      </c>
      <c r="I87" s="49">
        <f t="shared" si="3"/>
        <v>22906</v>
      </c>
      <c r="J87" s="52">
        <f>IF(A87&lt;&gt;"",SUMIFS(metas!N:N, metas!E:E, "&gt;=" &amp; DATEVALUE(B87&amp;"-01"),metas!D:D, "&lt;=" &amp; DATEVALUE(B87&amp;"-01")),"")</f>
        <v>3182.813937</v>
      </c>
      <c r="K87" s="49">
        <f t="shared" si="4"/>
        <v>19723.18606</v>
      </c>
      <c r="L87" s="49">
        <f t="shared" si="6"/>
        <v>1060077.344</v>
      </c>
      <c r="M87" s="49">
        <f>IF(A87&lt;&gt;"",IF(COUNTIF(investimento!F:F, B87) &gt; 0, SUM(investimento!B:B)+I87, M86+I87),"")</f>
        <v>1752574.681</v>
      </c>
    </row>
    <row r="88" ht="22.5" customHeight="1">
      <c r="A88" s="47">
        <v>48519.0</v>
      </c>
      <c r="B88" s="48" t="str">
        <f t="shared" si="1"/>
        <v>2032-11</v>
      </c>
      <c r="C88" s="49">
        <f>SUMIF(despesas_recorrentes!C:C, "&gt;="&amp;A88,despesas_recorrentes!B:B) 
+SUMIF(despesas_recorrentes!C:C, "",despesas_recorrentes!B:B)
-despesas_recorrentes!$B$12
+IF(SUMIF(gasto_cartao!E:E,saldo!B88,gasto_cartao!B:B)&gt;despesas_recorrentes!$B$12, SUMIF(gasto_cartao!E:E,saldo!B88,gasto_cartao!B:B),despesas_recorrentes!$B$12)</f>
        <v>34013</v>
      </c>
      <c r="D88" s="50">
        <f>SUM(receitas_recorrentes!B:B)+SUMIF(receitas_pontuais!E:E,B88,receitas_pontuais!B:B)</f>
        <v>56919</v>
      </c>
      <c r="E88" s="50">
        <f t="shared" si="2"/>
        <v>22906</v>
      </c>
      <c r="F88" s="49">
        <f>IFERROR(SUMIF(contas!G:G, B88, contas!B:B),0)</f>
        <v>0</v>
      </c>
      <c r="G88" s="51">
        <f>SUMIFS(previsoes!D:D, previsoes!E:E, "&lt;=" &amp; EOMONTH(DATEVALUE(B88&amp;"-01"),0), previsoes!F:F, "&gt;=" &amp; DATEVALUE(B88&amp;"-01"))</f>
        <v>0</v>
      </c>
      <c r="H88" s="52">
        <f t="shared" si="5"/>
        <v>160491.8958</v>
      </c>
      <c r="I88" s="49">
        <f t="shared" si="3"/>
        <v>22906</v>
      </c>
      <c r="J88" s="52">
        <f>IF(A88&lt;&gt;"",SUMIFS(metas!N:N, metas!E:E, "&gt;=" &amp; DATEVALUE(B88&amp;"-01"),metas!D:D, "&lt;=" &amp; DATEVALUE(B88&amp;"-01")),"")</f>
        <v>3182.813937</v>
      </c>
      <c r="K88" s="49">
        <f t="shared" si="4"/>
        <v>19723.18606</v>
      </c>
      <c r="L88" s="49">
        <f t="shared" si="6"/>
        <v>1079800.53</v>
      </c>
      <c r="M88" s="49">
        <f>IF(A88&lt;&gt;"",IF(COUNTIF(investimento!F:F, B88) &gt; 0, SUM(investimento!B:B)+I88, M87+I88),"")</f>
        <v>1775480.681</v>
      </c>
    </row>
    <row r="89" ht="22.5" customHeight="1">
      <c r="A89" s="47">
        <v>48549.0</v>
      </c>
      <c r="B89" s="48" t="str">
        <f t="shared" si="1"/>
        <v>2032-12</v>
      </c>
      <c r="C89" s="49">
        <f>SUMIF(despesas_recorrentes!C:C, "&gt;="&amp;A89,despesas_recorrentes!B:B) 
+SUMIF(despesas_recorrentes!C:C, "",despesas_recorrentes!B:B)
-despesas_recorrentes!$B$12
+IF(SUMIF(gasto_cartao!E:E,saldo!B89,gasto_cartao!B:B)&gt;despesas_recorrentes!$B$12, SUMIF(gasto_cartao!E:E,saldo!B89,gasto_cartao!B:B),despesas_recorrentes!$B$12)</f>
        <v>34013</v>
      </c>
      <c r="D89" s="50">
        <f>SUM(receitas_recorrentes!B:B)+SUMIF(receitas_pontuais!E:E,B89,receitas_pontuais!B:B)</f>
        <v>56919</v>
      </c>
      <c r="E89" s="50">
        <f t="shared" si="2"/>
        <v>22906</v>
      </c>
      <c r="F89" s="49">
        <f>IFERROR(SUMIF(contas!G:G, B89, contas!B:B),0)</f>
        <v>0</v>
      </c>
      <c r="G89" s="51">
        <f>SUMIFS(previsoes!D:D, previsoes!E:E, "&lt;=" &amp; EOMONTH(DATEVALUE(B89&amp;"-01"),0), previsoes!F:F, "&gt;=" &amp; DATEVALUE(B89&amp;"-01"))</f>
        <v>0</v>
      </c>
      <c r="H89" s="52">
        <f t="shared" si="5"/>
        <v>160491.8958</v>
      </c>
      <c r="I89" s="49">
        <f t="shared" si="3"/>
        <v>22906</v>
      </c>
      <c r="J89" s="52">
        <f>IF(A89&lt;&gt;"",SUMIFS(metas!N:N, metas!E:E, "&gt;=" &amp; DATEVALUE(B89&amp;"-01"),metas!D:D, "&lt;=" &amp; DATEVALUE(B89&amp;"-01")),"")</f>
        <v>3182.813937</v>
      </c>
      <c r="K89" s="49">
        <f t="shared" si="4"/>
        <v>19723.18606</v>
      </c>
      <c r="L89" s="49">
        <f t="shared" si="6"/>
        <v>1099523.716</v>
      </c>
      <c r="M89" s="49">
        <f>IF(A89&lt;&gt;"",IF(COUNTIF(investimento!F:F, B89) &gt; 0, SUM(investimento!B:B)+I89, M88+I89),"")</f>
        <v>1798386.681</v>
      </c>
    </row>
    <row r="90" ht="22.5" customHeight="1">
      <c r="A90" s="47">
        <v>48580.0</v>
      </c>
      <c r="B90" s="48" t="str">
        <f t="shared" si="1"/>
        <v>2033-01</v>
      </c>
      <c r="C90" s="49">
        <f>SUMIF(despesas_recorrentes!C:C, "&gt;="&amp;A90,despesas_recorrentes!B:B) 
+SUMIF(despesas_recorrentes!C:C, "",despesas_recorrentes!B:B)
-despesas_recorrentes!$B$12
+IF(SUMIF(gasto_cartao!E:E,saldo!B90,gasto_cartao!B:B)&gt;despesas_recorrentes!$B$12, SUMIF(gasto_cartao!E:E,saldo!B90,gasto_cartao!B:B),despesas_recorrentes!$B$12)</f>
        <v>34013</v>
      </c>
      <c r="D90" s="50">
        <f>SUM(receitas_recorrentes!B:B)+SUMIF(receitas_pontuais!E:E,B90,receitas_pontuais!B:B)</f>
        <v>56919</v>
      </c>
      <c r="E90" s="50">
        <f t="shared" si="2"/>
        <v>22906</v>
      </c>
      <c r="F90" s="49">
        <f>IFERROR(SUMIF(contas!G:G, B90, contas!B:B),0)</f>
        <v>0</v>
      </c>
      <c r="G90" s="51">
        <f>SUMIFS(previsoes!D:D, previsoes!E:E, "&lt;=" &amp; EOMONTH(DATEVALUE(B90&amp;"-01"),0), previsoes!F:F, "&gt;=" &amp; DATEVALUE(B90&amp;"-01"))</f>
        <v>0</v>
      </c>
      <c r="H90" s="52">
        <f t="shared" si="5"/>
        <v>160491.8958</v>
      </c>
      <c r="I90" s="49">
        <f t="shared" si="3"/>
        <v>22906</v>
      </c>
      <c r="J90" s="52">
        <f>IF(A90&lt;&gt;"",SUMIFS(metas!N:N, metas!E:E, "&gt;=" &amp; DATEVALUE(B90&amp;"-01"),metas!D:D, "&lt;=" &amp; DATEVALUE(B90&amp;"-01")),"")</f>
        <v>3182.813937</v>
      </c>
      <c r="K90" s="49">
        <f t="shared" si="4"/>
        <v>19723.18606</v>
      </c>
      <c r="L90" s="49">
        <f t="shared" si="6"/>
        <v>1119246.902</v>
      </c>
      <c r="M90" s="49">
        <f>IF(A90&lt;&gt;"",IF(COUNTIF(investimento!F:F, B90) &gt; 0, SUM(investimento!B:B)+I90, M89+I90),"")</f>
        <v>1821292.681</v>
      </c>
    </row>
    <row r="91" ht="22.5" customHeight="1">
      <c r="A91" s="47">
        <v>48611.0</v>
      </c>
      <c r="B91" s="48" t="str">
        <f t="shared" si="1"/>
        <v>2033-02</v>
      </c>
      <c r="C91" s="49">
        <f>SUMIF(despesas_recorrentes!C:C, "&gt;="&amp;A91,despesas_recorrentes!B:B) 
+SUMIF(despesas_recorrentes!C:C, "",despesas_recorrentes!B:B)
-despesas_recorrentes!$B$12
+IF(SUMIF(gasto_cartao!E:E,saldo!B91,gasto_cartao!B:B)&gt;despesas_recorrentes!$B$12, SUMIF(gasto_cartao!E:E,saldo!B91,gasto_cartao!B:B),despesas_recorrentes!$B$12)</f>
        <v>34013</v>
      </c>
      <c r="D91" s="50">
        <f>SUM(receitas_recorrentes!B:B)+SUMIF(receitas_pontuais!E:E,B91,receitas_pontuais!B:B)</f>
        <v>56919</v>
      </c>
      <c r="E91" s="50">
        <f t="shared" si="2"/>
        <v>22906</v>
      </c>
      <c r="F91" s="49">
        <f>IFERROR(SUMIF(contas!G:G, B91, contas!B:B),0)</f>
        <v>0</v>
      </c>
      <c r="G91" s="51">
        <f>SUMIFS(previsoes!D:D, previsoes!E:E, "&lt;=" &amp; EOMONTH(DATEVALUE(B91&amp;"-01"),0), previsoes!F:F, "&gt;=" &amp; DATEVALUE(B91&amp;"-01"))</f>
        <v>0</v>
      </c>
      <c r="H91" s="52">
        <f t="shared" si="5"/>
        <v>160491.8958</v>
      </c>
      <c r="I91" s="49">
        <f t="shared" si="3"/>
        <v>22906</v>
      </c>
      <c r="J91" s="52">
        <f>IF(A91&lt;&gt;"",SUMIFS(metas!N:N, metas!E:E, "&gt;=" &amp; DATEVALUE(B91&amp;"-01"),metas!D:D, "&lt;=" &amp; DATEVALUE(B91&amp;"-01")),"")</f>
        <v>3182.813937</v>
      </c>
      <c r="K91" s="49">
        <f t="shared" si="4"/>
        <v>19723.18606</v>
      </c>
      <c r="L91" s="49">
        <f t="shared" si="6"/>
        <v>1138970.088</v>
      </c>
      <c r="M91" s="49">
        <f>IF(A91&lt;&gt;"",IF(COUNTIF(investimento!F:F, B91) &gt; 0, SUM(investimento!B:B)+I91, M90+I91),"")</f>
        <v>1844198.681</v>
      </c>
    </row>
    <row r="92" ht="22.5" customHeight="1">
      <c r="A92" s="47">
        <v>48639.0</v>
      </c>
      <c r="B92" s="48" t="str">
        <f t="shared" si="1"/>
        <v>2033-03</v>
      </c>
      <c r="C92" s="49">
        <f>SUMIF(despesas_recorrentes!C:C, "&gt;="&amp;A92,despesas_recorrentes!B:B) 
+SUMIF(despesas_recorrentes!C:C, "",despesas_recorrentes!B:B)
-despesas_recorrentes!$B$12
+IF(SUMIF(gasto_cartao!E:E,saldo!B92,gasto_cartao!B:B)&gt;despesas_recorrentes!$B$12, SUMIF(gasto_cartao!E:E,saldo!B92,gasto_cartao!B:B),despesas_recorrentes!$B$12)</f>
        <v>34013</v>
      </c>
      <c r="D92" s="50">
        <f>SUM(receitas_recorrentes!B:B)+SUMIF(receitas_pontuais!E:E,B92,receitas_pontuais!B:B)</f>
        <v>56919</v>
      </c>
      <c r="E92" s="50">
        <f t="shared" si="2"/>
        <v>22906</v>
      </c>
      <c r="F92" s="49">
        <f>IFERROR(SUMIF(contas!G:G, B92, contas!B:B),0)</f>
        <v>0</v>
      </c>
      <c r="G92" s="51">
        <f>SUMIFS(previsoes!D:D, previsoes!E:E, "&lt;=" &amp; EOMONTH(DATEVALUE(B92&amp;"-01"),0), previsoes!F:F, "&gt;=" &amp; DATEVALUE(B92&amp;"-01"))</f>
        <v>0</v>
      </c>
      <c r="H92" s="52">
        <f t="shared" si="5"/>
        <v>160491.8958</v>
      </c>
      <c r="I92" s="49">
        <f t="shared" si="3"/>
        <v>22906</v>
      </c>
      <c r="J92" s="52">
        <f>IF(A92&lt;&gt;"",SUMIFS(metas!N:N, metas!E:E, "&gt;=" &amp; DATEVALUE(B92&amp;"-01"),metas!D:D, "&lt;=" &amp; DATEVALUE(B92&amp;"-01")),"")</f>
        <v>3182.813937</v>
      </c>
      <c r="K92" s="49">
        <f t="shared" si="4"/>
        <v>19723.18606</v>
      </c>
      <c r="L92" s="49">
        <f t="shared" si="6"/>
        <v>1158693.274</v>
      </c>
      <c r="M92" s="49">
        <f>IF(A92&lt;&gt;"",IF(COUNTIF(investimento!F:F, B92) &gt; 0, SUM(investimento!B:B)+I92, M91+I92),"")</f>
        <v>1867104.681</v>
      </c>
    </row>
    <row r="93" ht="22.5" customHeight="1">
      <c r="A93" s="47">
        <v>48670.0</v>
      </c>
      <c r="B93" s="48" t="str">
        <f t="shared" si="1"/>
        <v>2033-04</v>
      </c>
      <c r="C93" s="49">
        <f>SUMIF(despesas_recorrentes!C:C, "&gt;="&amp;A93,despesas_recorrentes!B:B) 
+SUMIF(despesas_recorrentes!C:C, "",despesas_recorrentes!B:B)
-despesas_recorrentes!$B$12
+IF(SUMIF(gasto_cartao!E:E,saldo!B93,gasto_cartao!B:B)&gt;despesas_recorrentes!$B$12, SUMIF(gasto_cartao!E:E,saldo!B93,gasto_cartao!B:B),despesas_recorrentes!$B$12)</f>
        <v>34013</v>
      </c>
      <c r="D93" s="50">
        <f>SUM(receitas_recorrentes!B:B)+SUMIF(receitas_pontuais!E:E,B93,receitas_pontuais!B:B)</f>
        <v>56919</v>
      </c>
      <c r="E93" s="50">
        <f t="shared" si="2"/>
        <v>22906</v>
      </c>
      <c r="F93" s="49">
        <f>IFERROR(SUMIF(contas!G:G, B93, contas!B:B),0)</f>
        <v>0</v>
      </c>
      <c r="G93" s="51">
        <f>SUMIFS(previsoes!D:D, previsoes!E:E, "&lt;=" &amp; EOMONTH(DATEVALUE(B93&amp;"-01"),0), previsoes!F:F, "&gt;=" &amp; DATEVALUE(B93&amp;"-01"))</f>
        <v>0</v>
      </c>
      <c r="H93" s="52">
        <f t="shared" si="5"/>
        <v>160491.8958</v>
      </c>
      <c r="I93" s="49">
        <f t="shared" si="3"/>
        <v>22906</v>
      </c>
      <c r="J93" s="52">
        <f>IF(A93&lt;&gt;"",SUMIFS(metas!N:N, metas!E:E, "&gt;=" &amp; DATEVALUE(B93&amp;"-01"),metas!D:D, "&lt;=" &amp; DATEVALUE(B93&amp;"-01")),"")</f>
        <v>3182.813937</v>
      </c>
      <c r="K93" s="49">
        <f t="shared" si="4"/>
        <v>19723.18606</v>
      </c>
      <c r="L93" s="49">
        <f t="shared" si="6"/>
        <v>1178416.46</v>
      </c>
      <c r="M93" s="49">
        <f>IF(A93&lt;&gt;"",IF(COUNTIF(investimento!F:F, B93) &gt; 0, SUM(investimento!B:B)+I93, M92+I93),"")</f>
        <v>1890010.681</v>
      </c>
    </row>
    <row r="94" ht="22.5" customHeight="1">
      <c r="A94" s="47">
        <v>48700.0</v>
      </c>
      <c r="B94" s="48" t="str">
        <f t="shared" si="1"/>
        <v>2033-05</v>
      </c>
      <c r="C94" s="49">
        <f>SUMIF(despesas_recorrentes!C:C, "&gt;="&amp;A94,despesas_recorrentes!B:B) 
+SUMIF(despesas_recorrentes!C:C, "",despesas_recorrentes!B:B)
-despesas_recorrentes!$B$12
+IF(SUMIF(gasto_cartao!E:E,saldo!B94,gasto_cartao!B:B)&gt;despesas_recorrentes!$B$12, SUMIF(gasto_cartao!E:E,saldo!B94,gasto_cartao!B:B),despesas_recorrentes!$B$12)</f>
        <v>34013</v>
      </c>
      <c r="D94" s="50">
        <f>SUM(receitas_recorrentes!B:B)+SUMIF(receitas_pontuais!E:E,B94,receitas_pontuais!B:B)</f>
        <v>56919</v>
      </c>
      <c r="E94" s="50">
        <f t="shared" si="2"/>
        <v>22906</v>
      </c>
      <c r="F94" s="49">
        <f>IFERROR(SUMIF(contas!G:G, B94, contas!B:B),0)</f>
        <v>0</v>
      </c>
      <c r="G94" s="51">
        <f>SUMIFS(previsoes!D:D, previsoes!E:E, "&lt;=" &amp; EOMONTH(DATEVALUE(B94&amp;"-01"),0), previsoes!F:F, "&gt;=" &amp; DATEVALUE(B94&amp;"-01"))</f>
        <v>0</v>
      </c>
      <c r="H94" s="52">
        <f t="shared" si="5"/>
        <v>160491.8958</v>
      </c>
      <c r="I94" s="49">
        <f t="shared" si="3"/>
        <v>22906</v>
      </c>
      <c r="J94" s="52">
        <f>IF(A94&lt;&gt;"",SUMIFS(metas!N:N, metas!E:E, "&gt;=" &amp; DATEVALUE(B94&amp;"-01"),metas!D:D, "&lt;=" &amp; DATEVALUE(B94&amp;"-01")),"")</f>
        <v>3182.813937</v>
      </c>
      <c r="K94" s="49">
        <f t="shared" si="4"/>
        <v>19723.18606</v>
      </c>
      <c r="L94" s="49">
        <f t="shared" si="6"/>
        <v>1198139.646</v>
      </c>
      <c r="M94" s="49">
        <f>IF(A94&lt;&gt;"",IF(COUNTIF(investimento!F:F, B94) &gt; 0, SUM(investimento!B:B)+I94, M93+I94),"")</f>
        <v>1912916.681</v>
      </c>
    </row>
    <row r="95" ht="22.5" customHeight="1">
      <c r="A95" s="47">
        <v>48731.0</v>
      </c>
      <c r="B95" s="48" t="str">
        <f t="shared" si="1"/>
        <v>2033-06</v>
      </c>
      <c r="C95" s="49">
        <f>SUMIF(despesas_recorrentes!C:C, "&gt;="&amp;A95,despesas_recorrentes!B:B) 
+SUMIF(despesas_recorrentes!C:C, "",despesas_recorrentes!B:B)
-despesas_recorrentes!$B$12
+IF(SUMIF(gasto_cartao!E:E,saldo!B95,gasto_cartao!B:B)&gt;despesas_recorrentes!$B$12, SUMIF(gasto_cartao!E:E,saldo!B95,gasto_cartao!B:B),despesas_recorrentes!$B$12)</f>
        <v>34013</v>
      </c>
      <c r="D95" s="50">
        <f>SUM(receitas_recorrentes!B:B)+SUMIF(receitas_pontuais!E:E,B95,receitas_pontuais!B:B)</f>
        <v>56919</v>
      </c>
      <c r="E95" s="50">
        <f t="shared" si="2"/>
        <v>22906</v>
      </c>
      <c r="F95" s="49">
        <f>IFERROR(SUMIF(contas!G:G, B95, contas!B:B),0)</f>
        <v>0</v>
      </c>
      <c r="G95" s="51">
        <f>SUMIFS(previsoes!D:D, previsoes!E:E, "&lt;=" &amp; EOMONTH(DATEVALUE(B95&amp;"-01"),0), previsoes!F:F, "&gt;=" &amp; DATEVALUE(B95&amp;"-01"))</f>
        <v>0</v>
      </c>
      <c r="H95" s="52">
        <f t="shared" si="5"/>
        <v>160491.8958</v>
      </c>
      <c r="I95" s="49">
        <f t="shared" si="3"/>
        <v>22906</v>
      </c>
      <c r="J95" s="52">
        <f>IF(A95&lt;&gt;"",SUMIFS(metas!N:N, metas!E:E, "&gt;=" &amp; DATEVALUE(B95&amp;"-01"),metas!D:D, "&lt;=" &amp; DATEVALUE(B95&amp;"-01")),"")</f>
        <v>3182.813937</v>
      </c>
      <c r="K95" s="49">
        <f t="shared" si="4"/>
        <v>19723.18606</v>
      </c>
      <c r="L95" s="49">
        <f t="shared" si="6"/>
        <v>1217862.832</v>
      </c>
      <c r="M95" s="49">
        <f>IF(A95&lt;&gt;"",IF(COUNTIF(investimento!F:F, B95) &gt; 0, SUM(investimento!B:B)+I95, M94+I95),"")</f>
        <v>1935822.681</v>
      </c>
    </row>
    <row r="96" ht="22.5" customHeight="1">
      <c r="A96" s="47">
        <v>48761.0</v>
      </c>
      <c r="B96" s="48" t="str">
        <f t="shared" si="1"/>
        <v>2033-07</v>
      </c>
      <c r="C96" s="49">
        <f>SUMIF(despesas_recorrentes!C:C, "&gt;="&amp;A96,despesas_recorrentes!B:B) 
+SUMIF(despesas_recorrentes!C:C, "",despesas_recorrentes!B:B)
-despesas_recorrentes!$B$12
+IF(SUMIF(gasto_cartao!E:E,saldo!B96,gasto_cartao!B:B)&gt;despesas_recorrentes!$B$12, SUMIF(gasto_cartao!E:E,saldo!B96,gasto_cartao!B:B),despesas_recorrentes!$B$12)</f>
        <v>34013</v>
      </c>
      <c r="D96" s="50">
        <f>SUM(receitas_recorrentes!B:B)+SUMIF(receitas_pontuais!E:E,B96,receitas_pontuais!B:B)</f>
        <v>56919</v>
      </c>
      <c r="E96" s="50">
        <f t="shared" si="2"/>
        <v>22906</v>
      </c>
      <c r="F96" s="49">
        <f>IFERROR(SUMIF(contas!G:G, B96, contas!B:B),0)</f>
        <v>0</v>
      </c>
      <c r="G96" s="51">
        <f>SUMIFS(previsoes!D:D, previsoes!E:E, "&lt;=" &amp; EOMONTH(DATEVALUE(B96&amp;"-01"),0), previsoes!F:F, "&gt;=" &amp; DATEVALUE(B96&amp;"-01"))</f>
        <v>0</v>
      </c>
      <c r="H96" s="52">
        <f t="shared" si="5"/>
        <v>160491.8958</v>
      </c>
      <c r="I96" s="49">
        <f t="shared" si="3"/>
        <v>22906</v>
      </c>
      <c r="J96" s="52">
        <f>IF(A96&lt;&gt;"",SUMIFS(metas!N:N, metas!E:E, "&gt;=" &amp; DATEVALUE(B96&amp;"-01"),metas!D:D, "&lt;=" &amp; DATEVALUE(B96&amp;"-01")),"")</f>
        <v>3182.813937</v>
      </c>
      <c r="K96" s="49">
        <f t="shared" si="4"/>
        <v>19723.18606</v>
      </c>
      <c r="L96" s="49">
        <f t="shared" si="6"/>
        <v>1237586.018</v>
      </c>
      <c r="M96" s="49">
        <f>IF(A96&lt;&gt;"",IF(COUNTIF(investimento!F:F, B96) &gt; 0, SUM(investimento!B:B)+I96, M95+I96),"")</f>
        <v>1958728.681</v>
      </c>
    </row>
    <row r="97" ht="22.5" customHeight="1">
      <c r="A97" s="47">
        <v>48792.0</v>
      </c>
      <c r="B97" s="48" t="str">
        <f t="shared" si="1"/>
        <v>2033-08</v>
      </c>
      <c r="C97" s="49">
        <f>SUMIF(despesas_recorrentes!C:C, "&gt;="&amp;A97,despesas_recorrentes!B:B) 
+SUMIF(despesas_recorrentes!C:C, "",despesas_recorrentes!B:B)
-despesas_recorrentes!$B$12
+IF(SUMIF(gasto_cartao!E:E,saldo!B97,gasto_cartao!B:B)&gt;despesas_recorrentes!$B$12, SUMIF(gasto_cartao!E:E,saldo!B97,gasto_cartao!B:B),despesas_recorrentes!$B$12)</f>
        <v>34013</v>
      </c>
      <c r="D97" s="50">
        <f>SUM(receitas_recorrentes!B:B)+SUMIF(receitas_pontuais!E:E,B97,receitas_pontuais!B:B)</f>
        <v>56919</v>
      </c>
      <c r="E97" s="50">
        <f t="shared" si="2"/>
        <v>22906</v>
      </c>
      <c r="F97" s="49">
        <f>IFERROR(SUMIF(contas!G:G, B97, contas!B:B),0)</f>
        <v>0</v>
      </c>
      <c r="G97" s="51">
        <f>SUMIFS(previsoes!D:D, previsoes!E:E, "&lt;=" &amp; EOMONTH(DATEVALUE(B97&amp;"-01"),0), previsoes!F:F, "&gt;=" &amp; DATEVALUE(B97&amp;"-01"))</f>
        <v>0</v>
      </c>
      <c r="H97" s="52">
        <f t="shared" si="5"/>
        <v>160491.8958</v>
      </c>
      <c r="I97" s="49">
        <f t="shared" si="3"/>
        <v>22906</v>
      </c>
      <c r="J97" s="52">
        <f>IF(A97&lt;&gt;"",SUMIFS(metas!N:N, metas!E:E, "&gt;=" &amp; DATEVALUE(B97&amp;"-01"),metas!D:D, "&lt;=" &amp; DATEVALUE(B97&amp;"-01")),"")</f>
        <v>3182.813937</v>
      </c>
      <c r="K97" s="49">
        <f t="shared" si="4"/>
        <v>19723.18606</v>
      </c>
      <c r="L97" s="49">
        <f t="shared" si="6"/>
        <v>1257309.204</v>
      </c>
      <c r="M97" s="49">
        <f>IF(A97&lt;&gt;"",IF(COUNTIF(investimento!F:F, B97) &gt; 0, SUM(investimento!B:B)+I97, M96+I97),"")</f>
        <v>1981634.681</v>
      </c>
    </row>
    <row r="98" ht="22.5" customHeight="1">
      <c r="A98" s="47">
        <v>48823.0</v>
      </c>
      <c r="B98" s="48" t="str">
        <f t="shared" si="1"/>
        <v>2033-09</v>
      </c>
      <c r="C98" s="49">
        <f>SUMIF(despesas_recorrentes!C:C, "&gt;="&amp;A98,despesas_recorrentes!B:B) 
+SUMIF(despesas_recorrentes!C:C, "",despesas_recorrentes!B:B)
-despesas_recorrentes!$B$12
+IF(SUMIF(gasto_cartao!E:E,saldo!B98,gasto_cartao!B:B)&gt;despesas_recorrentes!$B$12, SUMIF(gasto_cartao!E:E,saldo!B98,gasto_cartao!B:B),despesas_recorrentes!$B$12)</f>
        <v>34013</v>
      </c>
      <c r="D98" s="50">
        <f>SUM(receitas_recorrentes!B:B)+SUMIF(receitas_pontuais!E:E,B98,receitas_pontuais!B:B)</f>
        <v>56919</v>
      </c>
      <c r="E98" s="50">
        <f t="shared" si="2"/>
        <v>22906</v>
      </c>
      <c r="F98" s="49">
        <f>IFERROR(SUMIF(contas!G:G, B98, contas!B:B),0)</f>
        <v>0</v>
      </c>
      <c r="G98" s="51">
        <f>SUMIFS(previsoes!D:D, previsoes!E:E, "&lt;=" &amp; EOMONTH(DATEVALUE(B98&amp;"-01"),0), previsoes!F:F, "&gt;=" &amp; DATEVALUE(B98&amp;"-01"))</f>
        <v>0</v>
      </c>
      <c r="H98" s="52">
        <f t="shared" si="5"/>
        <v>160491.8958</v>
      </c>
      <c r="I98" s="49">
        <f t="shared" si="3"/>
        <v>22906</v>
      </c>
      <c r="J98" s="52">
        <f>IF(A98&lt;&gt;"",SUMIFS(metas!N:N, metas!E:E, "&gt;=" &amp; DATEVALUE(B98&amp;"-01"),metas!D:D, "&lt;=" &amp; DATEVALUE(B98&amp;"-01")),"")</f>
        <v>3182.813937</v>
      </c>
      <c r="K98" s="49">
        <f t="shared" si="4"/>
        <v>19723.18606</v>
      </c>
      <c r="L98" s="49">
        <f t="shared" si="6"/>
        <v>1277032.391</v>
      </c>
      <c r="M98" s="49">
        <f>IF(A98&lt;&gt;"",IF(COUNTIF(investimento!F:F, B98) &gt; 0, SUM(investimento!B:B)+I98, M97+I98),"")</f>
        <v>2004540.681</v>
      </c>
    </row>
    <row r="99" ht="22.5" customHeight="1">
      <c r="A99" s="47">
        <v>48853.0</v>
      </c>
      <c r="B99" s="48" t="str">
        <f t="shared" si="1"/>
        <v>2033-10</v>
      </c>
      <c r="C99" s="49">
        <f>SUMIF(despesas_recorrentes!C:C, "&gt;="&amp;A99,despesas_recorrentes!B:B) 
+SUMIF(despesas_recorrentes!C:C, "",despesas_recorrentes!B:B)
-despesas_recorrentes!$B$12
+IF(SUMIF(gasto_cartao!E:E,saldo!B99,gasto_cartao!B:B)&gt;despesas_recorrentes!$B$12, SUMIF(gasto_cartao!E:E,saldo!B99,gasto_cartao!B:B),despesas_recorrentes!$B$12)</f>
        <v>34013</v>
      </c>
      <c r="D99" s="50">
        <f>SUM(receitas_recorrentes!B:B)+SUMIF(receitas_pontuais!E:E,B99,receitas_pontuais!B:B)</f>
        <v>56919</v>
      </c>
      <c r="E99" s="50">
        <f t="shared" si="2"/>
        <v>22906</v>
      </c>
      <c r="F99" s="49">
        <f>IFERROR(SUMIF(contas!G:G, B99, contas!B:B),0)</f>
        <v>0</v>
      </c>
      <c r="G99" s="51">
        <f>SUMIFS(previsoes!D:D, previsoes!E:E, "&lt;=" &amp; EOMONTH(DATEVALUE(B99&amp;"-01"),0), previsoes!F:F, "&gt;=" &amp; DATEVALUE(B99&amp;"-01"))</f>
        <v>0</v>
      </c>
      <c r="H99" s="52">
        <f t="shared" si="5"/>
        <v>160491.8958</v>
      </c>
      <c r="I99" s="49">
        <f t="shared" si="3"/>
        <v>22906</v>
      </c>
      <c r="J99" s="52">
        <f>IF(A99&lt;&gt;"",SUMIFS(metas!N:N, metas!E:E, "&gt;=" &amp; DATEVALUE(B99&amp;"-01"),metas!D:D, "&lt;=" &amp; DATEVALUE(B99&amp;"-01")),"")</f>
        <v>3182.813937</v>
      </c>
      <c r="K99" s="49">
        <f t="shared" si="4"/>
        <v>19723.18606</v>
      </c>
      <c r="L99" s="49">
        <f t="shared" si="6"/>
        <v>1296755.577</v>
      </c>
      <c r="M99" s="49">
        <f>IF(A99&lt;&gt;"",IF(COUNTIF(investimento!F:F, B99) &gt; 0, SUM(investimento!B:B)+I99, M98+I99),"")</f>
        <v>2027446.681</v>
      </c>
    </row>
    <row r="100" ht="22.5" customHeight="1">
      <c r="A100" s="47">
        <v>48884.0</v>
      </c>
      <c r="B100" s="48" t="str">
        <f t="shared" si="1"/>
        <v>2033-11</v>
      </c>
      <c r="C100" s="49">
        <f>SUMIF(despesas_recorrentes!C:C, "&gt;="&amp;A100,despesas_recorrentes!B:B) 
+SUMIF(despesas_recorrentes!C:C, "",despesas_recorrentes!B:B)
-despesas_recorrentes!$B$12
+IF(SUMIF(gasto_cartao!E:E,saldo!B100,gasto_cartao!B:B)&gt;despesas_recorrentes!$B$12, SUMIF(gasto_cartao!E:E,saldo!B100,gasto_cartao!B:B),despesas_recorrentes!$B$12)</f>
        <v>34013</v>
      </c>
      <c r="D100" s="50">
        <f>SUM(receitas_recorrentes!B:B)+SUMIF(receitas_pontuais!E:E,B100,receitas_pontuais!B:B)</f>
        <v>56919</v>
      </c>
      <c r="E100" s="50">
        <f t="shared" si="2"/>
        <v>22906</v>
      </c>
      <c r="F100" s="49">
        <f>IFERROR(SUMIF(contas!G:G, B100, contas!B:B),0)</f>
        <v>0</v>
      </c>
      <c r="G100" s="51">
        <f>SUMIFS(previsoes!D:D, previsoes!E:E, "&lt;=" &amp; EOMONTH(DATEVALUE(B100&amp;"-01"),0), previsoes!F:F, "&gt;=" &amp; DATEVALUE(B100&amp;"-01"))</f>
        <v>0</v>
      </c>
      <c r="H100" s="52">
        <f t="shared" si="5"/>
        <v>160491.8958</v>
      </c>
      <c r="I100" s="49">
        <f t="shared" si="3"/>
        <v>22906</v>
      </c>
      <c r="J100" s="52">
        <f>IF(A100&lt;&gt;"",SUMIFS(metas!N:N, metas!E:E, "&gt;=" &amp; DATEVALUE(B100&amp;"-01"),metas!D:D, "&lt;=" &amp; DATEVALUE(B100&amp;"-01")),"")</f>
        <v>3182.813937</v>
      </c>
      <c r="K100" s="49">
        <f t="shared" si="4"/>
        <v>19723.18606</v>
      </c>
      <c r="L100" s="49">
        <f t="shared" si="6"/>
        <v>1316478.763</v>
      </c>
      <c r="M100" s="49">
        <f>IF(A100&lt;&gt;"",IF(COUNTIF(investimento!F:F, B100) &gt; 0, SUM(investimento!B:B)+I100, M99+I100),"")</f>
        <v>2050352.681</v>
      </c>
    </row>
    <row r="101" ht="22.5" customHeight="1">
      <c r="A101" s="47">
        <v>48914.0</v>
      </c>
      <c r="B101" s="48" t="str">
        <f t="shared" si="1"/>
        <v>2033-12</v>
      </c>
      <c r="C101" s="49">
        <f>SUMIF(despesas_recorrentes!C:C, "&gt;="&amp;A101,despesas_recorrentes!B:B) 
+SUMIF(despesas_recorrentes!C:C, "",despesas_recorrentes!B:B)
-despesas_recorrentes!$B$12
+IF(SUMIF(gasto_cartao!E:E,saldo!B101,gasto_cartao!B:B)&gt;despesas_recorrentes!$B$12, SUMIF(gasto_cartao!E:E,saldo!B101,gasto_cartao!B:B),despesas_recorrentes!$B$12)</f>
        <v>34013</v>
      </c>
      <c r="D101" s="50">
        <f>SUM(receitas_recorrentes!B:B)+SUMIF(receitas_pontuais!E:E,B101,receitas_pontuais!B:B)</f>
        <v>56919</v>
      </c>
      <c r="E101" s="50">
        <f t="shared" si="2"/>
        <v>22906</v>
      </c>
      <c r="F101" s="49">
        <f>IFERROR(SUMIF(contas!G:G, B101, contas!B:B),0)</f>
        <v>0</v>
      </c>
      <c r="G101" s="51">
        <f>SUMIFS(previsoes!D:D, previsoes!E:E, "&lt;=" &amp; EOMONTH(DATEVALUE(B101&amp;"-01"),0), previsoes!F:F, "&gt;=" &amp; DATEVALUE(B101&amp;"-01"))</f>
        <v>0</v>
      </c>
      <c r="H101" s="52">
        <f t="shared" si="5"/>
        <v>160491.8958</v>
      </c>
      <c r="I101" s="49">
        <f t="shared" si="3"/>
        <v>22906</v>
      </c>
      <c r="J101" s="52">
        <f>IF(A101&lt;&gt;"",SUMIFS(metas!N:N, metas!E:E, "&gt;=" &amp; DATEVALUE(B101&amp;"-01"),metas!D:D, "&lt;=" &amp; DATEVALUE(B101&amp;"-01")),"")</f>
        <v>3182.813937</v>
      </c>
      <c r="K101" s="49">
        <f t="shared" si="4"/>
        <v>19723.18606</v>
      </c>
      <c r="L101" s="49">
        <f t="shared" si="6"/>
        <v>1336201.949</v>
      </c>
      <c r="M101" s="49">
        <f>IF(A101&lt;&gt;"",IF(COUNTIF(investimento!F:F, B101) &gt; 0, SUM(investimento!B:B)+I101, M100+I101),"")</f>
        <v>2073258.681</v>
      </c>
    </row>
    <row r="102" ht="22.5" customHeight="1">
      <c r="A102" s="47">
        <v>48945.0</v>
      </c>
      <c r="B102" s="48" t="str">
        <f t="shared" si="1"/>
        <v>2034-01</v>
      </c>
      <c r="C102" s="49">
        <f>SUMIF(despesas_recorrentes!C:C, "&gt;="&amp;A102,despesas_recorrentes!B:B) 
+SUMIF(despesas_recorrentes!C:C, "",despesas_recorrentes!B:B)
-despesas_recorrentes!$B$12
+IF(SUMIF(gasto_cartao!E:E,saldo!B102,gasto_cartao!B:B)&gt;despesas_recorrentes!$B$12, SUMIF(gasto_cartao!E:E,saldo!B102,gasto_cartao!B:B),despesas_recorrentes!$B$12)</f>
        <v>34013</v>
      </c>
      <c r="D102" s="50">
        <f>SUM(receitas_recorrentes!B:B)+SUMIF(receitas_pontuais!E:E,B102,receitas_pontuais!B:B)</f>
        <v>56919</v>
      </c>
      <c r="E102" s="50">
        <f t="shared" si="2"/>
        <v>22906</v>
      </c>
      <c r="F102" s="49">
        <f>IFERROR(SUMIF(contas!G:G, B102, contas!B:B),0)</f>
        <v>0</v>
      </c>
      <c r="G102" s="51">
        <f>SUMIFS(previsoes!D:D, previsoes!E:E, "&lt;=" &amp; EOMONTH(DATEVALUE(B102&amp;"-01"),0), previsoes!F:F, "&gt;=" &amp; DATEVALUE(B102&amp;"-01"))</f>
        <v>0</v>
      </c>
      <c r="H102" s="52">
        <f t="shared" si="5"/>
        <v>160491.8958</v>
      </c>
      <c r="I102" s="49">
        <f t="shared" si="3"/>
        <v>22906</v>
      </c>
      <c r="J102" s="52">
        <f>IF(A102&lt;&gt;"",SUMIFS(metas!N:N, metas!E:E, "&gt;=" &amp; DATEVALUE(B102&amp;"-01"),metas!D:D, "&lt;=" &amp; DATEVALUE(B102&amp;"-01")),"")</f>
        <v>3182.813937</v>
      </c>
      <c r="K102" s="49">
        <f t="shared" si="4"/>
        <v>19723.18606</v>
      </c>
      <c r="L102" s="49">
        <f t="shared" si="6"/>
        <v>1355925.135</v>
      </c>
      <c r="M102" s="49">
        <f>IF(A102&lt;&gt;"",IF(COUNTIF(investimento!F:F, B102) &gt; 0, SUM(investimento!B:B)+I102, M101+I102),"")</f>
        <v>2096164.681</v>
      </c>
    </row>
    <row r="103" ht="22.5" customHeight="1">
      <c r="A103" s="47">
        <v>48976.0</v>
      </c>
      <c r="B103" s="48" t="str">
        <f t="shared" si="1"/>
        <v>2034-02</v>
      </c>
      <c r="C103" s="49">
        <f>SUMIF(despesas_recorrentes!C:C, "&gt;="&amp;A103,despesas_recorrentes!B:B) 
+SUMIF(despesas_recorrentes!C:C, "",despesas_recorrentes!B:B)
-despesas_recorrentes!$B$12
+IF(SUMIF(gasto_cartao!E:E,saldo!B103,gasto_cartao!B:B)&gt;despesas_recorrentes!$B$12, SUMIF(gasto_cartao!E:E,saldo!B103,gasto_cartao!B:B),despesas_recorrentes!$B$12)</f>
        <v>34013</v>
      </c>
      <c r="D103" s="50">
        <f>SUM(receitas_recorrentes!B:B)+SUMIF(receitas_pontuais!E:E,B103,receitas_pontuais!B:B)</f>
        <v>56919</v>
      </c>
      <c r="E103" s="50">
        <f t="shared" si="2"/>
        <v>22906</v>
      </c>
      <c r="F103" s="49">
        <f>IFERROR(SUMIF(contas!G:G, B103, contas!B:B),0)</f>
        <v>0</v>
      </c>
      <c r="G103" s="51">
        <f>SUMIFS(previsoes!D:D, previsoes!E:E, "&lt;=" &amp; EOMONTH(DATEVALUE(B103&amp;"-01"),0), previsoes!F:F, "&gt;=" &amp; DATEVALUE(B103&amp;"-01"))</f>
        <v>0</v>
      </c>
      <c r="H103" s="52">
        <f t="shared" si="5"/>
        <v>160491.8958</v>
      </c>
      <c r="I103" s="49">
        <f t="shared" si="3"/>
        <v>22906</v>
      </c>
      <c r="J103" s="52">
        <f>IF(A103&lt;&gt;"",SUMIFS(metas!N:N, metas!E:E, "&gt;=" &amp; DATEVALUE(B103&amp;"-01"),metas!D:D, "&lt;=" &amp; DATEVALUE(B103&amp;"-01")),"")</f>
        <v>3182.813937</v>
      </c>
      <c r="K103" s="49">
        <f t="shared" si="4"/>
        <v>19723.18606</v>
      </c>
      <c r="L103" s="49">
        <f t="shared" si="6"/>
        <v>1375648.321</v>
      </c>
      <c r="M103" s="49">
        <f>IF(A103&lt;&gt;"",IF(COUNTIF(investimento!F:F, B103) &gt; 0, SUM(investimento!B:B)+I103, M102+I103),"")</f>
        <v>2119070.681</v>
      </c>
    </row>
    <row r="104" ht="22.5" customHeight="1">
      <c r="A104" s="47">
        <v>49004.0</v>
      </c>
      <c r="B104" s="48" t="str">
        <f t="shared" si="1"/>
        <v>2034-03</v>
      </c>
      <c r="C104" s="49">
        <f>SUMIF(despesas_recorrentes!C:C, "&gt;="&amp;A104,despesas_recorrentes!B:B) 
+SUMIF(despesas_recorrentes!C:C, "",despesas_recorrentes!B:B)
-despesas_recorrentes!$B$12
+IF(SUMIF(gasto_cartao!E:E,saldo!B104,gasto_cartao!B:B)&gt;despesas_recorrentes!$B$12, SUMIF(gasto_cartao!E:E,saldo!B104,gasto_cartao!B:B),despesas_recorrentes!$B$12)</f>
        <v>34013</v>
      </c>
      <c r="D104" s="50">
        <f>SUM(receitas_recorrentes!B:B)+SUMIF(receitas_pontuais!E:E,B104,receitas_pontuais!B:B)</f>
        <v>56919</v>
      </c>
      <c r="E104" s="50">
        <f t="shared" si="2"/>
        <v>22906</v>
      </c>
      <c r="F104" s="49">
        <f>IFERROR(SUMIF(contas!G:G, B104, contas!B:B),0)</f>
        <v>0</v>
      </c>
      <c r="G104" s="51">
        <f>SUMIFS(previsoes!D:D, previsoes!E:E, "&lt;=" &amp; EOMONTH(DATEVALUE(B104&amp;"-01"),0), previsoes!F:F, "&gt;=" &amp; DATEVALUE(B104&amp;"-01"))</f>
        <v>0</v>
      </c>
      <c r="H104" s="52">
        <f t="shared" si="5"/>
        <v>160491.8958</v>
      </c>
      <c r="I104" s="49">
        <f t="shared" si="3"/>
        <v>22906</v>
      </c>
      <c r="J104" s="52">
        <f>IF(A104&lt;&gt;"",SUMIFS(metas!N:N, metas!E:E, "&gt;=" &amp; DATEVALUE(B104&amp;"-01"),metas!D:D, "&lt;=" &amp; DATEVALUE(B104&amp;"-01")),"")</f>
        <v>3182.813937</v>
      </c>
      <c r="K104" s="49">
        <f t="shared" si="4"/>
        <v>19723.18606</v>
      </c>
      <c r="L104" s="49">
        <f t="shared" si="6"/>
        <v>1395371.507</v>
      </c>
      <c r="M104" s="49">
        <f>IF(A104&lt;&gt;"",IF(COUNTIF(investimento!F:F, B104) &gt; 0, SUM(investimento!B:B)+I104, M103+I104),"")</f>
        <v>2141976.681</v>
      </c>
    </row>
    <row r="105" ht="22.5" customHeight="1">
      <c r="A105" s="47">
        <v>49035.0</v>
      </c>
      <c r="B105" s="48" t="str">
        <f t="shared" si="1"/>
        <v>2034-04</v>
      </c>
      <c r="C105" s="49">
        <f>SUMIF(despesas_recorrentes!C:C, "&gt;="&amp;A105,despesas_recorrentes!B:B) 
+SUMIF(despesas_recorrentes!C:C, "",despesas_recorrentes!B:B)
-despesas_recorrentes!$B$12
+IF(SUMIF(gasto_cartao!E:E,saldo!B105,gasto_cartao!B:B)&gt;despesas_recorrentes!$B$12, SUMIF(gasto_cartao!E:E,saldo!B105,gasto_cartao!B:B),despesas_recorrentes!$B$12)</f>
        <v>34013</v>
      </c>
      <c r="D105" s="50">
        <f>SUM(receitas_recorrentes!B:B)+SUMIF(receitas_pontuais!E:E,B105,receitas_pontuais!B:B)</f>
        <v>56919</v>
      </c>
      <c r="E105" s="50">
        <f t="shared" si="2"/>
        <v>22906</v>
      </c>
      <c r="F105" s="49">
        <f>IFERROR(SUMIF(contas!G:G, B105, contas!B:B),0)</f>
        <v>0</v>
      </c>
      <c r="G105" s="51">
        <f>SUMIFS(previsoes!D:D, previsoes!E:E, "&lt;=" &amp; EOMONTH(DATEVALUE(B105&amp;"-01"),0), previsoes!F:F, "&gt;=" &amp; DATEVALUE(B105&amp;"-01"))</f>
        <v>0</v>
      </c>
      <c r="H105" s="52">
        <f t="shared" si="5"/>
        <v>160491.8958</v>
      </c>
      <c r="I105" s="49">
        <f t="shared" si="3"/>
        <v>22906</v>
      </c>
      <c r="J105" s="52">
        <f>IF(A105&lt;&gt;"",SUMIFS(metas!N:N, metas!E:E, "&gt;=" &amp; DATEVALUE(B105&amp;"-01"),metas!D:D, "&lt;=" &amp; DATEVALUE(B105&amp;"-01")),"")</f>
        <v>3182.813937</v>
      </c>
      <c r="K105" s="49">
        <f t="shared" si="4"/>
        <v>19723.18606</v>
      </c>
      <c r="L105" s="49">
        <f t="shared" si="6"/>
        <v>1415094.693</v>
      </c>
      <c r="M105" s="49">
        <f>IF(A105&lt;&gt;"",IF(COUNTIF(investimento!F:F, B105) &gt; 0, SUM(investimento!B:B)+I105, M104+I105),"")</f>
        <v>2164882.681</v>
      </c>
    </row>
    <row r="106" ht="22.5" customHeight="1">
      <c r="A106" s="47">
        <v>49065.0</v>
      </c>
      <c r="B106" s="48" t="str">
        <f t="shared" si="1"/>
        <v>2034-05</v>
      </c>
      <c r="C106" s="49">
        <f>SUMIF(despesas_recorrentes!C:C, "&gt;="&amp;A106,despesas_recorrentes!B:B) 
+SUMIF(despesas_recorrentes!C:C, "",despesas_recorrentes!B:B)
-despesas_recorrentes!$B$12
+IF(SUMIF(gasto_cartao!E:E,saldo!B106,gasto_cartao!B:B)&gt;despesas_recorrentes!$B$12, SUMIF(gasto_cartao!E:E,saldo!B106,gasto_cartao!B:B),despesas_recorrentes!$B$12)</f>
        <v>34013</v>
      </c>
      <c r="D106" s="50">
        <f>SUM(receitas_recorrentes!B:B)+SUMIF(receitas_pontuais!E:E,B106,receitas_pontuais!B:B)</f>
        <v>56919</v>
      </c>
      <c r="E106" s="50">
        <f t="shared" si="2"/>
        <v>22906</v>
      </c>
      <c r="F106" s="49">
        <f>IFERROR(SUMIF(contas!G:G, B106, contas!B:B),0)</f>
        <v>0</v>
      </c>
      <c r="G106" s="51">
        <f>SUMIFS(previsoes!D:D, previsoes!E:E, "&lt;=" &amp; EOMONTH(DATEVALUE(B106&amp;"-01"),0), previsoes!F:F, "&gt;=" &amp; DATEVALUE(B106&amp;"-01"))</f>
        <v>0</v>
      </c>
      <c r="H106" s="52">
        <f t="shared" si="5"/>
        <v>160491.8958</v>
      </c>
      <c r="I106" s="49">
        <f t="shared" si="3"/>
        <v>22906</v>
      </c>
      <c r="J106" s="52">
        <f>IF(A106&lt;&gt;"",SUMIFS(metas!N:N, metas!E:E, "&gt;=" &amp; DATEVALUE(B106&amp;"-01"),metas!D:D, "&lt;=" &amp; DATEVALUE(B106&amp;"-01")),"")</f>
        <v>3182.813937</v>
      </c>
      <c r="K106" s="49">
        <f t="shared" si="4"/>
        <v>19723.18606</v>
      </c>
      <c r="L106" s="49">
        <f t="shared" si="6"/>
        <v>1434817.879</v>
      </c>
      <c r="M106" s="49">
        <f>IF(A106&lt;&gt;"",IF(COUNTIF(investimento!F:F, B106) &gt; 0, SUM(investimento!B:B)+I106, M105+I106),"")</f>
        <v>2187788.681</v>
      </c>
    </row>
    <row r="107" ht="22.5" customHeight="1">
      <c r="A107" s="47">
        <v>49096.0</v>
      </c>
      <c r="B107" s="48" t="str">
        <f t="shared" si="1"/>
        <v>2034-06</v>
      </c>
      <c r="C107" s="49">
        <f>SUMIF(despesas_recorrentes!C:C, "&gt;="&amp;A107,despesas_recorrentes!B:B) 
+SUMIF(despesas_recorrentes!C:C, "",despesas_recorrentes!B:B)
-despesas_recorrentes!$B$12
+IF(SUMIF(gasto_cartao!E:E,saldo!B107,gasto_cartao!B:B)&gt;despesas_recorrentes!$B$12, SUMIF(gasto_cartao!E:E,saldo!B107,gasto_cartao!B:B),despesas_recorrentes!$B$12)</f>
        <v>34013</v>
      </c>
      <c r="D107" s="50">
        <f>SUM(receitas_recorrentes!B:B)+SUMIF(receitas_pontuais!E:E,B107,receitas_pontuais!B:B)</f>
        <v>56919</v>
      </c>
      <c r="E107" s="50">
        <f t="shared" si="2"/>
        <v>22906</v>
      </c>
      <c r="F107" s="49">
        <f>IFERROR(SUMIF(contas!G:G, B107, contas!B:B),0)</f>
        <v>0</v>
      </c>
      <c r="G107" s="51">
        <f>SUMIFS(previsoes!D:D, previsoes!E:E, "&lt;=" &amp; EOMONTH(DATEVALUE(B107&amp;"-01"),0), previsoes!F:F, "&gt;=" &amp; DATEVALUE(B107&amp;"-01"))</f>
        <v>0</v>
      </c>
      <c r="H107" s="52">
        <f t="shared" si="5"/>
        <v>160491.8958</v>
      </c>
      <c r="I107" s="49">
        <f t="shared" si="3"/>
        <v>22906</v>
      </c>
      <c r="J107" s="52">
        <f>IF(A107&lt;&gt;"",SUMIFS(metas!N:N, metas!E:E, "&gt;=" &amp; DATEVALUE(B107&amp;"-01"),metas!D:D, "&lt;=" &amp; DATEVALUE(B107&amp;"-01")),"")</f>
        <v>3182.813937</v>
      </c>
      <c r="K107" s="49">
        <f t="shared" si="4"/>
        <v>19723.18606</v>
      </c>
      <c r="L107" s="49">
        <f t="shared" si="6"/>
        <v>1454541.065</v>
      </c>
      <c r="M107" s="49">
        <f>IF(A107&lt;&gt;"",IF(COUNTIF(investimento!F:F, B107) &gt; 0, SUM(investimento!B:B)+I107, M106+I107),"")</f>
        <v>2210694.681</v>
      </c>
    </row>
    <row r="108" ht="22.5" customHeight="1">
      <c r="A108" s="47">
        <v>49126.0</v>
      </c>
      <c r="B108" s="48" t="str">
        <f t="shared" si="1"/>
        <v>2034-07</v>
      </c>
      <c r="C108" s="49">
        <f>SUMIF(despesas_recorrentes!C:C, "&gt;="&amp;A108,despesas_recorrentes!B:B) 
+SUMIF(despesas_recorrentes!C:C, "",despesas_recorrentes!B:B)
-despesas_recorrentes!$B$12
+IF(SUMIF(gasto_cartao!E:E,saldo!B108,gasto_cartao!B:B)&gt;despesas_recorrentes!$B$12, SUMIF(gasto_cartao!E:E,saldo!B108,gasto_cartao!B:B),despesas_recorrentes!$B$12)</f>
        <v>34013</v>
      </c>
      <c r="D108" s="50">
        <f>SUM(receitas_recorrentes!B:B)+SUMIF(receitas_pontuais!E:E,B108,receitas_pontuais!B:B)</f>
        <v>56919</v>
      </c>
      <c r="E108" s="50">
        <f t="shared" si="2"/>
        <v>22906</v>
      </c>
      <c r="F108" s="49">
        <f>IFERROR(SUMIF(contas!G:G, B108, contas!B:B),0)</f>
        <v>0</v>
      </c>
      <c r="G108" s="51">
        <f>SUMIFS(previsoes!D:D, previsoes!E:E, "&lt;=" &amp; EOMONTH(DATEVALUE(B108&amp;"-01"),0), previsoes!F:F, "&gt;=" &amp; DATEVALUE(B108&amp;"-01"))</f>
        <v>0</v>
      </c>
      <c r="H108" s="52">
        <f t="shared" si="5"/>
        <v>160491.8958</v>
      </c>
      <c r="I108" s="49">
        <f t="shared" si="3"/>
        <v>22906</v>
      </c>
      <c r="J108" s="52">
        <f>IF(A108&lt;&gt;"",SUMIFS(metas!N:N, metas!E:E, "&gt;=" &amp; DATEVALUE(B108&amp;"-01"),metas!D:D, "&lt;=" &amp; DATEVALUE(B108&amp;"-01")),"")</f>
        <v>3182.813937</v>
      </c>
      <c r="K108" s="49">
        <f t="shared" si="4"/>
        <v>19723.18606</v>
      </c>
      <c r="L108" s="49">
        <f t="shared" si="6"/>
        <v>1474264.251</v>
      </c>
      <c r="M108" s="49">
        <f>IF(A108&lt;&gt;"",IF(COUNTIF(investimento!F:F, B108) &gt; 0, SUM(investimento!B:B)+I108, M107+I108),"")</f>
        <v>2233600.681</v>
      </c>
    </row>
    <row r="109" ht="22.5" customHeight="1">
      <c r="A109" s="47">
        <v>49157.0</v>
      </c>
      <c r="B109" s="48" t="str">
        <f t="shared" si="1"/>
        <v>2034-08</v>
      </c>
      <c r="C109" s="49">
        <f>SUMIF(despesas_recorrentes!C:C, "&gt;="&amp;A109,despesas_recorrentes!B:B) 
+SUMIF(despesas_recorrentes!C:C, "",despesas_recorrentes!B:B)
-despesas_recorrentes!$B$12
+IF(SUMIF(gasto_cartao!E:E,saldo!B109,gasto_cartao!B:B)&gt;despesas_recorrentes!$B$12, SUMIF(gasto_cartao!E:E,saldo!B109,gasto_cartao!B:B),despesas_recorrentes!$B$12)</f>
        <v>34013</v>
      </c>
      <c r="D109" s="50">
        <f>SUM(receitas_recorrentes!B:B)+SUMIF(receitas_pontuais!E:E,B109,receitas_pontuais!B:B)</f>
        <v>56919</v>
      </c>
      <c r="E109" s="50">
        <f t="shared" si="2"/>
        <v>22906</v>
      </c>
      <c r="F109" s="49">
        <f>IFERROR(SUMIF(contas!G:G, B109, contas!B:B),0)</f>
        <v>0</v>
      </c>
      <c r="G109" s="51">
        <f>SUMIFS(previsoes!D:D, previsoes!E:E, "&lt;=" &amp; EOMONTH(DATEVALUE(B109&amp;"-01"),0), previsoes!F:F, "&gt;=" &amp; DATEVALUE(B109&amp;"-01"))</f>
        <v>0</v>
      </c>
      <c r="H109" s="52">
        <f t="shared" si="5"/>
        <v>160491.8958</v>
      </c>
      <c r="I109" s="49">
        <f t="shared" si="3"/>
        <v>22906</v>
      </c>
      <c r="J109" s="52">
        <f>IF(A109&lt;&gt;"",SUMIFS(metas!N:N, metas!E:E, "&gt;=" &amp; DATEVALUE(B109&amp;"-01"),metas!D:D, "&lt;=" &amp; DATEVALUE(B109&amp;"-01")),"")</f>
        <v>3182.813937</v>
      </c>
      <c r="K109" s="49">
        <f t="shared" si="4"/>
        <v>19723.18606</v>
      </c>
      <c r="L109" s="49">
        <f t="shared" si="6"/>
        <v>1493987.437</v>
      </c>
      <c r="M109" s="49">
        <f>IF(A109&lt;&gt;"",IF(COUNTIF(investimento!F:F, B109) &gt; 0, SUM(investimento!B:B)+I109, M108+I109),"")</f>
        <v>2256506.681</v>
      </c>
    </row>
    <row r="110" ht="22.5" customHeight="1">
      <c r="A110" s="47">
        <v>49188.0</v>
      </c>
      <c r="B110" s="48" t="str">
        <f t="shared" si="1"/>
        <v>2034-09</v>
      </c>
      <c r="C110" s="49">
        <f>SUMIF(despesas_recorrentes!C:C, "&gt;="&amp;A110,despesas_recorrentes!B:B) 
+SUMIF(despesas_recorrentes!C:C, "",despesas_recorrentes!B:B)
-despesas_recorrentes!$B$12
+IF(SUMIF(gasto_cartao!E:E,saldo!B110,gasto_cartao!B:B)&gt;despesas_recorrentes!$B$12, SUMIF(gasto_cartao!E:E,saldo!B110,gasto_cartao!B:B),despesas_recorrentes!$B$12)</f>
        <v>34013</v>
      </c>
      <c r="D110" s="50">
        <f>SUM(receitas_recorrentes!B:B)+SUMIF(receitas_pontuais!E:E,B110,receitas_pontuais!B:B)</f>
        <v>56919</v>
      </c>
      <c r="E110" s="50">
        <f t="shared" si="2"/>
        <v>22906</v>
      </c>
      <c r="F110" s="49">
        <f>IFERROR(SUMIF(contas!G:G, B110, contas!B:B),0)</f>
        <v>0</v>
      </c>
      <c r="G110" s="51">
        <f>SUMIFS(previsoes!D:D, previsoes!E:E, "&lt;=" &amp; EOMONTH(DATEVALUE(B110&amp;"-01"),0), previsoes!F:F, "&gt;=" &amp; DATEVALUE(B110&amp;"-01"))</f>
        <v>0</v>
      </c>
      <c r="H110" s="52">
        <f t="shared" si="5"/>
        <v>160491.8958</v>
      </c>
      <c r="I110" s="49">
        <f t="shared" si="3"/>
        <v>22906</v>
      </c>
      <c r="J110" s="52">
        <f>IF(A110&lt;&gt;"",SUMIFS(metas!N:N, metas!E:E, "&gt;=" &amp; DATEVALUE(B110&amp;"-01"),metas!D:D, "&lt;=" &amp; DATEVALUE(B110&amp;"-01")),"")</f>
        <v>3182.813937</v>
      </c>
      <c r="K110" s="49">
        <f t="shared" si="4"/>
        <v>19723.18606</v>
      </c>
      <c r="L110" s="49">
        <f t="shared" si="6"/>
        <v>1513710.623</v>
      </c>
      <c r="M110" s="49">
        <f>IF(A110&lt;&gt;"",IF(COUNTIF(investimento!F:F, B110) &gt; 0, SUM(investimento!B:B)+I110, M109+I110),"")</f>
        <v>2279412.681</v>
      </c>
    </row>
    <row r="111" ht="22.5" customHeight="1">
      <c r="A111" s="47">
        <v>49218.0</v>
      </c>
      <c r="B111" s="48" t="str">
        <f t="shared" si="1"/>
        <v>2034-10</v>
      </c>
      <c r="C111" s="49">
        <f>SUMIF(despesas_recorrentes!C:C, "&gt;="&amp;A111,despesas_recorrentes!B:B) 
+SUMIF(despesas_recorrentes!C:C, "",despesas_recorrentes!B:B)
-despesas_recorrentes!$B$12
+IF(SUMIF(gasto_cartao!E:E,saldo!B111,gasto_cartao!B:B)&gt;despesas_recorrentes!$B$12, SUMIF(gasto_cartao!E:E,saldo!B111,gasto_cartao!B:B),despesas_recorrentes!$B$12)</f>
        <v>34013</v>
      </c>
      <c r="D111" s="50">
        <f>SUM(receitas_recorrentes!B:B)+SUMIF(receitas_pontuais!E:E,B111,receitas_pontuais!B:B)</f>
        <v>56919</v>
      </c>
      <c r="E111" s="50">
        <f t="shared" si="2"/>
        <v>22906</v>
      </c>
      <c r="F111" s="49">
        <f>IFERROR(SUMIF(contas!G:G, B111, contas!B:B),0)</f>
        <v>0</v>
      </c>
      <c r="G111" s="51">
        <f>SUMIFS(previsoes!D:D, previsoes!E:E, "&lt;=" &amp; EOMONTH(DATEVALUE(B111&amp;"-01"),0), previsoes!F:F, "&gt;=" &amp; DATEVALUE(B111&amp;"-01"))</f>
        <v>0</v>
      </c>
      <c r="H111" s="52">
        <f t="shared" si="5"/>
        <v>160491.8958</v>
      </c>
      <c r="I111" s="49">
        <f t="shared" si="3"/>
        <v>22906</v>
      </c>
      <c r="J111" s="52">
        <f>IF(A111&lt;&gt;"",SUMIFS(metas!N:N, metas!E:E, "&gt;=" &amp; DATEVALUE(B111&amp;"-01"),metas!D:D, "&lt;=" &amp; DATEVALUE(B111&amp;"-01")),"")</f>
        <v>3182.813937</v>
      </c>
      <c r="K111" s="49">
        <f t="shared" si="4"/>
        <v>19723.18606</v>
      </c>
      <c r="L111" s="49">
        <f t="shared" si="6"/>
        <v>1533433.809</v>
      </c>
      <c r="M111" s="49">
        <f>IF(A111&lt;&gt;"",IF(COUNTIF(investimento!F:F, B111) &gt; 0, SUM(investimento!B:B)+I111, M110+I111),"")</f>
        <v>2302318.681</v>
      </c>
    </row>
    <row r="112" ht="22.5" customHeight="1">
      <c r="A112" s="47">
        <v>49249.0</v>
      </c>
      <c r="B112" s="48" t="str">
        <f t="shared" si="1"/>
        <v>2034-11</v>
      </c>
      <c r="C112" s="49">
        <f>SUMIF(despesas_recorrentes!C:C, "&gt;="&amp;A112,despesas_recorrentes!B:B) 
+SUMIF(despesas_recorrentes!C:C, "",despesas_recorrentes!B:B)
-despesas_recorrentes!$B$12
+IF(SUMIF(gasto_cartao!E:E,saldo!B112,gasto_cartao!B:B)&gt;despesas_recorrentes!$B$12, SUMIF(gasto_cartao!E:E,saldo!B112,gasto_cartao!B:B),despesas_recorrentes!$B$12)</f>
        <v>34013</v>
      </c>
      <c r="D112" s="50">
        <f>SUM(receitas_recorrentes!B:B)+SUMIF(receitas_pontuais!E:E,B112,receitas_pontuais!B:B)</f>
        <v>56919</v>
      </c>
      <c r="E112" s="50">
        <f t="shared" si="2"/>
        <v>22906</v>
      </c>
      <c r="F112" s="49">
        <f>IFERROR(SUMIF(contas!G:G, B112, contas!B:B),0)</f>
        <v>0</v>
      </c>
      <c r="G112" s="51">
        <f>SUMIFS(previsoes!D:D, previsoes!E:E, "&lt;=" &amp; EOMONTH(DATEVALUE(B112&amp;"-01"),0), previsoes!F:F, "&gt;=" &amp; DATEVALUE(B112&amp;"-01"))</f>
        <v>0</v>
      </c>
      <c r="H112" s="52">
        <f t="shared" si="5"/>
        <v>160491.8958</v>
      </c>
      <c r="I112" s="49">
        <f t="shared" si="3"/>
        <v>22906</v>
      </c>
      <c r="J112" s="52">
        <f>IF(A112&lt;&gt;"",SUMIFS(metas!N:N, metas!E:E, "&gt;=" &amp; DATEVALUE(B112&amp;"-01"),metas!D:D, "&lt;=" &amp; DATEVALUE(B112&amp;"-01")),"")</f>
        <v>3182.813937</v>
      </c>
      <c r="K112" s="49">
        <f t="shared" si="4"/>
        <v>19723.18606</v>
      </c>
      <c r="L112" s="49">
        <f t="shared" si="6"/>
        <v>1553156.995</v>
      </c>
      <c r="M112" s="49">
        <f>IF(A112&lt;&gt;"",IF(COUNTIF(investimento!F:F, B112) &gt; 0, SUM(investimento!B:B)+I112, M111+I112),"")</f>
        <v>2325224.681</v>
      </c>
    </row>
    <row r="113" ht="22.5" customHeight="1">
      <c r="A113" s="47">
        <v>49279.0</v>
      </c>
      <c r="B113" s="48" t="str">
        <f t="shared" si="1"/>
        <v>2034-12</v>
      </c>
      <c r="C113" s="49">
        <f>SUMIF(despesas_recorrentes!C:C, "&gt;="&amp;A113,despesas_recorrentes!B:B) 
+SUMIF(despesas_recorrentes!C:C, "",despesas_recorrentes!B:B)
-despesas_recorrentes!$B$12
+IF(SUMIF(gasto_cartao!E:E,saldo!B113,gasto_cartao!B:B)&gt;despesas_recorrentes!$B$12, SUMIF(gasto_cartao!E:E,saldo!B113,gasto_cartao!B:B),despesas_recorrentes!$B$12)</f>
        <v>34013</v>
      </c>
      <c r="D113" s="50">
        <f>SUM(receitas_recorrentes!B:B)+SUMIF(receitas_pontuais!E:E,B113,receitas_pontuais!B:B)</f>
        <v>56919</v>
      </c>
      <c r="E113" s="50">
        <f t="shared" si="2"/>
        <v>22906</v>
      </c>
      <c r="F113" s="49">
        <f>IFERROR(SUMIF(contas!G:G, B113, contas!B:B),0)</f>
        <v>0</v>
      </c>
      <c r="G113" s="51">
        <f>SUMIFS(previsoes!D:D, previsoes!E:E, "&lt;=" &amp; EOMONTH(DATEVALUE(B113&amp;"-01"),0), previsoes!F:F, "&gt;=" &amp; DATEVALUE(B113&amp;"-01"))</f>
        <v>0</v>
      </c>
      <c r="H113" s="52">
        <f t="shared" si="5"/>
        <v>160491.8958</v>
      </c>
      <c r="I113" s="49">
        <f t="shared" si="3"/>
        <v>22906</v>
      </c>
      <c r="J113" s="52">
        <f>IF(A113&lt;&gt;"",SUMIFS(metas!N:N, metas!E:E, "&gt;=" &amp; DATEVALUE(B113&amp;"-01"),metas!D:D, "&lt;=" &amp; DATEVALUE(B113&amp;"-01")),"")</f>
        <v>3182.813937</v>
      </c>
      <c r="K113" s="49">
        <f t="shared" si="4"/>
        <v>19723.18606</v>
      </c>
      <c r="L113" s="49">
        <f t="shared" si="6"/>
        <v>1572880.181</v>
      </c>
      <c r="M113" s="49">
        <f>IF(A113&lt;&gt;"",IF(COUNTIF(investimento!F:F, B113) &gt; 0, SUM(investimento!B:B)+I113, M112+I113),"")</f>
        <v>2348130.681</v>
      </c>
    </row>
    <row r="114" ht="22.5" customHeight="1">
      <c r="A114" s="47">
        <v>49310.0</v>
      </c>
      <c r="B114" s="48" t="str">
        <f t="shared" si="1"/>
        <v>2035-01</v>
      </c>
      <c r="C114" s="49">
        <f>SUMIF(despesas_recorrentes!C:C, "&gt;="&amp;A114,despesas_recorrentes!B:B) 
+SUMIF(despesas_recorrentes!C:C, "",despesas_recorrentes!B:B)
-despesas_recorrentes!$B$12
+IF(SUMIF(gasto_cartao!E:E,saldo!B114,gasto_cartao!B:B)&gt;despesas_recorrentes!$B$12, SUMIF(gasto_cartao!E:E,saldo!B114,gasto_cartao!B:B),despesas_recorrentes!$B$12)</f>
        <v>34013</v>
      </c>
      <c r="D114" s="50">
        <f>SUM(receitas_recorrentes!B:B)+SUMIF(receitas_pontuais!E:E,B114,receitas_pontuais!B:B)</f>
        <v>56919</v>
      </c>
      <c r="E114" s="50">
        <f t="shared" si="2"/>
        <v>22906</v>
      </c>
      <c r="F114" s="49">
        <f>IFERROR(SUMIF(contas!G:G, B114, contas!B:B),0)</f>
        <v>0</v>
      </c>
      <c r="G114" s="51">
        <f>SUMIFS(previsoes!D:D, previsoes!E:E, "&lt;=" &amp; EOMONTH(DATEVALUE(B114&amp;"-01"),0), previsoes!F:F, "&gt;=" &amp; DATEVALUE(B114&amp;"-01"))</f>
        <v>0</v>
      </c>
      <c r="H114" s="52">
        <f t="shared" si="5"/>
        <v>160491.8958</v>
      </c>
      <c r="I114" s="49">
        <f t="shared" si="3"/>
        <v>22906</v>
      </c>
      <c r="J114" s="52">
        <f>IF(A114&lt;&gt;"",SUMIFS(metas!N:N, metas!E:E, "&gt;=" &amp; DATEVALUE(B114&amp;"-01"),metas!D:D, "&lt;=" &amp; DATEVALUE(B114&amp;"-01")),"")</f>
        <v>3182.813937</v>
      </c>
      <c r="K114" s="49">
        <f t="shared" si="4"/>
        <v>19723.18606</v>
      </c>
      <c r="L114" s="49">
        <f t="shared" si="6"/>
        <v>1592603.368</v>
      </c>
      <c r="M114" s="49">
        <f>IF(A114&lt;&gt;"",IF(COUNTIF(investimento!F:F, B114) &gt; 0, SUM(investimento!B:B)+I114, M113+I114),"")</f>
        <v>2371036.681</v>
      </c>
    </row>
    <row r="115" ht="22.5" customHeight="1">
      <c r="A115" s="47">
        <v>49341.0</v>
      </c>
      <c r="B115" s="48" t="str">
        <f t="shared" si="1"/>
        <v>2035-02</v>
      </c>
      <c r="C115" s="49">
        <f>SUMIF(despesas_recorrentes!C:C, "&gt;="&amp;A115,despesas_recorrentes!B:B) 
+SUMIF(despesas_recorrentes!C:C, "",despesas_recorrentes!B:B)
-despesas_recorrentes!$B$12
+IF(SUMIF(gasto_cartao!E:E,saldo!B115,gasto_cartao!B:B)&gt;despesas_recorrentes!$B$12, SUMIF(gasto_cartao!E:E,saldo!B115,gasto_cartao!B:B),despesas_recorrentes!$B$12)</f>
        <v>34013</v>
      </c>
      <c r="D115" s="50">
        <f>SUM(receitas_recorrentes!B:B)+SUMIF(receitas_pontuais!E:E,B115,receitas_pontuais!B:B)</f>
        <v>56919</v>
      </c>
      <c r="E115" s="50">
        <f t="shared" si="2"/>
        <v>22906</v>
      </c>
      <c r="F115" s="49">
        <f>IFERROR(SUMIF(contas!G:G, B115, contas!B:B),0)</f>
        <v>0</v>
      </c>
      <c r="G115" s="51">
        <f>SUMIFS(previsoes!D:D, previsoes!E:E, "&lt;=" &amp; EOMONTH(DATEVALUE(B115&amp;"-01"),0), previsoes!F:F, "&gt;=" &amp; DATEVALUE(B115&amp;"-01"))</f>
        <v>0</v>
      </c>
      <c r="H115" s="52">
        <f t="shared" si="5"/>
        <v>160491.8958</v>
      </c>
      <c r="I115" s="49">
        <f t="shared" si="3"/>
        <v>22906</v>
      </c>
      <c r="J115" s="52">
        <f>IF(A115&lt;&gt;"",SUMIFS(metas!N:N, metas!E:E, "&gt;=" &amp; DATEVALUE(B115&amp;"-01"),metas!D:D, "&lt;=" &amp; DATEVALUE(B115&amp;"-01")),"")</f>
        <v>3182.813937</v>
      </c>
      <c r="K115" s="49">
        <f t="shared" si="4"/>
        <v>19723.18606</v>
      </c>
      <c r="L115" s="49">
        <f t="shared" si="6"/>
        <v>1612326.554</v>
      </c>
      <c r="M115" s="49">
        <f>IF(A115&lt;&gt;"",IF(COUNTIF(investimento!F:F, B115) &gt; 0, SUM(investimento!B:B)+I115, M114+I115),"")</f>
        <v>2393942.681</v>
      </c>
    </row>
    <row r="116" ht="22.5" customHeight="1">
      <c r="A116" s="47">
        <v>49369.0</v>
      </c>
      <c r="B116" s="48" t="str">
        <f t="shared" si="1"/>
        <v>2035-03</v>
      </c>
      <c r="C116" s="49">
        <f>SUMIF(despesas_recorrentes!C:C, "&gt;="&amp;A116,despesas_recorrentes!B:B) 
+SUMIF(despesas_recorrentes!C:C, "",despesas_recorrentes!B:B)
-despesas_recorrentes!$B$12
+IF(SUMIF(gasto_cartao!E:E,saldo!B116,gasto_cartao!B:B)&gt;despesas_recorrentes!$B$12, SUMIF(gasto_cartao!E:E,saldo!B116,gasto_cartao!B:B),despesas_recorrentes!$B$12)</f>
        <v>34013</v>
      </c>
      <c r="D116" s="50">
        <f>SUM(receitas_recorrentes!B:B)+SUMIF(receitas_pontuais!E:E,B116,receitas_pontuais!B:B)</f>
        <v>56919</v>
      </c>
      <c r="E116" s="50">
        <f t="shared" si="2"/>
        <v>22906</v>
      </c>
      <c r="F116" s="49">
        <f>IFERROR(SUMIF(contas!G:G, B116, contas!B:B),0)</f>
        <v>0</v>
      </c>
      <c r="G116" s="51">
        <f>SUMIFS(previsoes!D:D, previsoes!E:E, "&lt;=" &amp; EOMONTH(DATEVALUE(B116&amp;"-01"),0), previsoes!F:F, "&gt;=" &amp; DATEVALUE(B116&amp;"-01"))</f>
        <v>0</v>
      </c>
      <c r="H116" s="52">
        <f t="shared" si="5"/>
        <v>160491.8958</v>
      </c>
      <c r="I116" s="49">
        <f t="shared" si="3"/>
        <v>22906</v>
      </c>
      <c r="J116" s="52">
        <f>IF(A116&lt;&gt;"",SUMIFS(metas!N:N, metas!E:E, "&gt;=" &amp; DATEVALUE(B116&amp;"-01"),metas!D:D, "&lt;=" &amp; DATEVALUE(B116&amp;"-01")),"")</f>
        <v>3182.813937</v>
      </c>
      <c r="K116" s="49">
        <f t="shared" si="4"/>
        <v>19723.18606</v>
      </c>
      <c r="L116" s="49">
        <f t="shared" si="6"/>
        <v>1632049.74</v>
      </c>
      <c r="M116" s="49">
        <f>IF(A116&lt;&gt;"",IF(COUNTIF(investimento!F:F, B116) &gt; 0, SUM(investimento!B:B)+I116, M115+I116),"")</f>
        <v>2416848.681</v>
      </c>
    </row>
    <row r="117" ht="22.5" customHeight="1">
      <c r="A117" s="47">
        <v>49400.0</v>
      </c>
      <c r="B117" s="48" t="str">
        <f t="shared" si="1"/>
        <v>2035-04</v>
      </c>
      <c r="C117" s="49">
        <f>SUMIF(despesas_recorrentes!C:C, "&gt;="&amp;A117,despesas_recorrentes!B:B) 
+SUMIF(despesas_recorrentes!C:C, "",despesas_recorrentes!B:B)
-despesas_recorrentes!$B$12
+IF(SUMIF(gasto_cartao!E:E,saldo!B117,gasto_cartao!B:B)&gt;despesas_recorrentes!$B$12, SUMIF(gasto_cartao!E:E,saldo!B117,gasto_cartao!B:B),despesas_recorrentes!$B$12)</f>
        <v>34013</v>
      </c>
      <c r="D117" s="50">
        <f>SUM(receitas_recorrentes!B:B)+SUMIF(receitas_pontuais!E:E,B117,receitas_pontuais!B:B)</f>
        <v>56919</v>
      </c>
      <c r="E117" s="50">
        <f t="shared" si="2"/>
        <v>22906</v>
      </c>
      <c r="F117" s="49">
        <f>IFERROR(SUMIF(contas!G:G, B117, contas!B:B),0)</f>
        <v>0</v>
      </c>
      <c r="G117" s="51">
        <f>SUMIFS(previsoes!D:D, previsoes!E:E, "&lt;=" &amp; EOMONTH(DATEVALUE(B117&amp;"-01"),0), previsoes!F:F, "&gt;=" &amp; DATEVALUE(B117&amp;"-01"))</f>
        <v>0</v>
      </c>
      <c r="H117" s="52">
        <f t="shared" si="5"/>
        <v>160491.8958</v>
      </c>
      <c r="I117" s="49">
        <f t="shared" si="3"/>
        <v>22906</v>
      </c>
      <c r="J117" s="52">
        <f>IF(A117&lt;&gt;"",SUMIFS(metas!N:N, metas!E:E, "&gt;=" &amp; DATEVALUE(B117&amp;"-01"),metas!D:D, "&lt;=" &amp; DATEVALUE(B117&amp;"-01")),"")</f>
        <v>3182.813937</v>
      </c>
      <c r="K117" s="49">
        <f t="shared" si="4"/>
        <v>19723.18606</v>
      </c>
      <c r="L117" s="49">
        <f t="shared" si="6"/>
        <v>1651772.926</v>
      </c>
      <c r="M117" s="49">
        <f>IF(A117&lt;&gt;"",IF(COUNTIF(investimento!F:F, B117) &gt; 0, SUM(investimento!B:B)+I117, M116+I117),"")</f>
        <v>2439754.681</v>
      </c>
    </row>
    <row r="118" ht="22.5" customHeight="1">
      <c r="A118" s="47">
        <v>49430.0</v>
      </c>
      <c r="B118" s="48" t="str">
        <f t="shared" si="1"/>
        <v>2035-05</v>
      </c>
      <c r="C118" s="49">
        <f>SUMIF(despesas_recorrentes!C:C, "&gt;="&amp;A118,despesas_recorrentes!B:B) 
+SUMIF(despesas_recorrentes!C:C, "",despesas_recorrentes!B:B)
-despesas_recorrentes!$B$12
+IF(SUMIF(gasto_cartao!E:E,saldo!B118,gasto_cartao!B:B)&gt;despesas_recorrentes!$B$12, SUMIF(gasto_cartao!E:E,saldo!B118,gasto_cartao!B:B),despesas_recorrentes!$B$12)</f>
        <v>34013</v>
      </c>
      <c r="D118" s="50">
        <f>SUM(receitas_recorrentes!B:B)+SUMIF(receitas_pontuais!E:E,B118,receitas_pontuais!B:B)</f>
        <v>56919</v>
      </c>
      <c r="E118" s="50">
        <f t="shared" si="2"/>
        <v>22906</v>
      </c>
      <c r="F118" s="49">
        <f>IFERROR(SUMIF(contas!G:G, B118, contas!B:B),0)</f>
        <v>0</v>
      </c>
      <c r="G118" s="51">
        <f>SUMIFS(previsoes!D:D, previsoes!E:E, "&lt;=" &amp; EOMONTH(DATEVALUE(B118&amp;"-01"),0), previsoes!F:F, "&gt;=" &amp; DATEVALUE(B118&amp;"-01"))</f>
        <v>0</v>
      </c>
      <c r="H118" s="52">
        <f t="shared" si="5"/>
        <v>160491.8958</v>
      </c>
      <c r="I118" s="49">
        <f t="shared" si="3"/>
        <v>22906</v>
      </c>
      <c r="J118" s="52">
        <f>IF(A118&lt;&gt;"",SUMIFS(metas!N:N, metas!E:E, "&gt;=" &amp; DATEVALUE(B118&amp;"-01"),metas!D:D, "&lt;=" &amp; DATEVALUE(B118&amp;"-01")),"")</f>
        <v>3182.813937</v>
      </c>
      <c r="K118" s="49">
        <f t="shared" si="4"/>
        <v>19723.18606</v>
      </c>
      <c r="L118" s="49">
        <f t="shared" si="6"/>
        <v>1671496.112</v>
      </c>
      <c r="M118" s="49">
        <f>IF(A118&lt;&gt;"",IF(COUNTIF(investimento!F:F, B118) &gt; 0, SUM(investimento!B:B)+I118, M117+I118),"")</f>
        <v>2462660.681</v>
      </c>
    </row>
    <row r="119" ht="22.5" customHeight="1">
      <c r="A119" s="47">
        <v>49461.0</v>
      </c>
      <c r="B119" s="48" t="str">
        <f t="shared" si="1"/>
        <v>2035-06</v>
      </c>
      <c r="C119" s="49">
        <f>SUMIF(despesas_recorrentes!C:C, "&gt;="&amp;A119,despesas_recorrentes!B:B) 
+SUMIF(despesas_recorrentes!C:C, "",despesas_recorrentes!B:B)
-despesas_recorrentes!$B$12
+IF(SUMIF(gasto_cartao!E:E,saldo!B119,gasto_cartao!B:B)&gt;despesas_recorrentes!$B$12, SUMIF(gasto_cartao!E:E,saldo!B119,gasto_cartao!B:B),despesas_recorrentes!$B$12)</f>
        <v>34013</v>
      </c>
      <c r="D119" s="50">
        <f>SUM(receitas_recorrentes!B:B)+SUMIF(receitas_pontuais!E:E,B119,receitas_pontuais!B:B)</f>
        <v>56919</v>
      </c>
      <c r="E119" s="50">
        <f t="shared" si="2"/>
        <v>22906</v>
      </c>
      <c r="F119" s="49">
        <f>IFERROR(SUMIF(contas!G:G, B119, contas!B:B),0)</f>
        <v>0</v>
      </c>
      <c r="G119" s="51">
        <f>SUMIFS(previsoes!D:D, previsoes!E:E, "&lt;=" &amp; EOMONTH(DATEVALUE(B119&amp;"-01"),0), previsoes!F:F, "&gt;=" &amp; DATEVALUE(B119&amp;"-01"))</f>
        <v>0</v>
      </c>
      <c r="H119" s="52">
        <f t="shared" si="5"/>
        <v>160491.8958</v>
      </c>
      <c r="I119" s="49">
        <f t="shared" si="3"/>
        <v>22906</v>
      </c>
      <c r="J119" s="52">
        <f>IF(A119&lt;&gt;"",SUMIFS(metas!N:N, metas!E:E, "&gt;=" &amp; DATEVALUE(B119&amp;"-01"),metas!D:D, "&lt;=" &amp; DATEVALUE(B119&amp;"-01")),"")</f>
        <v>3182.813937</v>
      </c>
      <c r="K119" s="49">
        <f t="shared" si="4"/>
        <v>19723.18606</v>
      </c>
      <c r="L119" s="49">
        <f t="shared" si="6"/>
        <v>1691219.298</v>
      </c>
      <c r="M119" s="49">
        <f>IF(A119&lt;&gt;"",IF(COUNTIF(investimento!F:F, B119) &gt; 0, SUM(investimento!B:B)+I119, M118+I119),"")</f>
        <v>2485566.681</v>
      </c>
    </row>
    <row r="120" ht="22.5" customHeight="1">
      <c r="A120" s="47">
        <v>49491.0</v>
      </c>
      <c r="B120" s="48" t="str">
        <f t="shared" si="1"/>
        <v>2035-07</v>
      </c>
      <c r="C120" s="49">
        <f>SUMIF(despesas_recorrentes!C:C, "&gt;="&amp;A120,despesas_recorrentes!B:B) 
+SUMIF(despesas_recorrentes!C:C, "",despesas_recorrentes!B:B)
-despesas_recorrentes!$B$12
+IF(SUMIF(gasto_cartao!E:E,saldo!B120,gasto_cartao!B:B)&gt;despesas_recorrentes!$B$12, SUMIF(gasto_cartao!E:E,saldo!B120,gasto_cartao!B:B),despesas_recorrentes!$B$12)</f>
        <v>34013</v>
      </c>
      <c r="D120" s="50">
        <f>SUM(receitas_recorrentes!B:B)+SUMIF(receitas_pontuais!E:E,B120,receitas_pontuais!B:B)</f>
        <v>56919</v>
      </c>
      <c r="E120" s="50">
        <f t="shared" si="2"/>
        <v>22906</v>
      </c>
      <c r="F120" s="49">
        <f>IFERROR(SUMIF(contas!G:G, B120, contas!B:B),0)</f>
        <v>0</v>
      </c>
      <c r="G120" s="51">
        <f>SUMIFS(previsoes!D:D, previsoes!E:E, "&lt;=" &amp; EOMONTH(DATEVALUE(B120&amp;"-01"),0), previsoes!F:F, "&gt;=" &amp; DATEVALUE(B120&amp;"-01"))</f>
        <v>0</v>
      </c>
      <c r="H120" s="52">
        <f t="shared" si="5"/>
        <v>160491.8958</v>
      </c>
      <c r="I120" s="49">
        <f t="shared" si="3"/>
        <v>22906</v>
      </c>
      <c r="J120" s="52">
        <f>IF(A120&lt;&gt;"",SUMIFS(metas!N:N, metas!E:E, "&gt;=" &amp; DATEVALUE(B120&amp;"-01"),metas!D:D, "&lt;=" &amp; DATEVALUE(B120&amp;"-01")),"")</f>
        <v>3182.813937</v>
      </c>
      <c r="K120" s="49">
        <f t="shared" si="4"/>
        <v>19723.18606</v>
      </c>
      <c r="L120" s="49">
        <f t="shared" si="6"/>
        <v>1710942.484</v>
      </c>
      <c r="M120" s="49">
        <f>IF(A120&lt;&gt;"",IF(COUNTIF(investimento!F:F, B120) &gt; 0, SUM(investimento!B:B)+I120, M119+I120),"")</f>
        <v>2508472.681</v>
      </c>
    </row>
    <row r="121" ht="22.5" customHeight="1">
      <c r="A121" s="47">
        <v>49522.0</v>
      </c>
      <c r="B121" s="48" t="str">
        <f t="shared" si="1"/>
        <v>2035-08</v>
      </c>
      <c r="C121" s="49">
        <f>SUMIF(despesas_recorrentes!C:C, "&gt;="&amp;A121,despesas_recorrentes!B:B) 
+SUMIF(despesas_recorrentes!C:C, "",despesas_recorrentes!B:B)
-despesas_recorrentes!$B$12
+IF(SUMIF(gasto_cartao!E:E,saldo!B121,gasto_cartao!B:B)&gt;despesas_recorrentes!$B$12, SUMIF(gasto_cartao!E:E,saldo!B121,gasto_cartao!B:B),despesas_recorrentes!$B$12)</f>
        <v>34013</v>
      </c>
      <c r="D121" s="50">
        <f>SUM(receitas_recorrentes!B:B)+SUMIF(receitas_pontuais!E:E,B121,receitas_pontuais!B:B)</f>
        <v>56919</v>
      </c>
      <c r="E121" s="50">
        <f t="shared" si="2"/>
        <v>22906</v>
      </c>
      <c r="F121" s="49">
        <f>IFERROR(SUMIF(contas!G:G, B121, contas!B:B),0)</f>
        <v>0</v>
      </c>
      <c r="G121" s="51">
        <f>SUMIFS(previsoes!D:D, previsoes!E:E, "&lt;=" &amp; EOMONTH(DATEVALUE(B121&amp;"-01"),0), previsoes!F:F, "&gt;=" &amp; DATEVALUE(B121&amp;"-01"))</f>
        <v>0</v>
      </c>
      <c r="H121" s="52">
        <f t="shared" si="5"/>
        <v>160491.8958</v>
      </c>
      <c r="I121" s="49">
        <f t="shared" si="3"/>
        <v>22906</v>
      </c>
      <c r="J121" s="52">
        <f>IF(A121&lt;&gt;"",SUMIFS(metas!N:N, metas!E:E, "&gt;=" &amp; DATEVALUE(B121&amp;"-01"),metas!D:D, "&lt;=" &amp; DATEVALUE(B121&amp;"-01")),"")</f>
        <v>3182.813937</v>
      </c>
      <c r="K121" s="49">
        <f t="shared" si="4"/>
        <v>19723.18606</v>
      </c>
      <c r="L121" s="49">
        <f t="shared" si="6"/>
        <v>1730665.67</v>
      </c>
      <c r="M121" s="49">
        <f>IF(A121&lt;&gt;"",IF(COUNTIF(investimento!F:F, B121) &gt; 0, SUM(investimento!B:B)+I121, M120+I121),"")</f>
        <v>2531378.681</v>
      </c>
    </row>
    <row r="122" ht="22.5" customHeight="1">
      <c r="A122" s="47">
        <v>49553.0</v>
      </c>
      <c r="B122" s="48" t="str">
        <f t="shared" si="1"/>
        <v>2035-09</v>
      </c>
      <c r="C122" s="49">
        <f>SUMIF(despesas_recorrentes!C:C, "&gt;="&amp;A122,despesas_recorrentes!B:B) 
+SUMIF(despesas_recorrentes!C:C, "",despesas_recorrentes!B:B)
-despesas_recorrentes!$B$12
+IF(SUMIF(gasto_cartao!E:E,saldo!B122,gasto_cartao!B:B)&gt;despesas_recorrentes!$B$12, SUMIF(gasto_cartao!E:E,saldo!B122,gasto_cartao!B:B),despesas_recorrentes!$B$12)</f>
        <v>34013</v>
      </c>
      <c r="D122" s="50">
        <f>SUM(receitas_recorrentes!B:B)+SUMIF(receitas_pontuais!E:E,B122,receitas_pontuais!B:B)</f>
        <v>56919</v>
      </c>
      <c r="E122" s="50">
        <f t="shared" si="2"/>
        <v>22906</v>
      </c>
      <c r="F122" s="49">
        <f>IFERROR(SUMIF(contas!G:G, B122, contas!B:B),0)</f>
        <v>0</v>
      </c>
      <c r="G122" s="51">
        <f>SUMIFS(previsoes!D:D, previsoes!E:E, "&lt;=" &amp; EOMONTH(DATEVALUE(B122&amp;"-01"),0), previsoes!F:F, "&gt;=" &amp; DATEVALUE(B122&amp;"-01"))</f>
        <v>0</v>
      </c>
      <c r="H122" s="52">
        <f t="shared" si="5"/>
        <v>160491.8958</v>
      </c>
      <c r="I122" s="49">
        <f t="shared" si="3"/>
        <v>22906</v>
      </c>
      <c r="J122" s="52">
        <f>IF(A122&lt;&gt;"",SUMIFS(metas!N:N, metas!E:E, "&gt;=" &amp; DATEVALUE(B122&amp;"-01"),metas!D:D, "&lt;=" &amp; DATEVALUE(B122&amp;"-01")),"")</f>
        <v>3182.813937</v>
      </c>
      <c r="K122" s="49">
        <f t="shared" si="4"/>
        <v>19723.18606</v>
      </c>
      <c r="L122" s="49">
        <f t="shared" si="6"/>
        <v>1750388.856</v>
      </c>
      <c r="M122" s="49">
        <f>IF(A122&lt;&gt;"",IF(COUNTIF(investimento!F:F, B122) &gt; 0, SUM(investimento!B:B)+I122, M121+I122),"")</f>
        <v>2554284.681</v>
      </c>
    </row>
    <row r="123" ht="22.5" customHeight="1">
      <c r="A123" s="47">
        <v>49583.0</v>
      </c>
      <c r="B123" s="48" t="str">
        <f t="shared" si="1"/>
        <v>2035-10</v>
      </c>
      <c r="C123" s="49">
        <f>SUMIF(despesas_recorrentes!C:C, "&gt;="&amp;A123,despesas_recorrentes!B:B) 
+SUMIF(despesas_recorrentes!C:C, "",despesas_recorrentes!B:B)
-despesas_recorrentes!$B$12
+IF(SUMIF(gasto_cartao!E:E,saldo!B123,gasto_cartao!B:B)&gt;despesas_recorrentes!$B$12, SUMIF(gasto_cartao!E:E,saldo!B123,gasto_cartao!B:B),despesas_recorrentes!$B$12)</f>
        <v>34013</v>
      </c>
      <c r="D123" s="50">
        <f>SUM(receitas_recorrentes!B:B)+SUMIF(receitas_pontuais!E:E,B123,receitas_pontuais!B:B)</f>
        <v>56919</v>
      </c>
      <c r="E123" s="50">
        <f t="shared" si="2"/>
        <v>22906</v>
      </c>
      <c r="F123" s="49">
        <f>IFERROR(SUMIF(contas!G:G, B123, contas!B:B),0)</f>
        <v>0</v>
      </c>
      <c r="G123" s="51">
        <f>SUMIFS(previsoes!D:D, previsoes!E:E, "&lt;=" &amp; EOMONTH(DATEVALUE(B123&amp;"-01"),0), previsoes!F:F, "&gt;=" &amp; DATEVALUE(B123&amp;"-01"))</f>
        <v>0</v>
      </c>
      <c r="H123" s="52">
        <f t="shared" si="5"/>
        <v>160491.8958</v>
      </c>
      <c r="I123" s="49">
        <f t="shared" si="3"/>
        <v>22906</v>
      </c>
      <c r="J123" s="52">
        <f>IF(A123&lt;&gt;"",SUMIFS(metas!N:N, metas!E:E, "&gt;=" &amp; DATEVALUE(B123&amp;"-01"),metas!D:D, "&lt;=" &amp; DATEVALUE(B123&amp;"-01")),"")</f>
        <v>3182.813937</v>
      </c>
      <c r="K123" s="49">
        <f t="shared" si="4"/>
        <v>19723.18606</v>
      </c>
      <c r="L123" s="49">
        <f t="shared" si="6"/>
        <v>1770112.042</v>
      </c>
      <c r="M123" s="49">
        <f>IF(A123&lt;&gt;"",IF(COUNTIF(investimento!F:F, B123) &gt; 0, SUM(investimento!B:B)+I123, M122+I123),"")</f>
        <v>2577190.681</v>
      </c>
    </row>
    <row r="124" ht="22.5" customHeight="1">
      <c r="A124" s="47">
        <v>49614.0</v>
      </c>
      <c r="B124" s="48" t="str">
        <f t="shared" si="1"/>
        <v>2035-11</v>
      </c>
      <c r="C124" s="49">
        <f>SUMIF(despesas_recorrentes!C:C, "&gt;="&amp;A124,despesas_recorrentes!B:B) 
+SUMIF(despesas_recorrentes!C:C, "",despesas_recorrentes!B:B)
-despesas_recorrentes!$B$12
+IF(SUMIF(gasto_cartao!E:E,saldo!B124,gasto_cartao!B:B)&gt;despesas_recorrentes!$B$12, SUMIF(gasto_cartao!E:E,saldo!B124,gasto_cartao!B:B),despesas_recorrentes!$B$12)</f>
        <v>34013</v>
      </c>
      <c r="D124" s="50">
        <f>SUM(receitas_recorrentes!B:B)+SUMIF(receitas_pontuais!E:E,B124,receitas_pontuais!B:B)</f>
        <v>56919</v>
      </c>
      <c r="E124" s="50">
        <f t="shared" si="2"/>
        <v>22906</v>
      </c>
      <c r="F124" s="49">
        <f>IFERROR(SUMIF(contas!G:G, B124, contas!B:B),0)</f>
        <v>0</v>
      </c>
      <c r="G124" s="51">
        <f>SUMIFS(previsoes!D:D, previsoes!E:E, "&lt;=" &amp; EOMONTH(DATEVALUE(B124&amp;"-01"),0), previsoes!F:F, "&gt;=" &amp; DATEVALUE(B124&amp;"-01"))</f>
        <v>0</v>
      </c>
      <c r="H124" s="52">
        <f t="shared" si="5"/>
        <v>160491.8958</v>
      </c>
      <c r="I124" s="49">
        <f t="shared" si="3"/>
        <v>22906</v>
      </c>
      <c r="J124" s="52">
        <f>IF(A124&lt;&gt;"",SUMIFS(metas!N:N, metas!E:E, "&gt;=" &amp; DATEVALUE(B124&amp;"-01"),metas!D:D, "&lt;=" &amp; DATEVALUE(B124&amp;"-01")),"")</f>
        <v>3182.813937</v>
      </c>
      <c r="K124" s="49">
        <f t="shared" si="4"/>
        <v>19723.18606</v>
      </c>
      <c r="L124" s="49">
        <f t="shared" si="6"/>
        <v>1789835.228</v>
      </c>
      <c r="M124" s="49">
        <f>IF(A124&lt;&gt;"",IF(COUNTIF(investimento!F:F, B124) &gt; 0, SUM(investimento!B:B)+I124, M123+I124),"")</f>
        <v>2600096.681</v>
      </c>
    </row>
    <row r="125" ht="22.5" customHeight="1">
      <c r="A125" s="47">
        <v>49644.0</v>
      </c>
      <c r="B125" s="48" t="str">
        <f t="shared" si="1"/>
        <v>2035-12</v>
      </c>
      <c r="C125" s="49">
        <f>SUMIF(despesas_recorrentes!C:C, "&gt;="&amp;A125,despesas_recorrentes!B:B) 
+SUMIF(despesas_recorrentes!C:C, "",despesas_recorrentes!B:B)
-despesas_recorrentes!$B$12
+IF(SUMIF(gasto_cartao!E:E,saldo!B125,gasto_cartao!B:B)&gt;despesas_recorrentes!$B$12, SUMIF(gasto_cartao!E:E,saldo!B125,gasto_cartao!B:B),despesas_recorrentes!$B$12)</f>
        <v>34013</v>
      </c>
      <c r="D125" s="50">
        <f>SUM(receitas_recorrentes!B:B)+SUMIF(receitas_pontuais!E:E,B125,receitas_pontuais!B:B)</f>
        <v>56919</v>
      </c>
      <c r="E125" s="50">
        <f t="shared" si="2"/>
        <v>22906</v>
      </c>
      <c r="F125" s="49">
        <f>IFERROR(SUMIF(contas!G:G, B125, contas!B:B),0)</f>
        <v>0</v>
      </c>
      <c r="G125" s="51">
        <f>SUMIFS(previsoes!D:D, previsoes!E:E, "&lt;=" &amp; EOMONTH(DATEVALUE(B125&amp;"-01"),0), previsoes!F:F, "&gt;=" &amp; DATEVALUE(B125&amp;"-01"))</f>
        <v>0</v>
      </c>
      <c r="H125" s="52">
        <f t="shared" si="5"/>
        <v>160491.8958</v>
      </c>
      <c r="I125" s="49">
        <f t="shared" si="3"/>
        <v>22906</v>
      </c>
      <c r="J125" s="52">
        <f>IF(A125&lt;&gt;"",SUMIFS(metas!N:N, metas!E:E, "&gt;=" &amp; DATEVALUE(B125&amp;"-01"),metas!D:D, "&lt;=" &amp; DATEVALUE(B125&amp;"-01")),"")</f>
        <v>3182.813937</v>
      </c>
      <c r="K125" s="49">
        <f t="shared" si="4"/>
        <v>19723.18606</v>
      </c>
      <c r="L125" s="49">
        <f t="shared" si="6"/>
        <v>1809558.414</v>
      </c>
      <c r="M125" s="49">
        <f>IF(A125&lt;&gt;"",IF(COUNTIF(investimento!F:F, B125) &gt; 0, SUM(investimento!B:B)+I125, M124+I125),"")</f>
        <v>2623002.681</v>
      </c>
    </row>
    <row r="126" ht="22.5" customHeight="1">
      <c r="A126" s="47">
        <v>49675.0</v>
      </c>
      <c r="B126" s="48" t="str">
        <f t="shared" si="1"/>
        <v>2036-01</v>
      </c>
      <c r="C126" s="49">
        <f>SUMIF(despesas_recorrentes!C:C, "&gt;="&amp;A126,despesas_recorrentes!B:B) 
+SUMIF(despesas_recorrentes!C:C, "",despesas_recorrentes!B:B)
-despesas_recorrentes!$B$12
+IF(SUMIF(gasto_cartao!E:E,saldo!B126,gasto_cartao!B:B)&gt;despesas_recorrentes!$B$12, SUMIF(gasto_cartao!E:E,saldo!B126,gasto_cartao!B:B),despesas_recorrentes!$B$12)</f>
        <v>34013</v>
      </c>
      <c r="D126" s="50">
        <f>SUM(receitas_recorrentes!B:B)+SUMIF(receitas_pontuais!E:E,B126,receitas_pontuais!B:B)</f>
        <v>56919</v>
      </c>
      <c r="E126" s="50">
        <f t="shared" si="2"/>
        <v>22906</v>
      </c>
      <c r="F126" s="49">
        <f>IFERROR(SUMIF(contas!G:G, B126, contas!B:B),0)</f>
        <v>0</v>
      </c>
      <c r="G126" s="51">
        <f>SUMIFS(previsoes!D:D, previsoes!E:E, "&lt;=" &amp; EOMONTH(DATEVALUE(B126&amp;"-01"),0), previsoes!F:F, "&gt;=" &amp; DATEVALUE(B126&amp;"-01"))</f>
        <v>0</v>
      </c>
      <c r="H126" s="52">
        <f t="shared" si="5"/>
        <v>160491.8958</v>
      </c>
      <c r="I126" s="49">
        <f t="shared" si="3"/>
        <v>22906</v>
      </c>
      <c r="J126" s="52">
        <f>IF(A126&lt;&gt;"",SUMIFS(metas!N:N, metas!E:E, "&gt;=" &amp; DATEVALUE(B126&amp;"-01"),metas!D:D, "&lt;=" &amp; DATEVALUE(B126&amp;"-01")),"")</f>
        <v>3182.813937</v>
      </c>
      <c r="K126" s="49">
        <f t="shared" si="4"/>
        <v>19723.18606</v>
      </c>
      <c r="L126" s="49">
        <f t="shared" si="6"/>
        <v>1829281.6</v>
      </c>
      <c r="M126" s="49">
        <f>IF(A126&lt;&gt;"",IF(COUNTIF(investimento!F:F, B126) &gt; 0, SUM(investimento!B:B)+I126, M125+I126),"")</f>
        <v>2645908.681</v>
      </c>
    </row>
    <row r="127" ht="22.5" customHeight="1">
      <c r="A127" s="47">
        <v>49706.0</v>
      </c>
      <c r="B127" s="48" t="str">
        <f t="shared" si="1"/>
        <v>2036-02</v>
      </c>
      <c r="C127" s="49">
        <f>SUMIF(despesas_recorrentes!C:C, "&gt;="&amp;A127,despesas_recorrentes!B:B) 
+SUMIF(despesas_recorrentes!C:C, "",despesas_recorrentes!B:B)
-despesas_recorrentes!$B$12
+IF(SUMIF(gasto_cartao!E:E,saldo!B127,gasto_cartao!B:B)&gt;despesas_recorrentes!$B$12, SUMIF(gasto_cartao!E:E,saldo!B127,gasto_cartao!B:B),despesas_recorrentes!$B$12)</f>
        <v>34013</v>
      </c>
      <c r="D127" s="50">
        <f>SUM(receitas_recorrentes!B:B)+SUMIF(receitas_pontuais!E:E,B127,receitas_pontuais!B:B)</f>
        <v>56919</v>
      </c>
      <c r="E127" s="50">
        <f t="shared" si="2"/>
        <v>22906</v>
      </c>
      <c r="F127" s="49">
        <f>IFERROR(SUMIF(contas!G:G, B127, contas!B:B),0)</f>
        <v>0</v>
      </c>
      <c r="G127" s="51">
        <f>SUMIFS(previsoes!D:D, previsoes!E:E, "&lt;=" &amp; EOMONTH(DATEVALUE(B127&amp;"-01"),0), previsoes!F:F, "&gt;=" &amp; DATEVALUE(B127&amp;"-01"))</f>
        <v>0</v>
      </c>
      <c r="H127" s="52">
        <f t="shared" si="5"/>
        <v>160491.8958</v>
      </c>
      <c r="I127" s="49">
        <f t="shared" si="3"/>
        <v>22906</v>
      </c>
      <c r="J127" s="52">
        <f>IF(A127&lt;&gt;"",SUMIFS(metas!N:N, metas!E:E, "&gt;=" &amp; DATEVALUE(B127&amp;"-01"),metas!D:D, "&lt;=" &amp; DATEVALUE(B127&amp;"-01")),"")</f>
        <v>3182.813937</v>
      </c>
      <c r="K127" s="49">
        <f t="shared" si="4"/>
        <v>19723.18606</v>
      </c>
      <c r="L127" s="49">
        <f t="shared" si="6"/>
        <v>1849004.786</v>
      </c>
      <c r="M127" s="49">
        <f>IF(A127&lt;&gt;"",IF(COUNTIF(investimento!F:F, B127) &gt; 0, SUM(investimento!B:B)+I127, M126+I127),"")</f>
        <v>2668814.681</v>
      </c>
    </row>
    <row r="128" ht="22.5" customHeight="1">
      <c r="A128" s="47">
        <v>49735.0</v>
      </c>
      <c r="B128" s="48" t="str">
        <f t="shared" si="1"/>
        <v>2036-03</v>
      </c>
      <c r="C128" s="49">
        <f>SUMIF(despesas_recorrentes!C:C, "&gt;="&amp;A128,despesas_recorrentes!B:B) 
+SUMIF(despesas_recorrentes!C:C, "",despesas_recorrentes!B:B)
-despesas_recorrentes!$B$12
+IF(SUMIF(gasto_cartao!E:E,saldo!B128,gasto_cartao!B:B)&gt;despesas_recorrentes!$B$12, SUMIF(gasto_cartao!E:E,saldo!B128,gasto_cartao!B:B),despesas_recorrentes!$B$12)</f>
        <v>34013</v>
      </c>
      <c r="D128" s="50">
        <f>SUM(receitas_recorrentes!B:B)+SUMIF(receitas_pontuais!E:E,B128,receitas_pontuais!B:B)</f>
        <v>56919</v>
      </c>
      <c r="E128" s="50">
        <f t="shared" si="2"/>
        <v>22906</v>
      </c>
      <c r="F128" s="49">
        <f>IFERROR(SUMIF(contas!G:G, B128, contas!B:B),0)</f>
        <v>0</v>
      </c>
      <c r="G128" s="51">
        <f>SUMIFS(previsoes!D:D, previsoes!E:E, "&lt;=" &amp; EOMONTH(DATEVALUE(B128&amp;"-01"),0), previsoes!F:F, "&gt;=" &amp; DATEVALUE(B128&amp;"-01"))</f>
        <v>0</v>
      </c>
      <c r="H128" s="52">
        <f t="shared" si="5"/>
        <v>160491.8958</v>
      </c>
      <c r="I128" s="49">
        <f t="shared" si="3"/>
        <v>22906</v>
      </c>
      <c r="J128" s="52">
        <f>IF(A128&lt;&gt;"",SUMIFS(metas!N:N, metas!E:E, "&gt;=" &amp; DATEVALUE(B128&amp;"-01"),metas!D:D, "&lt;=" &amp; DATEVALUE(B128&amp;"-01")),"")</f>
        <v>3182.813937</v>
      </c>
      <c r="K128" s="49">
        <f t="shared" si="4"/>
        <v>19723.18606</v>
      </c>
      <c r="L128" s="49">
        <f t="shared" si="6"/>
        <v>1868727.972</v>
      </c>
      <c r="M128" s="49">
        <f>IF(A128&lt;&gt;"",IF(COUNTIF(investimento!F:F, B128) &gt; 0, SUM(investimento!B:B)+I128, M127+I128),"")</f>
        <v>2691720.681</v>
      </c>
    </row>
    <row r="129" ht="22.5" customHeight="1">
      <c r="A129" s="47">
        <v>49766.0</v>
      </c>
      <c r="B129" s="48" t="str">
        <f t="shared" si="1"/>
        <v>2036-04</v>
      </c>
      <c r="C129" s="49">
        <f>SUMIF(despesas_recorrentes!C:C, "&gt;="&amp;A129,despesas_recorrentes!B:B) 
+SUMIF(despesas_recorrentes!C:C, "",despesas_recorrentes!B:B)
-despesas_recorrentes!$B$12
+IF(SUMIF(gasto_cartao!E:E,saldo!B129,gasto_cartao!B:B)&gt;despesas_recorrentes!$B$12, SUMIF(gasto_cartao!E:E,saldo!B129,gasto_cartao!B:B),despesas_recorrentes!$B$12)</f>
        <v>34013</v>
      </c>
      <c r="D129" s="50">
        <f>SUM(receitas_recorrentes!B:B)+SUMIF(receitas_pontuais!E:E,B129,receitas_pontuais!B:B)</f>
        <v>56919</v>
      </c>
      <c r="E129" s="50">
        <f t="shared" si="2"/>
        <v>22906</v>
      </c>
      <c r="F129" s="49">
        <f>IFERROR(SUMIF(contas!G:G, B129, contas!B:B),0)</f>
        <v>0</v>
      </c>
      <c r="G129" s="51">
        <f>SUMIFS(previsoes!D:D, previsoes!E:E, "&lt;=" &amp; EOMONTH(DATEVALUE(B129&amp;"-01"),0), previsoes!F:F, "&gt;=" &amp; DATEVALUE(B129&amp;"-01"))</f>
        <v>0</v>
      </c>
      <c r="H129" s="52">
        <f t="shared" si="5"/>
        <v>160491.8958</v>
      </c>
      <c r="I129" s="49">
        <f t="shared" si="3"/>
        <v>22906</v>
      </c>
      <c r="J129" s="52">
        <f>IF(A129&lt;&gt;"",SUMIFS(metas!N:N, metas!E:E, "&gt;=" &amp; DATEVALUE(B129&amp;"-01"),metas!D:D, "&lt;=" &amp; DATEVALUE(B129&amp;"-01")),"")</f>
        <v>3182.813937</v>
      </c>
      <c r="K129" s="49">
        <f t="shared" si="4"/>
        <v>19723.18606</v>
      </c>
      <c r="L129" s="49">
        <f t="shared" si="6"/>
        <v>1888451.158</v>
      </c>
      <c r="M129" s="49">
        <f>IF(A129&lt;&gt;"",IF(COUNTIF(investimento!F:F, B129) &gt; 0, SUM(investimento!B:B)+I129, M128+I129),"")</f>
        <v>2714626.681</v>
      </c>
    </row>
    <row r="130" ht="22.5" customHeight="1">
      <c r="A130" s="47">
        <v>49796.0</v>
      </c>
      <c r="B130" s="48" t="str">
        <f t="shared" si="1"/>
        <v>2036-05</v>
      </c>
      <c r="C130" s="49">
        <f>SUMIF(despesas_recorrentes!C:C, "&gt;="&amp;A130,despesas_recorrentes!B:B) 
+SUMIF(despesas_recorrentes!C:C, "",despesas_recorrentes!B:B)
-despesas_recorrentes!$B$12
+IF(SUMIF(gasto_cartao!E:E,saldo!B130,gasto_cartao!B:B)&gt;despesas_recorrentes!$B$12, SUMIF(gasto_cartao!E:E,saldo!B130,gasto_cartao!B:B),despesas_recorrentes!$B$12)</f>
        <v>34013</v>
      </c>
      <c r="D130" s="50">
        <f>SUM(receitas_recorrentes!B:B)+SUMIF(receitas_pontuais!E:E,B130,receitas_pontuais!B:B)</f>
        <v>56919</v>
      </c>
      <c r="E130" s="50">
        <f t="shared" si="2"/>
        <v>22906</v>
      </c>
      <c r="F130" s="49">
        <f>IFERROR(SUMIF(contas!G:G, B130, contas!B:B),0)</f>
        <v>0</v>
      </c>
      <c r="G130" s="51">
        <f>SUMIFS(previsoes!D:D, previsoes!E:E, "&lt;=" &amp; EOMONTH(DATEVALUE(B130&amp;"-01"),0), previsoes!F:F, "&gt;=" &amp; DATEVALUE(B130&amp;"-01"))</f>
        <v>0</v>
      </c>
      <c r="H130" s="52">
        <f t="shared" si="5"/>
        <v>160491.8958</v>
      </c>
      <c r="I130" s="49">
        <f t="shared" si="3"/>
        <v>22906</v>
      </c>
      <c r="J130" s="52">
        <f>IF(A130&lt;&gt;"",SUMIFS(metas!N:N, metas!E:E, "&gt;=" &amp; DATEVALUE(B130&amp;"-01"),metas!D:D, "&lt;=" &amp; DATEVALUE(B130&amp;"-01")),"")</f>
        <v>3182.813937</v>
      </c>
      <c r="K130" s="49">
        <f t="shared" si="4"/>
        <v>19723.18606</v>
      </c>
      <c r="L130" s="49">
        <f t="shared" si="6"/>
        <v>1908174.345</v>
      </c>
      <c r="M130" s="49">
        <f>IF(A130&lt;&gt;"",IF(COUNTIF(investimento!F:F, B130) &gt; 0, SUM(investimento!B:B)+I130, M129+I130),"")</f>
        <v>2737532.681</v>
      </c>
    </row>
    <row r="131" ht="22.5" customHeight="1">
      <c r="A131" s="47">
        <v>49827.0</v>
      </c>
      <c r="B131" s="48" t="str">
        <f t="shared" si="1"/>
        <v>2036-06</v>
      </c>
      <c r="C131" s="49">
        <f>SUMIF(despesas_recorrentes!C:C, "&gt;="&amp;A131,despesas_recorrentes!B:B) 
+SUMIF(despesas_recorrentes!C:C, "",despesas_recorrentes!B:B)
-despesas_recorrentes!$B$12
+IF(SUMIF(gasto_cartao!E:E,saldo!B131,gasto_cartao!B:B)&gt;despesas_recorrentes!$B$12, SUMIF(gasto_cartao!E:E,saldo!B131,gasto_cartao!B:B),despesas_recorrentes!$B$12)</f>
        <v>34013</v>
      </c>
      <c r="D131" s="50">
        <f>SUM(receitas_recorrentes!B:B)+SUMIF(receitas_pontuais!E:E,B131,receitas_pontuais!B:B)</f>
        <v>56919</v>
      </c>
      <c r="E131" s="50">
        <f t="shared" si="2"/>
        <v>22906</v>
      </c>
      <c r="F131" s="49">
        <f>IFERROR(SUMIF(contas!G:G, B131, contas!B:B),0)</f>
        <v>0</v>
      </c>
      <c r="G131" s="51">
        <f>SUMIFS(previsoes!D:D, previsoes!E:E, "&lt;=" &amp; EOMONTH(DATEVALUE(B131&amp;"-01"),0), previsoes!F:F, "&gt;=" &amp; DATEVALUE(B131&amp;"-01"))</f>
        <v>0</v>
      </c>
      <c r="H131" s="52">
        <f t="shared" si="5"/>
        <v>160491.8958</v>
      </c>
      <c r="I131" s="49">
        <f t="shared" si="3"/>
        <v>22906</v>
      </c>
      <c r="J131" s="52">
        <f>IF(A131&lt;&gt;"",SUMIFS(metas!N:N, metas!E:E, "&gt;=" &amp; DATEVALUE(B131&amp;"-01"),metas!D:D, "&lt;=" &amp; DATEVALUE(B131&amp;"-01")),"")</f>
        <v>3182.813937</v>
      </c>
      <c r="K131" s="49">
        <f t="shared" si="4"/>
        <v>19723.18606</v>
      </c>
      <c r="L131" s="49">
        <f t="shared" si="6"/>
        <v>1927897.531</v>
      </c>
      <c r="M131" s="49">
        <f>IF(A131&lt;&gt;"",IF(COUNTIF(investimento!F:F, B131) &gt; 0, SUM(investimento!B:B)+I131, M130+I131),"")</f>
        <v>2760438.681</v>
      </c>
    </row>
    <row r="132" ht="22.5" customHeight="1">
      <c r="A132" s="47">
        <v>49857.0</v>
      </c>
      <c r="B132" s="48" t="str">
        <f t="shared" si="1"/>
        <v>2036-07</v>
      </c>
      <c r="C132" s="49">
        <f>SUMIF(despesas_recorrentes!C:C, "&gt;="&amp;A132,despesas_recorrentes!B:B) 
+SUMIF(despesas_recorrentes!C:C, "",despesas_recorrentes!B:B)
-despesas_recorrentes!$B$12
+IF(SUMIF(gasto_cartao!E:E,saldo!B132,gasto_cartao!B:B)&gt;despesas_recorrentes!$B$12, SUMIF(gasto_cartao!E:E,saldo!B132,gasto_cartao!B:B),despesas_recorrentes!$B$12)</f>
        <v>34013</v>
      </c>
      <c r="D132" s="50">
        <f>SUM(receitas_recorrentes!B:B)+SUMIF(receitas_pontuais!E:E,B132,receitas_pontuais!B:B)</f>
        <v>56919</v>
      </c>
      <c r="E132" s="50">
        <f t="shared" si="2"/>
        <v>22906</v>
      </c>
      <c r="F132" s="49">
        <f>IFERROR(SUMIF(contas!G:G, B132, contas!B:B),0)</f>
        <v>0</v>
      </c>
      <c r="G132" s="51">
        <f>SUMIFS(previsoes!D:D, previsoes!E:E, "&lt;=" &amp; EOMONTH(DATEVALUE(B132&amp;"-01"),0), previsoes!F:F, "&gt;=" &amp; DATEVALUE(B132&amp;"-01"))</f>
        <v>0</v>
      </c>
      <c r="H132" s="52">
        <f t="shared" si="5"/>
        <v>160491.8958</v>
      </c>
      <c r="I132" s="49">
        <f t="shared" si="3"/>
        <v>22906</v>
      </c>
      <c r="J132" s="52">
        <f>IF(A132&lt;&gt;"",SUMIFS(metas!N:N, metas!E:E, "&gt;=" &amp; DATEVALUE(B132&amp;"-01"),metas!D:D, "&lt;=" &amp; DATEVALUE(B132&amp;"-01")),"")</f>
        <v>3182.813937</v>
      </c>
      <c r="K132" s="49">
        <f t="shared" si="4"/>
        <v>19723.18606</v>
      </c>
      <c r="L132" s="49">
        <f t="shared" si="6"/>
        <v>1947620.717</v>
      </c>
      <c r="M132" s="49">
        <f>IF(A132&lt;&gt;"",IF(COUNTIF(investimento!F:F, B132) &gt; 0, SUM(investimento!B:B)+I132, M131+I132),"")</f>
        <v>2783344.681</v>
      </c>
    </row>
    <row r="133" ht="22.5" customHeight="1">
      <c r="A133" s="47">
        <v>49888.0</v>
      </c>
      <c r="B133" s="48" t="str">
        <f t="shared" si="1"/>
        <v>2036-08</v>
      </c>
      <c r="C133" s="49">
        <f>SUMIF(despesas_recorrentes!C:C, "&gt;="&amp;A133,despesas_recorrentes!B:B) 
+SUMIF(despesas_recorrentes!C:C, "",despesas_recorrentes!B:B)
-despesas_recorrentes!$B$12
+IF(SUMIF(gasto_cartao!E:E,saldo!B133,gasto_cartao!B:B)&gt;despesas_recorrentes!$B$12, SUMIF(gasto_cartao!E:E,saldo!B133,gasto_cartao!B:B),despesas_recorrentes!$B$12)</f>
        <v>34013</v>
      </c>
      <c r="D133" s="50">
        <f>SUM(receitas_recorrentes!B:B)+SUMIF(receitas_pontuais!E:E,B133,receitas_pontuais!B:B)</f>
        <v>56919</v>
      </c>
      <c r="E133" s="50">
        <f t="shared" si="2"/>
        <v>22906</v>
      </c>
      <c r="F133" s="49">
        <f>IFERROR(SUMIF(contas!G:G, B133, contas!B:B),0)</f>
        <v>0</v>
      </c>
      <c r="G133" s="51">
        <f>SUMIFS(previsoes!D:D, previsoes!E:E, "&lt;=" &amp; EOMONTH(DATEVALUE(B133&amp;"-01"),0), previsoes!F:F, "&gt;=" &amp; DATEVALUE(B133&amp;"-01"))</f>
        <v>0</v>
      </c>
      <c r="H133" s="52">
        <f t="shared" si="5"/>
        <v>160491.8958</v>
      </c>
      <c r="I133" s="49">
        <f t="shared" si="3"/>
        <v>22906</v>
      </c>
      <c r="J133" s="52">
        <f>IF(A133&lt;&gt;"",SUMIFS(metas!N:N, metas!E:E, "&gt;=" &amp; DATEVALUE(B133&amp;"-01"),metas!D:D, "&lt;=" &amp; DATEVALUE(B133&amp;"-01")),"")</f>
        <v>3182.813937</v>
      </c>
      <c r="K133" s="49">
        <f t="shared" si="4"/>
        <v>19723.18606</v>
      </c>
      <c r="L133" s="49">
        <f t="shared" si="6"/>
        <v>1967343.903</v>
      </c>
      <c r="M133" s="49">
        <f>IF(A133&lt;&gt;"",IF(COUNTIF(investimento!F:F, B133) &gt; 0, SUM(investimento!B:B)+I133, M132+I133),"")</f>
        <v>2806250.681</v>
      </c>
    </row>
    <row r="134" ht="22.5" customHeight="1">
      <c r="A134" s="47">
        <v>49919.0</v>
      </c>
      <c r="B134" s="48" t="str">
        <f t="shared" si="1"/>
        <v>2036-09</v>
      </c>
      <c r="C134" s="49">
        <f>SUMIF(despesas_recorrentes!C:C, "&gt;="&amp;A134,despesas_recorrentes!B:B) 
+SUMIF(despesas_recorrentes!C:C, "",despesas_recorrentes!B:B)
-despesas_recorrentes!$B$12
+IF(SUMIF(gasto_cartao!E:E,saldo!B134,gasto_cartao!B:B)&gt;despesas_recorrentes!$B$12, SUMIF(gasto_cartao!E:E,saldo!B134,gasto_cartao!B:B),despesas_recorrentes!$B$12)</f>
        <v>34013</v>
      </c>
      <c r="D134" s="50">
        <f>SUM(receitas_recorrentes!B:B)+SUMIF(receitas_pontuais!E:E,B134,receitas_pontuais!B:B)</f>
        <v>56919</v>
      </c>
      <c r="E134" s="50">
        <f t="shared" si="2"/>
        <v>22906</v>
      </c>
      <c r="F134" s="49">
        <f>IFERROR(SUMIF(contas!G:G, B134, contas!B:B),0)</f>
        <v>0</v>
      </c>
      <c r="G134" s="51">
        <f>SUMIFS(previsoes!D:D, previsoes!E:E, "&lt;=" &amp; EOMONTH(DATEVALUE(B134&amp;"-01"),0), previsoes!F:F, "&gt;=" &amp; DATEVALUE(B134&amp;"-01"))</f>
        <v>0</v>
      </c>
      <c r="H134" s="52">
        <f t="shared" si="5"/>
        <v>160491.8958</v>
      </c>
      <c r="I134" s="49">
        <f t="shared" si="3"/>
        <v>22906</v>
      </c>
      <c r="J134" s="52">
        <f>IF(A134&lt;&gt;"",SUMIFS(metas!N:N, metas!E:E, "&gt;=" &amp; DATEVALUE(B134&amp;"-01"),metas!D:D, "&lt;=" &amp; DATEVALUE(B134&amp;"-01")),"")</f>
        <v>3182.813937</v>
      </c>
      <c r="K134" s="49">
        <f t="shared" si="4"/>
        <v>19723.18606</v>
      </c>
      <c r="L134" s="49">
        <f t="shared" si="6"/>
        <v>1987067.089</v>
      </c>
      <c r="M134" s="49">
        <f>IF(A134&lt;&gt;"",IF(COUNTIF(investimento!F:F, B134) &gt; 0, SUM(investimento!B:B)+I134, M133+I134),"")</f>
        <v>2829156.681</v>
      </c>
    </row>
    <row r="135" ht="22.5" customHeight="1">
      <c r="A135" s="47">
        <v>49949.0</v>
      </c>
      <c r="B135" s="48" t="str">
        <f t="shared" si="1"/>
        <v>2036-10</v>
      </c>
      <c r="C135" s="49">
        <f>SUMIF(despesas_recorrentes!C:C, "&gt;="&amp;A135,despesas_recorrentes!B:B) 
+SUMIF(despesas_recorrentes!C:C, "",despesas_recorrentes!B:B)
-despesas_recorrentes!$B$12
+IF(SUMIF(gasto_cartao!E:E,saldo!B135,gasto_cartao!B:B)&gt;despesas_recorrentes!$B$12, SUMIF(gasto_cartao!E:E,saldo!B135,gasto_cartao!B:B),despesas_recorrentes!$B$12)</f>
        <v>34013</v>
      </c>
      <c r="D135" s="50">
        <f>SUM(receitas_recorrentes!B:B)+SUMIF(receitas_pontuais!E:E,B135,receitas_pontuais!B:B)</f>
        <v>56919</v>
      </c>
      <c r="E135" s="50">
        <f t="shared" si="2"/>
        <v>22906</v>
      </c>
      <c r="F135" s="49">
        <f>IFERROR(SUMIF(contas!G:G, B135, contas!B:B),0)</f>
        <v>0</v>
      </c>
      <c r="G135" s="51">
        <f>SUMIFS(previsoes!D:D, previsoes!E:E, "&lt;=" &amp; EOMONTH(DATEVALUE(B135&amp;"-01"),0), previsoes!F:F, "&gt;=" &amp; DATEVALUE(B135&amp;"-01"))</f>
        <v>0</v>
      </c>
      <c r="H135" s="52">
        <f t="shared" si="5"/>
        <v>160491.8958</v>
      </c>
      <c r="I135" s="49">
        <f t="shared" si="3"/>
        <v>22906</v>
      </c>
      <c r="J135" s="52">
        <f>IF(A135&lt;&gt;"",SUMIFS(metas!N:N, metas!E:E, "&gt;=" &amp; DATEVALUE(B135&amp;"-01"),metas!D:D, "&lt;=" &amp; DATEVALUE(B135&amp;"-01")),"")</f>
        <v>3182.813937</v>
      </c>
      <c r="K135" s="49">
        <f t="shared" si="4"/>
        <v>19723.18606</v>
      </c>
      <c r="L135" s="49">
        <f t="shared" si="6"/>
        <v>2006790.275</v>
      </c>
      <c r="M135" s="49">
        <f>IF(A135&lt;&gt;"",IF(COUNTIF(investimento!F:F, B135) &gt; 0, SUM(investimento!B:B)+I135, M134+I135),"")</f>
        <v>2852062.681</v>
      </c>
    </row>
    <row r="136" ht="22.5" customHeight="1">
      <c r="A136" s="47">
        <v>49980.0</v>
      </c>
      <c r="B136" s="48" t="str">
        <f t="shared" si="1"/>
        <v>2036-11</v>
      </c>
      <c r="C136" s="49">
        <f>SUMIF(despesas_recorrentes!C:C, "&gt;="&amp;A136,despesas_recorrentes!B:B) 
+SUMIF(despesas_recorrentes!C:C, "",despesas_recorrentes!B:B)
-despesas_recorrentes!$B$12
+IF(SUMIF(gasto_cartao!E:E,saldo!B136,gasto_cartao!B:B)&gt;despesas_recorrentes!$B$12, SUMIF(gasto_cartao!E:E,saldo!B136,gasto_cartao!B:B),despesas_recorrentes!$B$12)</f>
        <v>34013</v>
      </c>
      <c r="D136" s="50">
        <f>SUM(receitas_recorrentes!B:B)+SUMIF(receitas_pontuais!E:E,B136,receitas_pontuais!B:B)</f>
        <v>56919</v>
      </c>
      <c r="E136" s="50">
        <f t="shared" si="2"/>
        <v>22906</v>
      </c>
      <c r="F136" s="49">
        <f>IFERROR(SUMIF(contas!G:G, B136, contas!B:B),0)</f>
        <v>0</v>
      </c>
      <c r="G136" s="51">
        <f>SUMIFS(previsoes!D:D, previsoes!E:E, "&lt;=" &amp; EOMONTH(DATEVALUE(B136&amp;"-01"),0), previsoes!F:F, "&gt;=" &amp; DATEVALUE(B136&amp;"-01"))</f>
        <v>0</v>
      </c>
      <c r="H136" s="52">
        <f t="shared" si="5"/>
        <v>160491.8958</v>
      </c>
      <c r="I136" s="49">
        <f t="shared" si="3"/>
        <v>22906</v>
      </c>
      <c r="J136" s="52">
        <f>IF(A136&lt;&gt;"",SUMIFS(metas!N:N, metas!E:E, "&gt;=" &amp; DATEVALUE(B136&amp;"-01"),metas!D:D, "&lt;=" &amp; DATEVALUE(B136&amp;"-01")),"")</f>
        <v>3182.813937</v>
      </c>
      <c r="K136" s="49">
        <f t="shared" si="4"/>
        <v>19723.18606</v>
      </c>
      <c r="L136" s="49">
        <f t="shared" si="6"/>
        <v>2026513.461</v>
      </c>
      <c r="M136" s="49">
        <f>IF(A136&lt;&gt;"",IF(COUNTIF(investimento!F:F, B136) &gt; 0, SUM(investimento!B:B)+I136, M135+I136),"")</f>
        <v>2874968.681</v>
      </c>
    </row>
    <row r="137" ht="22.5" customHeight="1">
      <c r="A137" s="47">
        <v>50010.0</v>
      </c>
      <c r="B137" s="48" t="str">
        <f t="shared" si="1"/>
        <v>2036-12</v>
      </c>
      <c r="C137" s="49">
        <f>SUMIF(despesas_recorrentes!C:C, "&gt;="&amp;A137,despesas_recorrentes!B:B) 
+SUMIF(despesas_recorrentes!C:C, "",despesas_recorrentes!B:B)
-despesas_recorrentes!$B$12
+IF(SUMIF(gasto_cartao!E:E,saldo!B137,gasto_cartao!B:B)&gt;despesas_recorrentes!$B$12, SUMIF(gasto_cartao!E:E,saldo!B137,gasto_cartao!B:B),despesas_recorrentes!$B$12)</f>
        <v>34013</v>
      </c>
      <c r="D137" s="50">
        <f>SUM(receitas_recorrentes!B:B)+SUMIF(receitas_pontuais!E:E,B137,receitas_pontuais!B:B)</f>
        <v>56919</v>
      </c>
      <c r="E137" s="50">
        <f t="shared" si="2"/>
        <v>22906</v>
      </c>
      <c r="F137" s="49">
        <f>IFERROR(SUMIF(contas!G:G, B137, contas!B:B),0)</f>
        <v>0</v>
      </c>
      <c r="G137" s="51">
        <f>SUMIFS(previsoes!D:D, previsoes!E:E, "&lt;=" &amp; EOMONTH(DATEVALUE(B137&amp;"-01"),0), previsoes!F:F, "&gt;=" &amp; DATEVALUE(B137&amp;"-01"))</f>
        <v>0</v>
      </c>
      <c r="H137" s="52">
        <f t="shared" si="5"/>
        <v>160491.8958</v>
      </c>
      <c r="I137" s="49">
        <f t="shared" si="3"/>
        <v>22906</v>
      </c>
      <c r="J137" s="52">
        <f>IF(A137&lt;&gt;"",SUMIFS(metas!N:N, metas!E:E, "&gt;=" &amp; DATEVALUE(B137&amp;"-01"),metas!D:D, "&lt;=" &amp; DATEVALUE(B137&amp;"-01")),"")</f>
        <v>3182.813937</v>
      </c>
      <c r="K137" s="49">
        <f t="shared" si="4"/>
        <v>19723.18606</v>
      </c>
      <c r="L137" s="49">
        <f t="shared" si="6"/>
        <v>2046236.647</v>
      </c>
      <c r="M137" s="49">
        <f>IF(A137&lt;&gt;"",IF(COUNTIF(investimento!F:F, B137) &gt; 0, SUM(investimento!B:B)+I137, M136+I137),"")</f>
        <v>2897874.681</v>
      </c>
    </row>
    <row r="138" ht="22.5" customHeight="1">
      <c r="A138" s="47">
        <v>50041.0</v>
      </c>
      <c r="B138" s="48" t="str">
        <f t="shared" si="1"/>
        <v>2037-01</v>
      </c>
      <c r="C138" s="49">
        <f>SUMIF(despesas_recorrentes!C:C, "&gt;="&amp;A138,despesas_recorrentes!B:B) 
+SUMIF(despesas_recorrentes!C:C, "",despesas_recorrentes!B:B)
-despesas_recorrentes!$B$12
+IF(SUMIF(gasto_cartao!E:E,saldo!B138,gasto_cartao!B:B)&gt;despesas_recorrentes!$B$12, SUMIF(gasto_cartao!E:E,saldo!B138,gasto_cartao!B:B),despesas_recorrentes!$B$12)</f>
        <v>34013</v>
      </c>
      <c r="D138" s="50">
        <f>SUM(receitas_recorrentes!B:B)+SUMIF(receitas_pontuais!E:E,B138,receitas_pontuais!B:B)</f>
        <v>56919</v>
      </c>
      <c r="E138" s="50">
        <f t="shared" si="2"/>
        <v>22906</v>
      </c>
      <c r="F138" s="49">
        <f>IFERROR(SUMIF(contas!G:G, B138, contas!B:B),0)</f>
        <v>0</v>
      </c>
      <c r="G138" s="51">
        <f>SUMIFS(previsoes!D:D, previsoes!E:E, "&lt;=" &amp; EOMONTH(DATEVALUE(B138&amp;"-01"),0), previsoes!F:F, "&gt;=" &amp; DATEVALUE(B138&amp;"-01"))</f>
        <v>0</v>
      </c>
      <c r="H138" s="52">
        <f t="shared" si="5"/>
        <v>160491.8958</v>
      </c>
      <c r="I138" s="49">
        <f t="shared" si="3"/>
        <v>22906</v>
      </c>
      <c r="J138" s="52">
        <f>IF(A138&lt;&gt;"",SUMIFS(metas!N:N, metas!E:E, "&gt;=" &amp; DATEVALUE(B138&amp;"-01"),metas!D:D, "&lt;=" &amp; DATEVALUE(B138&amp;"-01")),"")</f>
        <v>3182.813937</v>
      </c>
      <c r="K138" s="49">
        <f t="shared" si="4"/>
        <v>19723.18606</v>
      </c>
      <c r="L138" s="49">
        <f t="shared" si="6"/>
        <v>2065959.833</v>
      </c>
      <c r="M138" s="49">
        <f>IF(A138&lt;&gt;"",IF(COUNTIF(investimento!F:F, B138) &gt; 0, SUM(investimento!B:B)+I138, M137+I138),"")</f>
        <v>2920780.681</v>
      </c>
    </row>
    <row r="139" ht="22.5" customHeight="1">
      <c r="A139" s="47">
        <v>50072.0</v>
      </c>
      <c r="B139" s="48" t="str">
        <f t="shared" si="1"/>
        <v>2037-02</v>
      </c>
      <c r="C139" s="49">
        <f>SUMIF(despesas_recorrentes!C:C, "&gt;="&amp;A139,despesas_recorrentes!B:B) 
+SUMIF(despesas_recorrentes!C:C, "",despesas_recorrentes!B:B)
-despesas_recorrentes!$B$12
+IF(SUMIF(gasto_cartao!E:E,saldo!B139,gasto_cartao!B:B)&gt;despesas_recorrentes!$B$12, SUMIF(gasto_cartao!E:E,saldo!B139,gasto_cartao!B:B),despesas_recorrentes!$B$12)</f>
        <v>34013</v>
      </c>
      <c r="D139" s="50">
        <f>SUM(receitas_recorrentes!B:B)+SUMIF(receitas_pontuais!E:E,B139,receitas_pontuais!B:B)</f>
        <v>56919</v>
      </c>
      <c r="E139" s="50">
        <f t="shared" si="2"/>
        <v>22906</v>
      </c>
      <c r="F139" s="49">
        <f>IFERROR(SUMIF(contas!G:G, B139, contas!B:B),0)</f>
        <v>0</v>
      </c>
      <c r="G139" s="51">
        <f>SUMIFS(previsoes!D:D, previsoes!E:E, "&lt;=" &amp; EOMONTH(DATEVALUE(B139&amp;"-01"),0), previsoes!F:F, "&gt;=" &amp; DATEVALUE(B139&amp;"-01"))</f>
        <v>0</v>
      </c>
      <c r="H139" s="52">
        <f t="shared" si="5"/>
        <v>160491.8958</v>
      </c>
      <c r="I139" s="49">
        <f t="shared" si="3"/>
        <v>22906</v>
      </c>
      <c r="J139" s="52">
        <f>IF(A139&lt;&gt;"",SUMIFS(metas!N:N, metas!E:E, "&gt;=" &amp; DATEVALUE(B139&amp;"-01"),metas!D:D, "&lt;=" &amp; DATEVALUE(B139&amp;"-01")),"")</f>
        <v>3182.813937</v>
      </c>
      <c r="K139" s="49">
        <f t="shared" si="4"/>
        <v>19723.18606</v>
      </c>
      <c r="L139" s="49">
        <f t="shared" si="6"/>
        <v>2085683.019</v>
      </c>
      <c r="M139" s="49">
        <f>IF(A139&lt;&gt;"",IF(COUNTIF(investimento!F:F, B139) &gt; 0, SUM(investimento!B:B)+I139, M138+I139),"")</f>
        <v>2943686.681</v>
      </c>
    </row>
    <row r="140" ht="22.5" customHeight="1">
      <c r="A140" s="47">
        <v>50100.0</v>
      </c>
      <c r="B140" s="48" t="str">
        <f t="shared" si="1"/>
        <v>2037-03</v>
      </c>
      <c r="C140" s="49">
        <f>SUMIF(despesas_recorrentes!C:C, "&gt;="&amp;A140,despesas_recorrentes!B:B) 
+SUMIF(despesas_recorrentes!C:C, "",despesas_recorrentes!B:B)
-despesas_recorrentes!$B$12
+IF(SUMIF(gasto_cartao!E:E,saldo!B140,gasto_cartao!B:B)&gt;despesas_recorrentes!$B$12, SUMIF(gasto_cartao!E:E,saldo!B140,gasto_cartao!B:B),despesas_recorrentes!$B$12)</f>
        <v>34013</v>
      </c>
      <c r="D140" s="50">
        <f>SUM(receitas_recorrentes!B:B)+SUMIF(receitas_pontuais!E:E,B140,receitas_pontuais!B:B)</f>
        <v>56919</v>
      </c>
      <c r="E140" s="50">
        <f t="shared" si="2"/>
        <v>22906</v>
      </c>
      <c r="F140" s="49">
        <f>IFERROR(SUMIF(contas!G:G, B140, contas!B:B),0)</f>
        <v>0</v>
      </c>
      <c r="G140" s="51">
        <f>SUMIFS(previsoes!D:D, previsoes!E:E, "&lt;=" &amp; EOMONTH(DATEVALUE(B140&amp;"-01"),0), previsoes!F:F, "&gt;=" &amp; DATEVALUE(B140&amp;"-01"))</f>
        <v>0</v>
      </c>
      <c r="H140" s="52">
        <f t="shared" si="5"/>
        <v>160491.8958</v>
      </c>
      <c r="I140" s="49">
        <f t="shared" si="3"/>
        <v>22906</v>
      </c>
      <c r="J140" s="52">
        <f>IF(A140&lt;&gt;"",SUMIFS(metas!N:N, metas!E:E, "&gt;=" &amp; DATEVALUE(B140&amp;"-01"),metas!D:D, "&lt;=" &amp; DATEVALUE(B140&amp;"-01")),"")</f>
        <v>3182.813937</v>
      </c>
      <c r="K140" s="49">
        <f t="shared" si="4"/>
        <v>19723.18606</v>
      </c>
      <c r="L140" s="49">
        <f t="shared" si="6"/>
        <v>2105406.205</v>
      </c>
      <c r="M140" s="49">
        <f>IF(A140&lt;&gt;"",IF(COUNTIF(investimento!F:F, B140) &gt; 0, SUM(investimento!B:B)+I140, M139+I140),"")</f>
        <v>2966592.681</v>
      </c>
    </row>
    <row r="141" ht="22.5" customHeight="1">
      <c r="A141" s="47">
        <v>50131.0</v>
      </c>
      <c r="B141" s="48" t="str">
        <f t="shared" si="1"/>
        <v>2037-04</v>
      </c>
      <c r="C141" s="49">
        <f>SUMIF(despesas_recorrentes!C:C, "&gt;="&amp;A141,despesas_recorrentes!B:B) 
+SUMIF(despesas_recorrentes!C:C, "",despesas_recorrentes!B:B)
-despesas_recorrentes!$B$12
+IF(SUMIF(gasto_cartao!E:E,saldo!B141,gasto_cartao!B:B)&gt;despesas_recorrentes!$B$12, SUMIF(gasto_cartao!E:E,saldo!B141,gasto_cartao!B:B),despesas_recorrentes!$B$12)</f>
        <v>34013</v>
      </c>
      <c r="D141" s="50">
        <f>SUM(receitas_recorrentes!B:B)+SUMIF(receitas_pontuais!E:E,B141,receitas_pontuais!B:B)</f>
        <v>56919</v>
      </c>
      <c r="E141" s="50">
        <f t="shared" si="2"/>
        <v>22906</v>
      </c>
      <c r="F141" s="49">
        <f>IFERROR(SUMIF(contas!G:G, B141, contas!B:B),0)</f>
        <v>0</v>
      </c>
      <c r="G141" s="51">
        <f>SUMIFS(previsoes!D:D, previsoes!E:E, "&lt;=" &amp; EOMONTH(DATEVALUE(B141&amp;"-01"),0), previsoes!F:F, "&gt;=" &amp; DATEVALUE(B141&amp;"-01"))</f>
        <v>0</v>
      </c>
      <c r="H141" s="52">
        <f t="shared" si="5"/>
        <v>160491.8958</v>
      </c>
      <c r="I141" s="49">
        <f t="shared" si="3"/>
        <v>22906</v>
      </c>
      <c r="J141" s="52">
        <f>IF(A141&lt;&gt;"",SUMIFS(metas!N:N, metas!E:E, "&gt;=" &amp; DATEVALUE(B141&amp;"-01"),metas!D:D, "&lt;=" &amp; DATEVALUE(B141&amp;"-01")),"")</f>
        <v>3182.813937</v>
      </c>
      <c r="K141" s="49">
        <f t="shared" si="4"/>
        <v>19723.18606</v>
      </c>
      <c r="L141" s="49">
        <f t="shared" si="6"/>
        <v>2125129.391</v>
      </c>
      <c r="M141" s="49">
        <f>IF(A141&lt;&gt;"",IF(COUNTIF(investimento!F:F, B141) &gt; 0, SUM(investimento!B:B)+I141, M140+I141),"")</f>
        <v>2989498.681</v>
      </c>
    </row>
    <row r="142" ht="22.5" customHeight="1">
      <c r="A142" s="47">
        <v>50161.0</v>
      </c>
      <c r="B142" s="48" t="str">
        <f t="shared" si="1"/>
        <v>2037-05</v>
      </c>
      <c r="C142" s="49">
        <f>SUMIF(despesas_recorrentes!C:C, "&gt;="&amp;A142,despesas_recorrentes!B:B) 
+SUMIF(despesas_recorrentes!C:C, "",despesas_recorrentes!B:B)
-despesas_recorrentes!$B$12
+IF(SUMIF(gasto_cartao!E:E,saldo!B142,gasto_cartao!B:B)&gt;despesas_recorrentes!$B$12, SUMIF(gasto_cartao!E:E,saldo!B142,gasto_cartao!B:B),despesas_recorrentes!$B$12)</f>
        <v>34013</v>
      </c>
      <c r="D142" s="50">
        <f>SUM(receitas_recorrentes!B:B)+SUMIF(receitas_pontuais!E:E,B142,receitas_pontuais!B:B)</f>
        <v>56919</v>
      </c>
      <c r="E142" s="50">
        <f t="shared" si="2"/>
        <v>22906</v>
      </c>
      <c r="F142" s="49">
        <f>IFERROR(SUMIF(contas!G:G, B142, contas!B:B),0)</f>
        <v>0</v>
      </c>
      <c r="G142" s="51">
        <f>SUMIFS(previsoes!D:D, previsoes!E:E, "&lt;=" &amp; EOMONTH(DATEVALUE(B142&amp;"-01"),0), previsoes!F:F, "&gt;=" &amp; DATEVALUE(B142&amp;"-01"))</f>
        <v>0</v>
      </c>
      <c r="H142" s="52">
        <f t="shared" si="5"/>
        <v>160491.8958</v>
      </c>
      <c r="I142" s="49">
        <f t="shared" si="3"/>
        <v>22906</v>
      </c>
      <c r="J142" s="52">
        <f>IF(A142&lt;&gt;"",SUMIFS(metas!N:N, metas!E:E, "&gt;=" &amp; DATEVALUE(B142&amp;"-01"),metas!D:D, "&lt;=" &amp; DATEVALUE(B142&amp;"-01")),"")</f>
        <v>3182.813937</v>
      </c>
      <c r="K142" s="49">
        <f t="shared" si="4"/>
        <v>19723.18606</v>
      </c>
      <c r="L142" s="49">
        <f t="shared" si="6"/>
        <v>2144852.577</v>
      </c>
      <c r="M142" s="49">
        <f>IF(A142&lt;&gt;"",IF(COUNTIF(investimento!F:F, B142) &gt; 0, SUM(investimento!B:B)+I142, M141+I142),"")</f>
        <v>3012404.681</v>
      </c>
    </row>
    <row r="143" ht="22.5" customHeight="1">
      <c r="A143" s="47">
        <v>50192.0</v>
      </c>
      <c r="B143" s="48" t="str">
        <f t="shared" si="1"/>
        <v>2037-06</v>
      </c>
      <c r="C143" s="49">
        <f>SUMIF(despesas_recorrentes!C:C, "&gt;="&amp;A143,despesas_recorrentes!B:B) 
+SUMIF(despesas_recorrentes!C:C, "",despesas_recorrentes!B:B)
-despesas_recorrentes!$B$12
+IF(SUMIF(gasto_cartao!E:E,saldo!B143,gasto_cartao!B:B)&gt;despesas_recorrentes!$B$12, SUMIF(gasto_cartao!E:E,saldo!B143,gasto_cartao!B:B),despesas_recorrentes!$B$12)</f>
        <v>34013</v>
      </c>
      <c r="D143" s="50">
        <f>SUM(receitas_recorrentes!B:B)+SUMIF(receitas_pontuais!E:E,B143,receitas_pontuais!B:B)</f>
        <v>56919</v>
      </c>
      <c r="E143" s="50">
        <f t="shared" si="2"/>
        <v>22906</v>
      </c>
      <c r="F143" s="49">
        <f>IFERROR(SUMIF(contas!G:G, B143, contas!B:B),0)</f>
        <v>0</v>
      </c>
      <c r="G143" s="51">
        <f>SUMIFS(previsoes!D:D, previsoes!E:E, "&lt;=" &amp; EOMONTH(DATEVALUE(B143&amp;"-01"),0), previsoes!F:F, "&gt;=" &amp; DATEVALUE(B143&amp;"-01"))</f>
        <v>0</v>
      </c>
      <c r="H143" s="52">
        <f t="shared" si="5"/>
        <v>160491.8958</v>
      </c>
      <c r="I143" s="49">
        <f t="shared" si="3"/>
        <v>22906</v>
      </c>
      <c r="J143" s="52">
        <f>IF(A143&lt;&gt;"",SUMIFS(metas!N:N, metas!E:E, "&gt;=" &amp; DATEVALUE(B143&amp;"-01"),metas!D:D, "&lt;=" &amp; DATEVALUE(B143&amp;"-01")),"")</f>
        <v>3182.813937</v>
      </c>
      <c r="K143" s="49">
        <f t="shared" si="4"/>
        <v>19723.18606</v>
      </c>
      <c r="L143" s="49">
        <f t="shared" si="6"/>
        <v>2164575.763</v>
      </c>
      <c r="M143" s="49">
        <f>IF(A143&lt;&gt;"",IF(COUNTIF(investimento!F:F, B143) &gt; 0, SUM(investimento!B:B)+I143, M142+I143),"")</f>
        <v>3035310.681</v>
      </c>
    </row>
    <row r="144" ht="22.5" customHeight="1">
      <c r="A144" s="47">
        <v>50193.0</v>
      </c>
      <c r="B144" s="48" t="str">
        <f t="shared" si="1"/>
        <v>2037-06</v>
      </c>
      <c r="C144" s="49">
        <f>SUMIF(despesas_recorrentes!C:C, "&gt;="&amp;A144,despesas_recorrentes!B:B) 
+SUMIF(despesas_recorrentes!C:C, "",despesas_recorrentes!B:B)
-despesas_recorrentes!$B$12
+IF(SUMIF(gasto_cartao!E:E,saldo!B144,gasto_cartao!B:B)&gt;despesas_recorrentes!$B$12, SUMIF(gasto_cartao!E:E,saldo!B144,gasto_cartao!B:B),despesas_recorrentes!$B$12)</f>
        <v>34013</v>
      </c>
      <c r="D144" s="51">
        <f>SUM(receitas_recorrentes!B:B)+SUMIF(receitas_pontuais!E:E,B144,receitas_pontuais!B:B)</f>
        <v>56919</v>
      </c>
      <c r="E144" s="51">
        <f t="shared" si="2"/>
        <v>22906</v>
      </c>
      <c r="F144" s="53">
        <f>IFERROR(SUMIF(contas!G:G, B144, contas!B:B),0)</f>
        <v>0</v>
      </c>
      <c r="G144" s="51">
        <f>SUMIFS(previsoes!D:D, previsoes!E:E, "&lt;=" &amp; EOMONTH(DATEVALUE(B144&amp;"-01"),0), previsoes!F:F, "&gt;=" &amp; DATEVALUE(B144&amp;"-01"))</f>
        <v>0</v>
      </c>
      <c r="H144" s="52">
        <f t="shared" si="5"/>
        <v>160491.8958</v>
      </c>
      <c r="I144" s="49">
        <f t="shared" si="3"/>
        <v>22906</v>
      </c>
      <c r="J144" s="52">
        <f>IF(A144&lt;&gt;"",SUMIFS(metas!N:N, metas!E:E, "&gt;=" &amp; DATEVALUE(B144&amp;"-01"),metas!D:D, "&lt;=" &amp; DATEVALUE(B144&amp;"-01")),"")</f>
        <v>3182.813937</v>
      </c>
      <c r="K144" s="49">
        <f t="shared" si="4"/>
        <v>19723.18606</v>
      </c>
      <c r="L144" s="49">
        <f t="shared" si="6"/>
        <v>2184298.949</v>
      </c>
      <c r="M144" s="49">
        <f>IF(A144&lt;&gt;"",IF(COUNTIF(investimento!F:F, B144) &gt; 0, SUM(investimento!B:B)+I144, M143+I144),"")</f>
        <v>3058216.681</v>
      </c>
    </row>
    <row r="145" ht="22.5" customHeight="1">
      <c r="A145" s="47">
        <v>50194.0</v>
      </c>
      <c r="B145" s="48" t="str">
        <f t="shared" si="1"/>
        <v>2037-06</v>
      </c>
      <c r="C145" s="49">
        <f>SUMIF(despesas_recorrentes!C:C, "&gt;="&amp;A145,despesas_recorrentes!B:B) 
+SUMIF(despesas_recorrentes!C:C, "",despesas_recorrentes!B:B)
-despesas_recorrentes!$B$12
+IF(SUMIF(gasto_cartao!E:E,saldo!B145,gasto_cartao!B:B)&gt;despesas_recorrentes!$B$12, SUMIF(gasto_cartao!E:E,saldo!B145,gasto_cartao!B:B),despesas_recorrentes!$B$12)</f>
        <v>34013</v>
      </c>
      <c r="D145" s="51">
        <f>SUM(receitas_recorrentes!B:B)+SUMIF(receitas_pontuais!E:E,B145,receitas_pontuais!B:B)</f>
        <v>56919</v>
      </c>
      <c r="E145" s="51">
        <f t="shared" si="2"/>
        <v>22906</v>
      </c>
      <c r="F145" s="53">
        <f>IFERROR(SUMIF(contas!G:G, B145, contas!B:B),0)</f>
        <v>0</v>
      </c>
      <c r="G145" s="51">
        <f>SUMIFS(previsoes!D:D, previsoes!E:E, "&lt;=" &amp; EOMONTH(DATEVALUE(B145&amp;"-01"),0), previsoes!F:F, "&gt;=" &amp; DATEVALUE(B145&amp;"-01"))</f>
        <v>0</v>
      </c>
      <c r="H145" s="52">
        <f t="shared" si="5"/>
        <v>160491.8958</v>
      </c>
      <c r="I145" s="49">
        <f t="shared" si="3"/>
        <v>22906</v>
      </c>
      <c r="J145" s="52">
        <f>IF(A145&lt;&gt;"",SUMIFS(metas!N:N, metas!E:E, "&gt;=" &amp; DATEVALUE(B145&amp;"-01"),metas!D:D, "&lt;=" &amp; DATEVALUE(B145&amp;"-01")),"")</f>
        <v>3182.813937</v>
      </c>
      <c r="K145" s="49">
        <f t="shared" si="4"/>
        <v>19723.18606</v>
      </c>
      <c r="L145" s="49">
        <f t="shared" si="6"/>
        <v>2204022.135</v>
      </c>
      <c r="M145" s="49">
        <f>IF(A145&lt;&gt;"",IF(COUNTIF(investimento!F:F, B145) &gt; 0, SUM(investimento!B:B)+I145, M144+I145),"")</f>
        <v>3081122.681</v>
      </c>
    </row>
    <row r="146" ht="22.5" customHeight="1">
      <c r="A146" s="47">
        <v>50195.0</v>
      </c>
      <c r="B146" s="48" t="str">
        <f t="shared" si="1"/>
        <v>2037-06</v>
      </c>
      <c r="C146" s="49">
        <f>SUMIF(despesas_recorrentes!C:C, "&gt;="&amp;A146,despesas_recorrentes!B:B) 
+SUMIF(despesas_recorrentes!C:C, "",despesas_recorrentes!B:B)
-despesas_recorrentes!$B$12
+IF(SUMIF(gasto_cartao!E:E,saldo!B146,gasto_cartao!B:B)&gt;despesas_recorrentes!$B$12, SUMIF(gasto_cartao!E:E,saldo!B146,gasto_cartao!B:B),despesas_recorrentes!$B$12)</f>
        <v>34013</v>
      </c>
      <c r="D146" s="51">
        <f>SUM(receitas_recorrentes!B:B)+SUMIF(receitas_pontuais!E:E,B146,receitas_pontuais!B:B)</f>
        <v>56919</v>
      </c>
      <c r="E146" s="51">
        <f t="shared" si="2"/>
        <v>22906</v>
      </c>
      <c r="F146" s="53">
        <f>IFERROR(SUMIF(contas!G:G, B146, contas!B:B),0)</f>
        <v>0</v>
      </c>
      <c r="G146" s="51">
        <f>SUMIFS(previsoes!D:D, previsoes!E:E, "&lt;=" &amp; EOMONTH(DATEVALUE(B146&amp;"-01"),0), previsoes!F:F, "&gt;=" &amp; DATEVALUE(B146&amp;"-01"))</f>
        <v>0</v>
      </c>
      <c r="H146" s="52">
        <f t="shared" si="5"/>
        <v>160491.8958</v>
      </c>
      <c r="I146" s="49">
        <f t="shared" si="3"/>
        <v>22906</v>
      </c>
      <c r="J146" s="52">
        <f>IF(A146&lt;&gt;"",SUMIFS(metas!N:N, metas!E:E, "&gt;=" &amp; DATEVALUE(B146&amp;"-01"),metas!D:D, "&lt;=" &amp; DATEVALUE(B146&amp;"-01")),"")</f>
        <v>3182.813937</v>
      </c>
      <c r="K146" s="49">
        <f t="shared" si="4"/>
        <v>19723.18606</v>
      </c>
      <c r="L146" s="49">
        <f t="shared" si="6"/>
        <v>2223745.322</v>
      </c>
      <c r="M146" s="49">
        <f>IF(A146&lt;&gt;"",IF(COUNTIF(investimento!F:F, B146) &gt; 0, SUM(investimento!B:B)+I146, M145+I146),"")</f>
        <v>3104028.681</v>
      </c>
    </row>
    <row r="147" ht="22.5" customHeight="1">
      <c r="A147" s="47">
        <v>50196.0</v>
      </c>
      <c r="B147" s="48" t="str">
        <f t="shared" si="1"/>
        <v>2037-06</v>
      </c>
      <c r="C147" s="49">
        <f>SUMIF(despesas_recorrentes!C:C, "&gt;="&amp;A147,despesas_recorrentes!B:B) 
+SUMIF(despesas_recorrentes!C:C, "",despesas_recorrentes!B:B)
-despesas_recorrentes!$B$12
+IF(SUMIF(gasto_cartao!E:E,saldo!B147,gasto_cartao!B:B)&gt;despesas_recorrentes!$B$12, SUMIF(gasto_cartao!E:E,saldo!B147,gasto_cartao!B:B),despesas_recorrentes!$B$12)</f>
        <v>34013</v>
      </c>
      <c r="D147" s="51">
        <f>SUM(receitas_recorrentes!B:B)+SUMIF(receitas_pontuais!E:E,B147,receitas_pontuais!B:B)</f>
        <v>56919</v>
      </c>
      <c r="E147" s="51">
        <f t="shared" si="2"/>
        <v>22906</v>
      </c>
      <c r="F147" s="53">
        <f>IFERROR(SUMIF(contas!G:G, B147, contas!B:B),0)</f>
        <v>0</v>
      </c>
      <c r="G147" s="51">
        <f>SUMIFS(previsoes!D:D, previsoes!E:E, "&lt;=" &amp; EOMONTH(DATEVALUE(B147&amp;"-01"),0), previsoes!F:F, "&gt;=" &amp; DATEVALUE(B147&amp;"-01"))</f>
        <v>0</v>
      </c>
      <c r="H147" s="52">
        <f t="shared" si="5"/>
        <v>160491.8958</v>
      </c>
      <c r="I147" s="49">
        <f t="shared" si="3"/>
        <v>22906</v>
      </c>
      <c r="J147" s="52">
        <f>IF(A147&lt;&gt;"",SUMIFS(metas!N:N, metas!E:E, "&gt;=" &amp; DATEVALUE(B147&amp;"-01"),metas!D:D, "&lt;=" &amp; DATEVALUE(B147&amp;"-01")),"")</f>
        <v>3182.813937</v>
      </c>
      <c r="K147" s="49">
        <f t="shared" si="4"/>
        <v>19723.18606</v>
      </c>
      <c r="L147" s="49">
        <f t="shared" si="6"/>
        <v>2243468.508</v>
      </c>
      <c r="M147" s="49">
        <f>IF(A147&lt;&gt;"",IF(COUNTIF(investimento!F:F, B147) &gt; 0, SUM(investimento!B:B)+I147, M146+I147),"")</f>
        <v>3126934.681</v>
      </c>
    </row>
    <row r="148" ht="22.5" customHeight="1">
      <c r="A148" s="47">
        <v>50197.0</v>
      </c>
      <c r="B148" s="48" t="str">
        <f t="shared" si="1"/>
        <v>2037-06</v>
      </c>
      <c r="C148" s="49">
        <f>SUMIF(despesas_recorrentes!C:C, "&gt;="&amp;A148,despesas_recorrentes!B:B) 
+SUMIF(despesas_recorrentes!C:C, "",despesas_recorrentes!B:B)
-despesas_recorrentes!$B$12
+IF(SUMIF(gasto_cartao!E:E,saldo!B148,gasto_cartao!B:B)&gt;despesas_recorrentes!$B$12, SUMIF(gasto_cartao!E:E,saldo!B148,gasto_cartao!B:B),despesas_recorrentes!$B$12)</f>
        <v>34013</v>
      </c>
      <c r="D148" s="51">
        <f>SUM(receitas_recorrentes!B:B)+SUMIF(receitas_pontuais!E:E,B148,receitas_pontuais!B:B)</f>
        <v>56919</v>
      </c>
      <c r="E148" s="51">
        <f t="shared" si="2"/>
        <v>22906</v>
      </c>
      <c r="F148" s="53">
        <f>IFERROR(SUMIF(contas!G:G, B148, contas!B:B),0)</f>
        <v>0</v>
      </c>
      <c r="G148" s="51">
        <f>SUMIFS(previsoes!D:D, previsoes!E:E, "&lt;=" &amp; EOMONTH(DATEVALUE(B148&amp;"-01"),0), previsoes!F:F, "&gt;=" &amp; DATEVALUE(B148&amp;"-01"))</f>
        <v>0</v>
      </c>
      <c r="H148" s="52">
        <f t="shared" si="5"/>
        <v>160491.8958</v>
      </c>
      <c r="I148" s="49">
        <f t="shared" si="3"/>
        <v>22906</v>
      </c>
      <c r="J148" s="52">
        <f>IF(A148&lt;&gt;"",SUMIFS(metas!N:N, metas!E:E, "&gt;=" &amp; DATEVALUE(B148&amp;"-01"),metas!D:D, "&lt;=" &amp; DATEVALUE(B148&amp;"-01")),"")</f>
        <v>3182.813937</v>
      </c>
      <c r="K148" s="49">
        <f t="shared" si="4"/>
        <v>19723.18606</v>
      </c>
      <c r="L148" s="49">
        <f t="shared" si="6"/>
        <v>2263191.694</v>
      </c>
      <c r="M148" s="49">
        <f>IF(A148&lt;&gt;"",IF(COUNTIF(investimento!F:F, B148) &gt; 0, SUM(investimento!B:B)+I148, M147+I148),"")</f>
        <v>3149840.681</v>
      </c>
    </row>
    <row r="149" ht="22.5" customHeight="1">
      <c r="A149" s="47">
        <v>50198.0</v>
      </c>
      <c r="B149" s="48" t="str">
        <f t="shared" si="1"/>
        <v>2037-06</v>
      </c>
      <c r="C149" s="49">
        <f>SUMIF(despesas_recorrentes!C:C, "&gt;="&amp;A149,despesas_recorrentes!B:B) 
+SUMIF(despesas_recorrentes!C:C, "",despesas_recorrentes!B:B)
-despesas_recorrentes!$B$12
+IF(SUMIF(gasto_cartao!E:E,saldo!B149,gasto_cartao!B:B)&gt;despesas_recorrentes!$B$12, SUMIF(gasto_cartao!E:E,saldo!B149,gasto_cartao!B:B),despesas_recorrentes!$B$12)</f>
        <v>34013</v>
      </c>
      <c r="D149" s="51">
        <f>SUM(receitas_recorrentes!B:B)+SUMIF(receitas_pontuais!E:E,B149,receitas_pontuais!B:B)</f>
        <v>56919</v>
      </c>
      <c r="E149" s="51">
        <f t="shared" si="2"/>
        <v>22906</v>
      </c>
      <c r="F149" s="53">
        <f>IFERROR(SUMIF(contas!G:G, B149, contas!B:B),0)</f>
        <v>0</v>
      </c>
      <c r="G149" s="51">
        <f>SUMIFS(previsoes!D:D, previsoes!E:E, "&lt;=" &amp; EOMONTH(DATEVALUE(B149&amp;"-01"),0), previsoes!F:F, "&gt;=" &amp; DATEVALUE(B149&amp;"-01"))</f>
        <v>0</v>
      </c>
      <c r="H149" s="52">
        <f t="shared" si="5"/>
        <v>160491.8958</v>
      </c>
      <c r="I149" s="49">
        <f t="shared" si="3"/>
        <v>22906</v>
      </c>
      <c r="J149" s="52">
        <f>IF(A149&lt;&gt;"",SUMIFS(metas!N:N, metas!E:E, "&gt;=" &amp; DATEVALUE(B149&amp;"-01"),metas!D:D, "&lt;=" &amp; DATEVALUE(B149&amp;"-01")),"")</f>
        <v>3182.813937</v>
      </c>
      <c r="K149" s="49">
        <f t="shared" si="4"/>
        <v>19723.18606</v>
      </c>
      <c r="L149" s="49">
        <f t="shared" si="6"/>
        <v>2282914.88</v>
      </c>
      <c r="M149" s="49">
        <f>IF(A149&lt;&gt;"",IF(COUNTIF(investimento!F:F, B149) &gt; 0, SUM(investimento!B:B)+I149, M148+I149),"")</f>
        <v>3172746.681</v>
      </c>
    </row>
    <row r="150" ht="22.5" customHeight="1">
      <c r="A150" s="47">
        <v>50199.0</v>
      </c>
      <c r="B150" s="48" t="str">
        <f t="shared" si="1"/>
        <v>2037-06</v>
      </c>
      <c r="C150" s="49">
        <f>SUMIF(despesas_recorrentes!C:C, "&gt;="&amp;A150,despesas_recorrentes!B:B) 
+SUMIF(despesas_recorrentes!C:C, "",despesas_recorrentes!B:B)
-despesas_recorrentes!$B$12
+IF(SUMIF(gasto_cartao!E:E,saldo!B150,gasto_cartao!B:B)&gt;despesas_recorrentes!$B$12, SUMIF(gasto_cartao!E:E,saldo!B150,gasto_cartao!B:B),despesas_recorrentes!$B$12)</f>
        <v>34013</v>
      </c>
      <c r="D150" s="51">
        <f>SUM(receitas_recorrentes!B:B)+SUMIF(receitas_pontuais!E:E,B150,receitas_pontuais!B:B)</f>
        <v>56919</v>
      </c>
      <c r="E150" s="51">
        <f t="shared" si="2"/>
        <v>22906</v>
      </c>
      <c r="F150" s="53">
        <f>IFERROR(SUMIF(contas!G:G, B150, contas!B:B),0)</f>
        <v>0</v>
      </c>
      <c r="G150" s="51">
        <f>SUMIFS(previsoes!D:D, previsoes!E:E, "&lt;=" &amp; EOMONTH(DATEVALUE(B150&amp;"-01"),0), previsoes!F:F, "&gt;=" &amp; DATEVALUE(B150&amp;"-01"))</f>
        <v>0</v>
      </c>
      <c r="H150" s="52">
        <f t="shared" si="5"/>
        <v>160491.8958</v>
      </c>
      <c r="I150" s="49">
        <f t="shared" si="3"/>
        <v>22906</v>
      </c>
      <c r="J150" s="52">
        <f>IF(A150&lt;&gt;"",SUMIFS(metas!N:N, metas!E:E, "&gt;=" &amp; DATEVALUE(B150&amp;"-01"),metas!D:D, "&lt;=" &amp; DATEVALUE(B150&amp;"-01")),"")</f>
        <v>3182.813937</v>
      </c>
      <c r="K150" s="49">
        <f t="shared" si="4"/>
        <v>19723.18606</v>
      </c>
      <c r="L150" s="49">
        <f t="shared" si="6"/>
        <v>2302638.066</v>
      </c>
      <c r="M150" s="49">
        <f>IF(A150&lt;&gt;"",IF(COUNTIF(investimento!F:F, B150) &gt; 0, SUM(investimento!B:B)+I150, M149+I150),"")</f>
        <v>3195652.681</v>
      </c>
    </row>
    <row r="151" ht="22.5" customHeight="1">
      <c r="A151" s="47">
        <v>50200.0</v>
      </c>
      <c r="B151" s="48" t="str">
        <f t="shared" si="1"/>
        <v>2037-06</v>
      </c>
      <c r="C151" s="49">
        <f>SUMIF(despesas_recorrentes!C:C, "&gt;="&amp;A151,despesas_recorrentes!B:B) 
+SUMIF(despesas_recorrentes!C:C, "",despesas_recorrentes!B:B)
-despesas_recorrentes!$B$12
+IF(SUMIF(gasto_cartao!E:E,saldo!B151,gasto_cartao!B:B)&gt;despesas_recorrentes!$B$12, SUMIF(gasto_cartao!E:E,saldo!B151,gasto_cartao!B:B),despesas_recorrentes!$B$12)</f>
        <v>34013</v>
      </c>
      <c r="D151" s="51">
        <f>SUM(receitas_recorrentes!B:B)+SUMIF(receitas_pontuais!E:E,B151,receitas_pontuais!B:B)</f>
        <v>56919</v>
      </c>
      <c r="E151" s="51">
        <f t="shared" si="2"/>
        <v>22906</v>
      </c>
      <c r="F151" s="53">
        <f>IFERROR(SUMIF(contas!G:G, B151, contas!B:B),0)</f>
        <v>0</v>
      </c>
      <c r="G151" s="51">
        <f>SUMIFS(previsoes!D:D, previsoes!E:E, "&lt;=" &amp; EOMONTH(DATEVALUE(B151&amp;"-01"),0), previsoes!F:F, "&gt;=" &amp; DATEVALUE(B151&amp;"-01"))</f>
        <v>0</v>
      </c>
      <c r="H151" s="52">
        <f t="shared" si="5"/>
        <v>160491.8958</v>
      </c>
      <c r="I151" s="49">
        <f t="shared" si="3"/>
        <v>22906</v>
      </c>
      <c r="J151" s="52">
        <f>IF(A151&lt;&gt;"",SUMIFS(metas!N:N, metas!E:E, "&gt;=" &amp; DATEVALUE(B151&amp;"-01"),metas!D:D, "&lt;=" &amp; DATEVALUE(B151&amp;"-01")),"")</f>
        <v>3182.813937</v>
      </c>
      <c r="K151" s="49">
        <f t="shared" si="4"/>
        <v>19723.18606</v>
      </c>
      <c r="L151" s="49">
        <f t="shared" si="6"/>
        <v>2322361.252</v>
      </c>
      <c r="M151" s="49">
        <f>IF(A151&lt;&gt;"",IF(COUNTIF(investimento!F:F, B151) &gt; 0, SUM(investimento!B:B)+I151, M150+I151),"")</f>
        <v>3218558.681</v>
      </c>
    </row>
    <row r="152" ht="22.5" customHeight="1">
      <c r="A152" s="47">
        <v>50201.0</v>
      </c>
      <c r="B152" s="48" t="str">
        <f t="shared" si="1"/>
        <v>2037-06</v>
      </c>
      <c r="C152" s="49">
        <f>SUMIF(despesas_recorrentes!C:C, "&gt;="&amp;A152,despesas_recorrentes!B:B) 
+SUMIF(despesas_recorrentes!C:C, "",despesas_recorrentes!B:B)
-despesas_recorrentes!$B$12
+IF(SUMIF(gasto_cartao!E:E,saldo!B152,gasto_cartao!B:B)&gt;despesas_recorrentes!$B$12, SUMIF(gasto_cartao!E:E,saldo!B152,gasto_cartao!B:B),despesas_recorrentes!$B$12)</f>
        <v>34013</v>
      </c>
      <c r="D152" s="51">
        <f>SUM(receitas_recorrentes!B:B)+SUMIF(receitas_pontuais!E:E,B152,receitas_pontuais!B:B)</f>
        <v>56919</v>
      </c>
      <c r="E152" s="51">
        <f t="shared" si="2"/>
        <v>22906</v>
      </c>
      <c r="F152" s="53">
        <f>IFERROR(SUMIF(contas!G:G, B152, contas!B:B),0)</f>
        <v>0</v>
      </c>
      <c r="G152" s="51">
        <f>SUMIFS(previsoes!D:D, previsoes!E:E, "&lt;=" &amp; EOMONTH(DATEVALUE(B152&amp;"-01"),0), previsoes!F:F, "&gt;=" &amp; DATEVALUE(B152&amp;"-01"))</f>
        <v>0</v>
      </c>
      <c r="H152" s="52">
        <f t="shared" si="5"/>
        <v>160491.8958</v>
      </c>
      <c r="I152" s="49">
        <f t="shared" si="3"/>
        <v>22906</v>
      </c>
      <c r="J152" s="52">
        <f>IF(A152&lt;&gt;"",SUMIFS(metas!N:N, metas!E:E, "&gt;=" &amp; DATEVALUE(B152&amp;"-01"),metas!D:D, "&lt;=" &amp; DATEVALUE(B152&amp;"-01")),"")</f>
        <v>3182.813937</v>
      </c>
      <c r="K152" s="49">
        <f t="shared" si="4"/>
        <v>19723.18606</v>
      </c>
      <c r="L152" s="49">
        <f t="shared" si="6"/>
        <v>2342084.438</v>
      </c>
      <c r="M152" s="49">
        <f>IF(A152&lt;&gt;"",IF(COUNTIF(investimento!F:F, B152) &gt; 0, SUM(investimento!B:B)+I152, M151+I152),"")</f>
        <v>3241464.681</v>
      </c>
    </row>
    <row r="153" ht="22.5" customHeight="1">
      <c r="A153" s="47">
        <v>50202.0</v>
      </c>
      <c r="B153" s="48" t="str">
        <f t="shared" si="1"/>
        <v>2037-06</v>
      </c>
      <c r="C153" s="49">
        <f>SUMIF(despesas_recorrentes!C:C, "&gt;="&amp;A153,despesas_recorrentes!B:B) 
+SUMIF(despesas_recorrentes!C:C, "",despesas_recorrentes!B:B)
-despesas_recorrentes!$B$12
+IF(SUMIF(gasto_cartao!E:E,saldo!B153,gasto_cartao!B:B)&gt;despesas_recorrentes!$B$12, SUMIF(gasto_cartao!E:E,saldo!B153,gasto_cartao!B:B),despesas_recorrentes!$B$12)</f>
        <v>34013</v>
      </c>
      <c r="D153" s="51">
        <f>SUM(receitas_recorrentes!B:B)+SUMIF(receitas_pontuais!E:E,B153,receitas_pontuais!B:B)</f>
        <v>56919</v>
      </c>
      <c r="E153" s="51">
        <f t="shared" si="2"/>
        <v>22906</v>
      </c>
      <c r="F153" s="53">
        <f>IFERROR(SUMIF(contas!G:G, B153, contas!B:B),0)</f>
        <v>0</v>
      </c>
      <c r="G153" s="51">
        <f>SUMIFS(previsoes!D:D, previsoes!E:E, "&lt;=" &amp; EOMONTH(DATEVALUE(B153&amp;"-01"),0), previsoes!F:F, "&gt;=" &amp; DATEVALUE(B153&amp;"-01"))</f>
        <v>0</v>
      </c>
      <c r="H153" s="52">
        <f t="shared" si="5"/>
        <v>160491.8958</v>
      </c>
      <c r="I153" s="49">
        <f t="shared" si="3"/>
        <v>22906</v>
      </c>
      <c r="J153" s="52">
        <f>IF(A153&lt;&gt;"",SUMIFS(metas!N:N, metas!E:E, "&gt;=" &amp; DATEVALUE(B153&amp;"-01"),metas!D:D, "&lt;=" &amp; DATEVALUE(B153&amp;"-01")),"")</f>
        <v>3182.813937</v>
      </c>
      <c r="K153" s="49">
        <f t="shared" si="4"/>
        <v>19723.18606</v>
      </c>
      <c r="L153" s="49">
        <f t="shared" si="6"/>
        <v>2361807.624</v>
      </c>
      <c r="M153" s="49">
        <f>IF(A153&lt;&gt;"",IF(COUNTIF(investimento!F:F, B153) &gt; 0, SUM(investimento!B:B)+I153, M152+I153),"")</f>
        <v>3264370.681</v>
      </c>
    </row>
    <row r="154" ht="22.5" customHeight="1">
      <c r="A154" s="47">
        <v>50203.0</v>
      </c>
      <c r="B154" s="48" t="str">
        <f t="shared" si="1"/>
        <v>2037-06</v>
      </c>
      <c r="C154" s="49">
        <f>SUMIF(despesas_recorrentes!C:C, "&gt;="&amp;A154,despesas_recorrentes!B:B) 
+SUMIF(despesas_recorrentes!C:C, "",despesas_recorrentes!B:B)
-despesas_recorrentes!$B$12
+IF(SUMIF(gasto_cartao!E:E,saldo!B154,gasto_cartao!B:B)&gt;despesas_recorrentes!$B$12, SUMIF(gasto_cartao!E:E,saldo!B154,gasto_cartao!B:B),despesas_recorrentes!$B$12)</f>
        <v>34013</v>
      </c>
      <c r="D154" s="51">
        <f>SUM(receitas_recorrentes!B:B)+SUMIF(receitas_pontuais!E:E,B154,receitas_pontuais!B:B)</f>
        <v>56919</v>
      </c>
      <c r="E154" s="51">
        <f t="shared" si="2"/>
        <v>22906</v>
      </c>
      <c r="F154" s="53">
        <f>IFERROR(SUMIF(contas!G:G, B154, contas!B:B),0)</f>
        <v>0</v>
      </c>
      <c r="G154" s="51">
        <f>SUMIFS(previsoes!D:D, previsoes!E:E, "&lt;=" &amp; EOMONTH(DATEVALUE(B154&amp;"-01"),0), previsoes!F:F, "&gt;=" &amp; DATEVALUE(B154&amp;"-01"))</f>
        <v>0</v>
      </c>
      <c r="H154" s="52">
        <f t="shared" si="5"/>
        <v>160491.8958</v>
      </c>
      <c r="I154" s="49">
        <f t="shared" si="3"/>
        <v>22906</v>
      </c>
      <c r="J154" s="52">
        <f>IF(A154&lt;&gt;"",SUMIFS(metas!N:N, metas!E:E, "&gt;=" &amp; DATEVALUE(B154&amp;"-01"),metas!D:D, "&lt;=" &amp; DATEVALUE(B154&amp;"-01")),"")</f>
        <v>3182.813937</v>
      </c>
      <c r="K154" s="49">
        <f t="shared" si="4"/>
        <v>19723.18606</v>
      </c>
      <c r="L154" s="49">
        <f t="shared" si="6"/>
        <v>2381530.81</v>
      </c>
      <c r="M154" s="49">
        <f>IF(A154&lt;&gt;"",IF(COUNTIF(investimento!F:F, B154) &gt; 0, SUM(investimento!B:B)+I154, M153+I154),"")</f>
        <v>3287276.681</v>
      </c>
    </row>
    <row r="155" ht="22.5" customHeight="1">
      <c r="A155" s="47">
        <v>50204.0</v>
      </c>
      <c r="B155" s="48" t="str">
        <f t="shared" si="1"/>
        <v>2037-06</v>
      </c>
      <c r="C155" s="49">
        <f>SUMIF(despesas_recorrentes!C:C, "&gt;="&amp;A155,despesas_recorrentes!B:B) 
+SUMIF(despesas_recorrentes!C:C, "",despesas_recorrentes!B:B)
-despesas_recorrentes!$B$12
+IF(SUMIF(gasto_cartao!E:E,saldo!B155,gasto_cartao!B:B)&gt;despesas_recorrentes!$B$12, SUMIF(gasto_cartao!E:E,saldo!B155,gasto_cartao!B:B),despesas_recorrentes!$B$12)</f>
        <v>34013</v>
      </c>
      <c r="D155" s="51">
        <f>SUM(receitas_recorrentes!B:B)+SUMIF(receitas_pontuais!E:E,B155,receitas_pontuais!B:B)</f>
        <v>56919</v>
      </c>
      <c r="E155" s="51">
        <f t="shared" si="2"/>
        <v>22906</v>
      </c>
      <c r="F155" s="53">
        <f>IFERROR(SUMIF(contas!G:G, B155, contas!B:B),0)</f>
        <v>0</v>
      </c>
      <c r="G155" s="51">
        <f>SUMIFS(previsoes!D:D, previsoes!E:E, "&lt;=" &amp; EOMONTH(DATEVALUE(B155&amp;"-01"),0), previsoes!F:F, "&gt;=" &amp; DATEVALUE(B155&amp;"-01"))</f>
        <v>0</v>
      </c>
      <c r="H155" s="52">
        <f t="shared" si="5"/>
        <v>160491.8958</v>
      </c>
      <c r="I155" s="49">
        <f t="shared" si="3"/>
        <v>22906</v>
      </c>
      <c r="J155" s="52">
        <f>IF(A155&lt;&gt;"",SUMIFS(metas!N:N, metas!E:E, "&gt;=" &amp; DATEVALUE(B155&amp;"-01"),metas!D:D, "&lt;=" &amp; DATEVALUE(B155&amp;"-01")),"")</f>
        <v>3182.813937</v>
      </c>
      <c r="K155" s="49">
        <f t="shared" si="4"/>
        <v>19723.18606</v>
      </c>
      <c r="L155" s="49">
        <f t="shared" si="6"/>
        <v>2401253.996</v>
      </c>
      <c r="M155" s="49">
        <f>IF(A155&lt;&gt;"",IF(COUNTIF(investimento!F:F, B155) &gt; 0, SUM(investimento!B:B)+I155, M154+I155),"")</f>
        <v>3310182.681</v>
      </c>
    </row>
    <row r="156" ht="22.5" customHeight="1">
      <c r="A156" s="47">
        <v>50205.0</v>
      </c>
      <c r="B156" s="48" t="str">
        <f t="shared" si="1"/>
        <v>2037-06</v>
      </c>
      <c r="C156" s="49">
        <f>SUMIF(despesas_recorrentes!C:C, "&gt;="&amp;A156,despesas_recorrentes!B:B) 
+SUMIF(despesas_recorrentes!C:C, "",despesas_recorrentes!B:B)
-despesas_recorrentes!$B$12
+IF(SUMIF(gasto_cartao!E:E,saldo!B156,gasto_cartao!B:B)&gt;despesas_recorrentes!$B$12, SUMIF(gasto_cartao!E:E,saldo!B156,gasto_cartao!B:B),despesas_recorrentes!$B$12)</f>
        <v>34013</v>
      </c>
      <c r="D156" s="51">
        <f>SUM(receitas_recorrentes!B:B)+SUMIF(receitas_pontuais!E:E,B156,receitas_pontuais!B:B)</f>
        <v>56919</v>
      </c>
      <c r="E156" s="51">
        <f t="shared" si="2"/>
        <v>22906</v>
      </c>
      <c r="F156" s="53">
        <f>IFERROR(SUMIF(contas!G:G, B156, contas!B:B),0)</f>
        <v>0</v>
      </c>
      <c r="G156" s="51">
        <f>SUMIFS(previsoes!D:D, previsoes!E:E, "&lt;=" &amp; EOMONTH(DATEVALUE(B156&amp;"-01"),0), previsoes!F:F, "&gt;=" &amp; DATEVALUE(B156&amp;"-01"))</f>
        <v>0</v>
      </c>
      <c r="H156" s="52">
        <f t="shared" si="5"/>
        <v>160491.8958</v>
      </c>
      <c r="I156" s="49">
        <f t="shared" si="3"/>
        <v>22906</v>
      </c>
      <c r="J156" s="52">
        <f>IF(A156&lt;&gt;"",SUMIFS(metas!N:N, metas!E:E, "&gt;=" &amp; DATEVALUE(B156&amp;"-01"),metas!D:D, "&lt;=" &amp; DATEVALUE(B156&amp;"-01")),"")</f>
        <v>3182.813937</v>
      </c>
      <c r="K156" s="49">
        <f t="shared" si="4"/>
        <v>19723.18606</v>
      </c>
      <c r="L156" s="49">
        <f t="shared" si="6"/>
        <v>2420977.182</v>
      </c>
      <c r="M156" s="49">
        <f>IF(A156&lt;&gt;"",IF(COUNTIF(investimento!F:F, B156) &gt; 0, SUM(investimento!B:B)+I156, M155+I156),"")</f>
        <v>3333088.681</v>
      </c>
    </row>
    <row r="157" ht="22.5" customHeight="1">
      <c r="A157" s="47">
        <v>50206.0</v>
      </c>
      <c r="B157" s="48" t="str">
        <f t="shared" si="1"/>
        <v>2037-06</v>
      </c>
      <c r="C157" s="49">
        <f>SUMIF(despesas_recorrentes!C:C, "&gt;="&amp;A157,despesas_recorrentes!B:B) 
+SUMIF(despesas_recorrentes!C:C, "",despesas_recorrentes!B:B)
-despesas_recorrentes!$B$12
+IF(SUMIF(gasto_cartao!E:E,saldo!B157,gasto_cartao!B:B)&gt;despesas_recorrentes!$B$12, SUMIF(gasto_cartao!E:E,saldo!B157,gasto_cartao!B:B),despesas_recorrentes!$B$12)</f>
        <v>34013</v>
      </c>
      <c r="D157" s="51">
        <f>SUM(receitas_recorrentes!B:B)+SUMIF(receitas_pontuais!E:E,B157,receitas_pontuais!B:B)</f>
        <v>56919</v>
      </c>
      <c r="E157" s="51">
        <f t="shared" si="2"/>
        <v>22906</v>
      </c>
      <c r="F157" s="53">
        <f>IFERROR(SUMIF(contas!G:G, B157, contas!B:B),0)</f>
        <v>0</v>
      </c>
      <c r="G157" s="51">
        <f>SUMIFS(previsoes!D:D, previsoes!E:E, "&lt;=" &amp; EOMONTH(DATEVALUE(B157&amp;"-01"),0), previsoes!F:F, "&gt;=" &amp; DATEVALUE(B157&amp;"-01"))</f>
        <v>0</v>
      </c>
      <c r="H157" s="52">
        <f t="shared" si="5"/>
        <v>160491.8958</v>
      </c>
      <c r="I157" s="49">
        <f t="shared" si="3"/>
        <v>22906</v>
      </c>
      <c r="J157" s="52">
        <f>IF(A157&lt;&gt;"",SUMIFS(metas!N:N, metas!E:E, "&gt;=" &amp; DATEVALUE(B157&amp;"-01"),metas!D:D, "&lt;=" &amp; DATEVALUE(B157&amp;"-01")),"")</f>
        <v>3182.813937</v>
      </c>
      <c r="K157" s="49">
        <f t="shared" si="4"/>
        <v>19723.18606</v>
      </c>
      <c r="L157" s="49">
        <f t="shared" si="6"/>
        <v>2440700.368</v>
      </c>
      <c r="M157" s="49">
        <f>IF(A157&lt;&gt;"",IF(COUNTIF(investimento!F:F, B157) &gt; 0, SUM(investimento!B:B)+I157, M156+I157),"")</f>
        <v>3355994.681</v>
      </c>
    </row>
    <row r="158" ht="22.5" customHeight="1">
      <c r="A158" s="47">
        <v>50207.0</v>
      </c>
      <c r="B158" s="48" t="str">
        <f t="shared" si="1"/>
        <v>2037-06</v>
      </c>
      <c r="C158" s="49">
        <f>SUMIF(despesas_recorrentes!C:C, "&gt;="&amp;A158,despesas_recorrentes!B:B) 
+SUMIF(despesas_recorrentes!C:C, "",despesas_recorrentes!B:B)
-despesas_recorrentes!$B$12
+IF(SUMIF(gasto_cartao!E:E,saldo!B158,gasto_cartao!B:B)&gt;despesas_recorrentes!$B$12, SUMIF(gasto_cartao!E:E,saldo!B158,gasto_cartao!B:B),despesas_recorrentes!$B$12)</f>
        <v>34013</v>
      </c>
      <c r="D158" s="51">
        <f>SUM(receitas_recorrentes!B:B)+SUMIF(receitas_pontuais!E:E,B158,receitas_pontuais!B:B)</f>
        <v>56919</v>
      </c>
      <c r="E158" s="51">
        <f t="shared" si="2"/>
        <v>22906</v>
      </c>
      <c r="F158" s="53">
        <f>IFERROR(SUMIF(contas!G:G, B158, contas!B:B),0)</f>
        <v>0</v>
      </c>
      <c r="G158" s="51">
        <f>SUMIFS(previsoes!D:D, previsoes!E:E, "&lt;=" &amp; EOMONTH(DATEVALUE(B158&amp;"-01"),0), previsoes!F:F, "&gt;=" &amp; DATEVALUE(B158&amp;"-01"))</f>
        <v>0</v>
      </c>
      <c r="H158" s="52">
        <f t="shared" si="5"/>
        <v>160491.8958</v>
      </c>
      <c r="I158" s="49">
        <f t="shared" si="3"/>
        <v>22906</v>
      </c>
      <c r="J158" s="52">
        <f>IF(A158&lt;&gt;"",SUMIFS(metas!N:N, metas!E:E, "&gt;=" &amp; DATEVALUE(B158&amp;"-01"),metas!D:D, "&lt;=" &amp; DATEVALUE(B158&amp;"-01")),"")</f>
        <v>3182.813937</v>
      </c>
      <c r="K158" s="49">
        <f t="shared" si="4"/>
        <v>19723.18606</v>
      </c>
      <c r="L158" s="49">
        <f t="shared" si="6"/>
        <v>2460423.554</v>
      </c>
      <c r="M158" s="49">
        <f>IF(A158&lt;&gt;"",IF(COUNTIF(investimento!F:F, B158) &gt; 0, SUM(investimento!B:B)+I158, M157+I158),"")</f>
        <v>3378900.681</v>
      </c>
    </row>
    <row r="159" ht="22.5" customHeight="1">
      <c r="A159" s="47">
        <v>50208.0</v>
      </c>
      <c r="B159" s="48" t="str">
        <f t="shared" si="1"/>
        <v>2037-06</v>
      </c>
      <c r="C159" s="49">
        <f>SUMIF(despesas_recorrentes!C:C, "&gt;="&amp;A159,despesas_recorrentes!B:B) 
+SUMIF(despesas_recorrentes!C:C, "",despesas_recorrentes!B:B)
-despesas_recorrentes!$B$12
+IF(SUMIF(gasto_cartao!E:E,saldo!B159,gasto_cartao!B:B)&gt;despesas_recorrentes!$B$12, SUMIF(gasto_cartao!E:E,saldo!B159,gasto_cartao!B:B),despesas_recorrentes!$B$12)</f>
        <v>34013</v>
      </c>
      <c r="D159" s="51">
        <f>SUM(receitas_recorrentes!B:B)+SUMIF(receitas_pontuais!E:E,B159,receitas_pontuais!B:B)</f>
        <v>56919</v>
      </c>
      <c r="E159" s="51">
        <f t="shared" si="2"/>
        <v>22906</v>
      </c>
      <c r="F159" s="53">
        <f>IFERROR(SUMIF(contas!G:G, B159, contas!B:B),0)</f>
        <v>0</v>
      </c>
      <c r="G159" s="51">
        <f>SUMIFS(previsoes!D:D, previsoes!E:E, "&lt;=" &amp; EOMONTH(DATEVALUE(B159&amp;"-01"),0), previsoes!F:F, "&gt;=" &amp; DATEVALUE(B159&amp;"-01"))</f>
        <v>0</v>
      </c>
      <c r="H159" s="52">
        <f t="shared" si="5"/>
        <v>160491.8958</v>
      </c>
      <c r="I159" s="49">
        <f t="shared" si="3"/>
        <v>22906</v>
      </c>
      <c r="J159" s="52">
        <f>IF(A159&lt;&gt;"",SUMIFS(metas!N:N, metas!E:E, "&gt;=" &amp; DATEVALUE(B159&amp;"-01"),metas!D:D, "&lt;=" &amp; DATEVALUE(B159&amp;"-01")),"")</f>
        <v>3182.813937</v>
      </c>
      <c r="K159" s="49">
        <f t="shared" si="4"/>
        <v>19723.18606</v>
      </c>
      <c r="L159" s="49">
        <f t="shared" si="6"/>
        <v>2480146.74</v>
      </c>
      <c r="M159" s="49">
        <f>IF(A159&lt;&gt;"",IF(COUNTIF(investimento!F:F, B159) &gt; 0, SUM(investimento!B:B)+I159, M158+I159),"")</f>
        <v>3401806.681</v>
      </c>
    </row>
    <row r="160" ht="22.5" customHeight="1">
      <c r="A160" s="47">
        <v>50209.0</v>
      </c>
      <c r="B160" s="48" t="str">
        <f t="shared" si="1"/>
        <v>2037-06</v>
      </c>
      <c r="C160" s="49">
        <f>SUMIF(despesas_recorrentes!C:C, "&gt;="&amp;A160,despesas_recorrentes!B:B) 
+SUMIF(despesas_recorrentes!C:C, "",despesas_recorrentes!B:B)
-despesas_recorrentes!$B$12
+IF(SUMIF(gasto_cartao!E:E,saldo!B160,gasto_cartao!B:B)&gt;despesas_recorrentes!$B$12, SUMIF(gasto_cartao!E:E,saldo!B160,gasto_cartao!B:B),despesas_recorrentes!$B$12)</f>
        <v>34013</v>
      </c>
      <c r="D160" s="51">
        <f>SUM(receitas_recorrentes!B:B)+SUMIF(receitas_pontuais!E:E,B160,receitas_pontuais!B:B)</f>
        <v>56919</v>
      </c>
      <c r="E160" s="51">
        <f t="shared" si="2"/>
        <v>22906</v>
      </c>
      <c r="F160" s="53">
        <f>IFERROR(SUMIF(contas!G:G, B160, contas!B:B),0)</f>
        <v>0</v>
      </c>
      <c r="G160" s="51">
        <f>SUMIFS(previsoes!D:D, previsoes!E:E, "&lt;=" &amp; EOMONTH(DATEVALUE(B160&amp;"-01"),0), previsoes!F:F, "&gt;=" &amp; DATEVALUE(B160&amp;"-01"))</f>
        <v>0</v>
      </c>
      <c r="H160" s="52">
        <f t="shared" si="5"/>
        <v>160491.8958</v>
      </c>
      <c r="I160" s="49">
        <f t="shared" si="3"/>
        <v>22906</v>
      </c>
      <c r="J160" s="52">
        <f>IF(A160&lt;&gt;"",SUMIFS(metas!N:N, metas!E:E, "&gt;=" &amp; DATEVALUE(B160&amp;"-01"),metas!D:D, "&lt;=" &amp; DATEVALUE(B160&amp;"-01")),"")</f>
        <v>3182.813937</v>
      </c>
      <c r="K160" s="49">
        <f t="shared" si="4"/>
        <v>19723.18606</v>
      </c>
      <c r="L160" s="49">
        <f t="shared" si="6"/>
        <v>2499869.926</v>
      </c>
      <c r="M160" s="49">
        <f>IF(A160&lt;&gt;"",IF(COUNTIF(investimento!F:F, B160) &gt; 0, SUM(investimento!B:B)+I160, M159+I160),"")</f>
        <v>3424712.681</v>
      </c>
    </row>
    <row r="161" ht="22.5" customHeight="1">
      <c r="A161" s="47">
        <v>50210.0</v>
      </c>
      <c r="B161" s="48" t="str">
        <f t="shared" si="1"/>
        <v>2037-06</v>
      </c>
      <c r="C161" s="49">
        <f>SUMIF(despesas_recorrentes!C:C, "&gt;="&amp;A161,despesas_recorrentes!B:B) 
+SUMIF(despesas_recorrentes!C:C, "",despesas_recorrentes!B:B)
-despesas_recorrentes!$B$12
+IF(SUMIF(gasto_cartao!E:E,saldo!B161,gasto_cartao!B:B)&gt;despesas_recorrentes!$B$12, SUMIF(gasto_cartao!E:E,saldo!B161,gasto_cartao!B:B),despesas_recorrentes!$B$12)</f>
        <v>34013</v>
      </c>
      <c r="D161" s="51">
        <f>SUM(receitas_recorrentes!B:B)+SUMIF(receitas_pontuais!E:E,B161,receitas_pontuais!B:B)</f>
        <v>56919</v>
      </c>
      <c r="E161" s="51">
        <f t="shared" si="2"/>
        <v>22906</v>
      </c>
      <c r="F161" s="53">
        <f>IFERROR(SUMIF(contas!G:G, B161, contas!B:B),0)</f>
        <v>0</v>
      </c>
      <c r="G161" s="51">
        <f>SUMIFS(previsoes!D:D, previsoes!E:E, "&lt;=" &amp; EOMONTH(DATEVALUE(B161&amp;"-01"),0), previsoes!F:F, "&gt;=" &amp; DATEVALUE(B161&amp;"-01"))</f>
        <v>0</v>
      </c>
      <c r="H161" s="52">
        <f t="shared" si="5"/>
        <v>160491.8958</v>
      </c>
      <c r="I161" s="49">
        <f t="shared" si="3"/>
        <v>22906</v>
      </c>
      <c r="J161" s="52">
        <f>IF(A161&lt;&gt;"",SUMIFS(metas!N:N, metas!E:E, "&gt;=" &amp; DATEVALUE(B161&amp;"-01"),metas!D:D, "&lt;=" &amp; DATEVALUE(B161&amp;"-01")),"")</f>
        <v>3182.813937</v>
      </c>
      <c r="K161" s="49">
        <f t="shared" si="4"/>
        <v>19723.18606</v>
      </c>
      <c r="L161" s="49">
        <f t="shared" si="6"/>
        <v>2519593.113</v>
      </c>
      <c r="M161" s="49">
        <f>IF(A161&lt;&gt;"",IF(COUNTIF(investimento!F:F, B161) &gt; 0, SUM(investimento!B:B)+I161, M160+I161),"")</f>
        <v>3447618.681</v>
      </c>
    </row>
    <row r="162" ht="22.5" customHeight="1">
      <c r="A162" s="47">
        <v>50211.0</v>
      </c>
      <c r="B162" s="48" t="str">
        <f t="shared" si="1"/>
        <v>2037-06</v>
      </c>
      <c r="C162" s="49">
        <f>SUMIF(despesas_recorrentes!C:C, "&gt;="&amp;A162,despesas_recorrentes!B:B) 
+SUMIF(despesas_recorrentes!C:C, "",despesas_recorrentes!B:B)
-despesas_recorrentes!$B$12
+IF(SUMIF(gasto_cartao!E:E,saldo!B162,gasto_cartao!B:B)&gt;despesas_recorrentes!$B$12, SUMIF(gasto_cartao!E:E,saldo!B162,gasto_cartao!B:B),despesas_recorrentes!$B$12)</f>
        <v>34013</v>
      </c>
      <c r="D162" s="51">
        <f>SUM(receitas_recorrentes!B:B)+SUMIF(receitas_pontuais!E:E,B162,receitas_pontuais!B:B)</f>
        <v>56919</v>
      </c>
      <c r="E162" s="51">
        <f t="shared" si="2"/>
        <v>22906</v>
      </c>
      <c r="F162" s="53">
        <f>IFERROR(SUMIF(contas!G:G, B162, contas!B:B),0)</f>
        <v>0</v>
      </c>
      <c r="G162" s="51">
        <f>SUMIFS(previsoes!D:D, previsoes!E:E, "&lt;=" &amp; EOMONTH(DATEVALUE(B162&amp;"-01"),0), previsoes!F:F, "&gt;=" &amp; DATEVALUE(B162&amp;"-01"))</f>
        <v>0</v>
      </c>
      <c r="H162" s="52">
        <f t="shared" si="5"/>
        <v>160491.8958</v>
      </c>
      <c r="I162" s="49">
        <f t="shared" si="3"/>
        <v>22906</v>
      </c>
      <c r="J162" s="52">
        <f>IF(A162&lt;&gt;"",SUMIFS(metas!N:N, metas!E:E, "&gt;=" &amp; DATEVALUE(B162&amp;"-01"),metas!D:D, "&lt;=" &amp; DATEVALUE(B162&amp;"-01")),"")</f>
        <v>3182.813937</v>
      </c>
      <c r="K162" s="49">
        <f t="shared" si="4"/>
        <v>19723.18606</v>
      </c>
      <c r="L162" s="49">
        <f t="shared" si="6"/>
        <v>2539316.299</v>
      </c>
      <c r="M162" s="49">
        <f>IF(A162&lt;&gt;"",IF(COUNTIF(investimento!F:F, B162) &gt; 0, SUM(investimento!B:B)+I162, M161+I162),"")</f>
        <v>3470524.681</v>
      </c>
    </row>
    <row r="163" ht="22.5" customHeight="1">
      <c r="A163" s="47">
        <v>50212.0</v>
      </c>
      <c r="B163" s="48" t="str">
        <f t="shared" si="1"/>
        <v>2037-06</v>
      </c>
      <c r="C163" s="49">
        <f>SUMIF(despesas_recorrentes!C:C, "&gt;="&amp;A163,despesas_recorrentes!B:B) 
+SUMIF(despesas_recorrentes!C:C, "",despesas_recorrentes!B:B)
-despesas_recorrentes!$B$12
+IF(SUMIF(gasto_cartao!E:E,saldo!B163,gasto_cartao!B:B)&gt;despesas_recorrentes!$B$12, SUMIF(gasto_cartao!E:E,saldo!B163,gasto_cartao!B:B),despesas_recorrentes!$B$12)</f>
        <v>34013</v>
      </c>
      <c r="D163" s="51">
        <f>SUM(receitas_recorrentes!B:B)+SUMIF(receitas_pontuais!E:E,B163,receitas_pontuais!B:B)</f>
        <v>56919</v>
      </c>
      <c r="E163" s="51">
        <f t="shared" si="2"/>
        <v>22906</v>
      </c>
      <c r="F163" s="53">
        <f>IFERROR(SUMIF(contas!G:G, B163, contas!B:B),0)</f>
        <v>0</v>
      </c>
      <c r="G163" s="51">
        <f>SUMIFS(previsoes!D:D, previsoes!E:E, "&lt;=" &amp; EOMONTH(DATEVALUE(B163&amp;"-01"),0), previsoes!F:F, "&gt;=" &amp; DATEVALUE(B163&amp;"-01"))</f>
        <v>0</v>
      </c>
      <c r="H163" s="52">
        <f t="shared" si="5"/>
        <v>160491.8958</v>
      </c>
      <c r="I163" s="49">
        <f t="shared" si="3"/>
        <v>22906</v>
      </c>
      <c r="J163" s="52">
        <f>IF(A163&lt;&gt;"",SUMIFS(metas!N:N, metas!E:E, "&gt;=" &amp; DATEVALUE(B163&amp;"-01"),metas!D:D, "&lt;=" &amp; DATEVALUE(B163&amp;"-01")),"")</f>
        <v>3182.813937</v>
      </c>
      <c r="K163" s="49">
        <f t="shared" si="4"/>
        <v>19723.18606</v>
      </c>
      <c r="L163" s="49">
        <f t="shared" si="6"/>
        <v>2559039.485</v>
      </c>
      <c r="M163" s="49">
        <f>IF(A163&lt;&gt;"",IF(COUNTIF(investimento!F:F, B163) &gt; 0, SUM(investimento!B:B)+I163, M162+I163),"")</f>
        <v>3493430.681</v>
      </c>
    </row>
    <row r="164" ht="22.5" customHeight="1">
      <c r="A164" s="47">
        <v>50213.0</v>
      </c>
      <c r="B164" s="48" t="str">
        <f t="shared" si="1"/>
        <v>2037-06</v>
      </c>
      <c r="C164" s="49">
        <f>SUMIF(despesas_recorrentes!C:C, "&gt;="&amp;A164,despesas_recorrentes!B:B) 
+SUMIF(despesas_recorrentes!C:C, "",despesas_recorrentes!B:B)
-despesas_recorrentes!$B$12
+IF(SUMIF(gasto_cartao!E:E,saldo!B164,gasto_cartao!B:B)&gt;despesas_recorrentes!$B$12, SUMIF(gasto_cartao!E:E,saldo!B164,gasto_cartao!B:B),despesas_recorrentes!$B$12)</f>
        <v>34013</v>
      </c>
      <c r="D164" s="51">
        <f>SUM(receitas_recorrentes!B:B)+SUMIF(receitas_pontuais!E:E,B164,receitas_pontuais!B:B)</f>
        <v>56919</v>
      </c>
      <c r="E164" s="51">
        <f t="shared" si="2"/>
        <v>22906</v>
      </c>
      <c r="F164" s="53">
        <f>IFERROR(SUMIF(contas!G:G, B164, contas!B:B),0)</f>
        <v>0</v>
      </c>
      <c r="G164" s="51">
        <f>SUMIFS(previsoes!D:D, previsoes!E:E, "&lt;=" &amp; EOMONTH(DATEVALUE(B164&amp;"-01"),0), previsoes!F:F, "&gt;=" &amp; DATEVALUE(B164&amp;"-01"))</f>
        <v>0</v>
      </c>
      <c r="H164" s="52">
        <f t="shared" si="5"/>
        <v>160491.8958</v>
      </c>
      <c r="I164" s="49">
        <f t="shared" si="3"/>
        <v>22906</v>
      </c>
      <c r="J164" s="52">
        <f>IF(A164&lt;&gt;"",SUMIFS(metas!N:N, metas!E:E, "&gt;=" &amp; DATEVALUE(B164&amp;"-01"),metas!D:D, "&lt;=" &amp; DATEVALUE(B164&amp;"-01")),"")</f>
        <v>3182.813937</v>
      </c>
      <c r="K164" s="49">
        <f t="shared" si="4"/>
        <v>19723.18606</v>
      </c>
      <c r="L164" s="49">
        <f t="shared" si="6"/>
        <v>2578762.671</v>
      </c>
      <c r="M164" s="49">
        <f>IF(A164&lt;&gt;"",IF(COUNTIF(investimento!F:F, B164) &gt; 0, SUM(investimento!B:B)+I164, M163+I164),"")</f>
        <v>3516336.681</v>
      </c>
    </row>
    <row r="165" ht="22.5" customHeight="1">
      <c r="A165" s="47">
        <v>50214.0</v>
      </c>
      <c r="B165" s="48" t="str">
        <f t="shared" si="1"/>
        <v>2037-06</v>
      </c>
      <c r="C165" s="49">
        <f>SUMIF(despesas_recorrentes!C:C, "&gt;="&amp;A165,despesas_recorrentes!B:B) 
+SUMIF(despesas_recorrentes!C:C, "",despesas_recorrentes!B:B)
-despesas_recorrentes!$B$12
+IF(SUMIF(gasto_cartao!E:E,saldo!B165,gasto_cartao!B:B)&gt;despesas_recorrentes!$B$12, SUMIF(gasto_cartao!E:E,saldo!B165,gasto_cartao!B:B),despesas_recorrentes!$B$12)</f>
        <v>34013</v>
      </c>
      <c r="D165" s="51">
        <f>SUM(receitas_recorrentes!B:B)+SUMIF(receitas_pontuais!E:E,B165,receitas_pontuais!B:B)</f>
        <v>56919</v>
      </c>
      <c r="E165" s="51">
        <f t="shared" si="2"/>
        <v>22906</v>
      </c>
      <c r="F165" s="53">
        <f>IFERROR(SUMIF(contas!G:G, B165, contas!B:B),0)</f>
        <v>0</v>
      </c>
      <c r="G165" s="51">
        <f>SUMIFS(previsoes!D:D, previsoes!E:E, "&lt;=" &amp; EOMONTH(DATEVALUE(B165&amp;"-01"),0), previsoes!F:F, "&gt;=" &amp; DATEVALUE(B165&amp;"-01"))</f>
        <v>0</v>
      </c>
      <c r="H165" s="52">
        <f t="shared" si="5"/>
        <v>160491.8958</v>
      </c>
      <c r="I165" s="49">
        <f t="shared" si="3"/>
        <v>22906</v>
      </c>
      <c r="J165" s="52">
        <f>IF(A165&lt;&gt;"",SUMIFS(metas!N:N, metas!E:E, "&gt;=" &amp; DATEVALUE(B165&amp;"-01"),metas!D:D, "&lt;=" &amp; DATEVALUE(B165&amp;"-01")),"")</f>
        <v>3182.813937</v>
      </c>
      <c r="K165" s="49">
        <f t="shared" si="4"/>
        <v>19723.18606</v>
      </c>
      <c r="L165" s="49">
        <f t="shared" si="6"/>
        <v>2598485.857</v>
      </c>
      <c r="M165" s="49">
        <f>IF(A165&lt;&gt;"",IF(COUNTIF(investimento!F:F, B165) &gt; 0, SUM(investimento!B:B)+I165, M164+I165),"")</f>
        <v>3539242.681</v>
      </c>
    </row>
    <row r="166" ht="22.5" customHeight="1">
      <c r="A166" s="47">
        <v>50215.0</v>
      </c>
      <c r="B166" s="48" t="str">
        <f t="shared" si="1"/>
        <v>2037-06</v>
      </c>
      <c r="C166" s="49">
        <f>SUMIF(despesas_recorrentes!C:C, "&gt;="&amp;A166,despesas_recorrentes!B:B) 
+SUMIF(despesas_recorrentes!C:C, "",despesas_recorrentes!B:B)
-despesas_recorrentes!$B$12
+IF(SUMIF(gasto_cartao!E:E,saldo!B166,gasto_cartao!B:B)&gt;despesas_recorrentes!$B$12, SUMIF(gasto_cartao!E:E,saldo!B166,gasto_cartao!B:B),despesas_recorrentes!$B$12)</f>
        <v>34013</v>
      </c>
      <c r="D166" s="51">
        <f>SUM(receitas_recorrentes!B:B)+SUMIF(receitas_pontuais!E:E,B166,receitas_pontuais!B:B)</f>
        <v>56919</v>
      </c>
      <c r="E166" s="51">
        <f t="shared" si="2"/>
        <v>22906</v>
      </c>
      <c r="F166" s="53">
        <f>IFERROR(SUMIF(contas!G:G, B166, contas!B:B),0)</f>
        <v>0</v>
      </c>
      <c r="G166" s="51">
        <f>SUMIFS(previsoes!D:D, previsoes!E:E, "&lt;=" &amp; EOMONTH(DATEVALUE(B166&amp;"-01"),0), previsoes!F:F, "&gt;=" &amp; DATEVALUE(B166&amp;"-01"))</f>
        <v>0</v>
      </c>
      <c r="H166" s="52">
        <f t="shared" si="5"/>
        <v>160491.8958</v>
      </c>
      <c r="I166" s="49">
        <f t="shared" si="3"/>
        <v>22906</v>
      </c>
      <c r="J166" s="52">
        <f>IF(A166&lt;&gt;"",SUMIFS(metas!N:N, metas!E:E, "&gt;=" &amp; DATEVALUE(B166&amp;"-01"),metas!D:D, "&lt;=" &amp; DATEVALUE(B166&amp;"-01")),"")</f>
        <v>3182.813937</v>
      </c>
      <c r="K166" s="49">
        <f t="shared" si="4"/>
        <v>19723.18606</v>
      </c>
      <c r="L166" s="49">
        <f t="shared" si="6"/>
        <v>2618209.043</v>
      </c>
      <c r="M166" s="49">
        <f>IF(A166&lt;&gt;"",IF(COUNTIF(investimento!F:F, B166) &gt; 0, SUM(investimento!B:B)+I166, M165+I166),"")</f>
        <v>3562148.681</v>
      </c>
    </row>
    <row r="167" ht="22.5" customHeight="1">
      <c r="A167" s="47">
        <v>50216.0</v>
      </c>
      <c r="B167" s="48" t="str">
        <f t="shared" si="1"/>
        <v>2037-06</v>
      </c>
      <c r="C167" s="49">
        <f>SUMIF(despesas_recorrentes!C:C, "&gt;="&amp;A167,despesas_recorrentes!B:B) 
+SUMIF(despesas_recorrentes!C:C, "",despesas_recorrentes!B:B)
-despesas_recorrentes!$B$12
+IF(SUMIF(gasto_cartao!E:E,saldo!B167,gasto_cartao!B:B)&gt;despesas_recorrentes!$B$12, SUMIF(gasto_cartao!E:E,saldo!B167,gasto_cartao!B:B),despesas_recorrentes!$B$12)</f>
        <v>34013</v>
      </c>
      <c r="D167" s="51">
        <f>SUM(receitas_recorrentes!B:B)+SUMIF(receitas_pontuais!E:E,B167,receitas_pontuais!B:B)</f>
        <v>56919</v>
      </c>
      <c r="E167" s="51">
        <f t="shared" si="2"/>
        <v>22906</v>
      </c>
      <c r="F167" s="53">
        <f>IFERROR(SUMIF(contas!G:G, B167, contas!B:B),0)</f>
        <v>0</v>
      </c>
      <c r="G167" s="51">
        <f>SUMIFS(previsoes!D:D, previsoes!E:E, "&lt;=" &amp; EOMONTH(DATEVALUE(B167&amp;"-01"),0), previsoes!F:F, "&gt;=" &amp; DATEVALUE(B167&amp;"-01"))</f>
        <v>0</v>
      </c>
      <c r="H167" s="52">
        <f t="shared" si="5"/>
        <v>160491.8958</v>
      </c>
      <c r="I167" s="49">
        <f t="shared" si="3"/>
        <v>22906</v>
      </c>
      <c r="J167" s="52">
        <f>IF(A167&lt;&gt;"",SUMIFS(metas!N:N, metas!E:E, "&gt;=" &amp; DATEVALUE(B167&amp;"-01"),metas!D:D, "&lt;=" &amp; DATEVALUE(B167&amp;"-01")),"")</f>
        <v>3182.813937</v>
      </c>
      <c r="K167" s="49">
        <f t="shared" si="4"/>
        <v>19723.18606</v>
      </c>
      <c r="L167" s="49">
        <f t="shared" si="6"/>
        <v>2637932.229</v>
      </c>
      <c r="M167" s="49">
        <f>IF(A167&lt;&gt;"",IF(COUNTIF(investimento!F:F, B167) &gt; 0, SUM(investimento!B:B)+I167, M166+I167),"")</f>
        <v>3585054.681</v>
      </c>
    </row>
    <row r="168" ht="22.5" customHeight="1">
      <c r="A168" s="47">
        <v>50217.0</v>
      </c>
      <c r="B168" s="48" t="str">
        <f t="shared" si="1"/>
        <v>2037-06</v>
      </c>
      <c r="C168" s="49">
        <f>SUMIF(despesas_recorrentes!C:C, "&gt;="&amp;A168,despesas_recorrentes!B:B) 
+SUMIF(despesas_recorrentes!C:C, "",despesas_recorrentes!B:B)
-despesas_recorrentes!$B$12
+IF(SUMIF(gasto_cartao!E:E,saldo!B168,gasto_cartao!B:B)&gt;despesas_recorrentes!$B$12, SUMIF(gasto_cartao!E:E,saldo!B168,gasto_cartao!B:B),despesas_recorrentes!$B$12)</f>
        <v>34013</v>
      </c>
      <c r="D168" s="51">
        <f>SUM(receitas_recorrentes!B:B)+SUMIF(receitas_pontuais!E:E,B168,receitas_pontuais!B:B)</f>
        <v>56919</v>
      </c>
      <c r="E168" s="51">
        <f t="shared" si="2"/>
        <v>22906</v>
      </c>
      <c r="F168" s="53">
        <f>IFERROR(SUMIF(contas!G:G, B168, contas!B:B),0)</f>
        <v>0</v>
      </c>
      <c r="G168" s="51">
        <f>SUMIFS(previsoes!D:D, previsoes!E:E, "&lt;=" &amp; EOMONTH(DATEVALUE(B168&amp;"-01"),0), previsoes!F:F, "&gt;=" &amp; DATEVALUE(B168&amp;"-01"))</f>
        <v>0</v>
      </c>
      <c r="H168" s="52">
        <f t="shared" si="5"/>
        <v>160491.8958</v>
      </c>
      <c r="I168" s="49">
        <f t="shared" si="3"/>
        <v>22906</v>
      </c>
      <c r="J168" s="52">
        <f>IF(A168&lt;&gt;"",SUMIFS(metas!N:N, metas!E:E, "&gt;=" &amp; DATEVALUE(B168&amp;"-01"),metas!D:D, "&lt;=" &amp; DATEVALUE(B168&amp;"-01")),"")</f>
        <v>3182.813937</v>
      </c>
      <c r="K168" s="49">
        <f t="shared" si="4"/>
        <v>19723.18606</v>
      </c>
      <c r="L168" s="49">
        <f t="shared" si="6"/>
        <v>2657655.415</v>
      </c>
      <c r="M168" s="49">
        <f>IF(A168&lt;&gt;"",IF(COUNTIF(investimento!F:F, B168) &gt; 0, SUM(investimento!B:B)+I168, M167+I168),"")</f>
        <v>3607960.681</v>
      </c>
    </row>
    <row r="169" ht="22.5" customHeight="1">
      <c r="A169" s="47">
        <v>50218.0</v>
      </c>
      <c r="B169" s="48" t="str">
        <f t="shared" si="1"/>
        <v>2037-06</v>
      </c>
      <c r="C169" s="49">
        <f>SUMIF(despesas_recorrentes!C:C, "&gt;="&amp;A169,despesas_recorrentes!B:B) 
+SUMIF(despesas_recorrentes!C:C, "",despesas_recorrentes!B:B)
-despesas_recorrentes!$B$12
+IF(SUMIF(gasto_cartao!E:E,saldo!B169,gasto_cartao!B:B)&gt;despesas_recorrentes!$B$12, SUMIF(gasto_cartao!E:E,saldo!B169,gasto_cartao!B:B),despesas_recorrentes!$B$12)</f>
        <v>34013</v>
      </c>
      <c r="D169" s="51">
        <f>SUM(receitas_recorrentes!B:B)+SUMIF(receitas_pontuais!E:E,B169,receitas_pontuais!B:B)</f>
        <v>56919</v>
      </c>
      <c r="E169" s="51">
        <f t="shared" si="2"/>
        <v>22906</v>
      </c>
      <c r="F169" s="53">
        <f>IFERROR(SUMIF(contas!G:G, B169, contas!B:B),0)</f>
        <v>0</v>
      </c>
      <c r="G169" s="51">
        <f>SUMIFS(previsoes!D:D, previsoes!E:E, "&lt;=" &amp; EOMONTH(DATEVALUE(B169&amp;"-01"),0), previsoes!F:F, "&gt;=" &amp; DATEVALUE(B169&amp;"-01"))</f>
        <v>0</v>
      </c>
      <c r="H169" s="52">
        <f t="shared" si="5"/>
        <v>160491.8958</v>
      </c>
      <c r="I169" s="49">
        <f t="shared" si="3"/>
        <v>22906</v>
      </c>
      <c r="J169" s="52">
        <f>IF(A169&lt;&gt;"",SUMIFS(metas!N:N, metas!E:E, "&gt;=" &amp; DATEVALUE(B169&amp;"-01"),metas!D:D, "&lt;=" &amp; DATEVALUE(B169&amp;"-01")),"")</f>
        <v>3182.813937</v>
      </c>
      <c r="K169" s="49">
        <f t="shared" si="4"/>
        <v>19723.18606</v>
      </c>
      <c r="L169" s="49">
        <f t="shared" si="6"/>
        <v>2677378.601</v>
      </c>
      <c r="M169" s="49">
        <f>IF(A169&lt;&gt;"",IF(COUNTIF(investimento!F:F, B169) &gt; 0, SUM(investimento!B:B)+I169, M168+I169),"")</f>
        <v>3630866.681</v>
      </c>
    </row>
    <row r="170" ht="22.5" customHeight="1">
      <c r="A170" s="47">
        <v>50219.0</v>
      </c>
      <c r="B170" s="48" t="str">
        <f t="shared" si="1"/>
        <v>2037-06</v>
      </c>
      <c r="C170" s="49">
        <f>SUMIF(despesas_recorrentes!C:C, "&gt;="&amp;A170,despesas_recorrentes!B:B) 
+SUMIF(despesas_recorrentes!C:C, "",despesas_recorrentes!B:B)
-despesas_recorrentes!$B$12
+IF(SUMIF(gasto_cartao!E:E,saldo!B170,gasto_cartao!B:B)&gt;despesas_recorrentes!$B$12, SUMIF(gasto_cartao!E:E,saldo!B170,gasto_cartao!B:B),despesas_recorrentes!$B$12)</f>
        <v>34013</v>
      </c>
      <c r="D170" s="51">
        <f>SUM(receitas_recorrentes!B:B)+SUMIF(receitas_pontuais!E:E,B170,receitas_pontuais!B:B)</f>
        <v>56919</v>
      </c>
      <c r="E170" s="51">
        <f t="shared" si="2"/>
        <v>22906</v>
      </c>
      <c r="F170" s="53">
        <f>IFERROR(SUMIF(contas!G:G, B170, contas!B:B),0)</f>
        <v>0</v>
      </c>
      <c r="G170" s="51">
        <f>SUMIFS(previsoes!D:D, previsoes!E:E, "&lt;=" &amp; EOMONTH(DATEVALUE(B170&amp;"-01"),0), previsoes!F:F, "&gt;=" &amp; DATEVALUE(B170&amp;"-01"))</f>
        <v>0</v>
      </c>
      <c r="H170" s="52">
        <f t="shared" si="5"/>
        <v>160491.8958</v>
      </c>
      <c r="I170" s="49">
        <f t="shared" si="3"/>
        <v>22906</v>
      </c>
      <c r="J170" s="52">
        <f>IF(A170&lt;&gt;"",SUMIFS(metas!N:N, metas!E:E, "&gt;=" &amp; DATEVALUE(B170&amp;"-01"),metas!D:D, "&lt;=" &amp; DATEVALUE(B170&amp;"-01")),"")</f>
        <v>3182.813937</v>
      </c>
      <c r="K170" s="49">
        <f t="shared" si="4"/>
        <v>19723.18606</v>
      </c>
      <c r="L170" s="49">
        <f t="shared" si="6"/>
        <v>2697101.787</v>
      </c>
      <c r="M170" s="49">
        <f>IF(A170&lt;&gt;"",IF(COUNTIF(investimento!F:F, B170) &gt; 0, SUM(investimento!B:B)+I170, M169+I170),"")</f>
        <v>3653772.681</v>
      </c>
    </row>
    <row r="171" ht="22.5" customHeight="1">
      <c r="A171" s="47">
        <v>50220.0</v>
      </c>
      <c r="B171" s="48" t="str">
        <f t="shared" si="1"/>
        <v>2037-06</v>
      </c>
      <c r="C171" s="49">
        <f>SUMIF(despesas_recorrentes!C:C, "&gt;="&amp;A171,despesas_recorrentes!B:B) 
+SUMIF(despesas_recorrentes!C:C, "",despesas_recorrentes!B:B)
-despesas_recorrentes!$B$12
+IF(SUMIF(gasto_cartao!E:E,saldo!B171,gasto_cartao!B:B)&gt;despesas_recorrentes!$B$12, SUMIF(gasto_cartao!E:E,saldo!B171,gasto_cartao!B:B),despesas_recorrentes!$B$12)</f>
        <v>34013</v>
      </c>
      <c r="D171" s="51">
        <f>SUM(receitas_recorrentes!B:B)+SUMIF(receitas_pontuais!E:E,B171,receitas_pontuais!B:B)</f>
        <v>56919</v>
      </c>
      <c r="E171" s="51">
        <f t="shared" si="2"/>
        <v>22906</v>
      </c>
      <c r="F171" s="53">
        <f>IFERROR(SUMIF(contas!G:G, B171, contas!B:B),0)</f>
        <v>0</v>
      </c>
      <c r="G171" s="51">
        <f>SUMIFS(previsoes!D:D, previsoes!E:E, "&lt;=" &amp; EOMONTH(DATEVALUE(B171&amp;"-01"),0), previsoes!F:F, "&gt;=" &amp; DATEVALUE(B171&amp;"-01"))</f>
        <v>0</v>
      </c>
      <c r="H171" s="52">
        <f t="shared" si="5"/>
        <v>160491.8958</v>
      </c>
      <c r="I171" s="49">
        <f t="shared" si="3"/>
        <v>22906</v>
      </c>
      <c r="J171" s="52">
        <f>IF(A171&lt;&gt;"",SUMIFS(metas!N:N, metas!E:E, "&gt;=" &amp; DATEVALUE(B171&amp;"-01"),metas!D:D, "&lt;=" &amp; DATEVALUE(B171&amp;"-01")),"")</f>
        <v>3182.813937</v>
      </c>
      <c r="K171" s="49">
        <f t="shared" si="4"/>
        <v>19723.18606</v>
      </c>
      <c r="L171" s="49">
        <f t="shared" si="6"/>
        <v>2716824.973</v>
      </c>
      <c r="M171" s="49">
        <f>IF(A171&lt;&gt;"",IF(COUNTIF(investimento!F:F, B171) &gt; 0, SUM(investimento!B:B)+I171, M170+I171),"")</f>
        <v>3676678.681</v>
      </c>
    </row>
    <row r="172" ht="22.5" customHeight="1">
      <c r="A172" s="47">
        <v>50221.0</v>
      </c>
      <c r="B172" s="48" t="str">
        <f t="shared" si="1"/>
        <v>2037-06</v>
      </c>
      <c r="C172" s="49">
        <f>SUMIF(despesas_recorrentes!C:C, "&gt;="&amp;A172,despesas_recorrentes!B:B) 
+SUMIF(despesas_recorrentes!C:C, "",despesas_recorrentes!B:B)
-despesas_recorrentes!$B$12
+IF(SUMIF(gasto_cartao!E:E,saldo!B172,gasto_cartao!B:B)&gt;despesas_recorrentes!$B$12, SUMIF(gasto_cartao!E:E,saldo!B172,gasto_cartao!B:B),despesas_recorrentes!$B$12)</f>
        <v>34013</v>
      </c>
      <c r="D172" s="51">
        <f>SUM(receitas_recorrentes!B:B)+SUMIF(receitas_pontuais!E:E,B172,receitas_pontuais!B:B)</f>
        <v>56919</v>
      </c>
      <c r="E172" s="51">
        <f t="shared" si="2"/>
        <v>22906</v>
      </c>
      <c r="F172" s="53">
        <f>IFERROR(SUMIF(contas!G:G, B172, contas!B:B),0)</f>
        <v>0</v>
      </c>
      <c r="G172" s="51">
        <f>SUMIFS(previsoes!D:D, previsoes!E:E, "&lt;=" &amp; EOMONTH(DATEVALUE(B172&amp;"-01"),0), previsoes!F:F, "&gt;=" &amp; DATEVALUE(B172&amp;"-01"))</f>
        <v>0</v>
      </c>
      <c r="H172" s="52">
        <f t="shared" si="5"/>
        <v>160491.8958</v>
      </c>
      <c r="I172" s="49">
        <f t="shared" si="3"/>
        <v>22906</v>
      </c>
      <c r="J172" s="52">
        <f>IF(A172&lt;&gt;"",SUMIFS(metas!N:N, metas!E:E, "&gt;=" &amp; DATEVALUE(B172&amp;"-01"),metas!D:D, "&lt;=" &amp; DATEVALUE(B172&amp;"-01")),"")</f>
        <v>3182.813937</v>
      </c>
      <c r="K172" s="49">
        <f t="shared" si="4"/>
        <v>19723.18606</v>
      </c>
      <c r="L172" s="49">
        <f t="shared" si="6"/>
        <v>2736548.159</v>
      </c>
      <c r="M172" s="49">
        <f>IF(A172&lt;&gt;"",IF(COUNTIF(investimento!F:F, B172) &gt; 0, SUM(investimento!B:B)+I172, M171+I172),"")</f>
        <v>3699584.681</v>
      </c>
    </row>
    <row r="173" ht="22.5" customHeight="1">
      <c r="A173" s="47">
        <v>50222.0</v>
      </c>
      <c r="B173" s="48" t="str">
        <f t="shared" si="1"/>
        <v>2037-07</v>
      </c>
      <c r="C173" s="49">
        <f>SUMIF(despesas_recorrentes!C:C, "&gt;="&amp;A173,despesas_recorrentes!B:B) 
+SUMIF(despesas_recorrentes!C:C, "",despesas_recorrentes!B:B)
-despesas_recorrentes!$B$12
+IF(SUMIF(gasto_cartao!E:E,saldo!B173,gasto_cartao!B:B)&gt;despesas_recorrentes!$B$12, SUMIF(gasto_cartao!E:E,saldo!B173,gasto_cartao!B:B),despesas_recorrentes!$B$12)</f>
        <v>34013</v>
      </c>
      <c r="D173" s="51">
        <f>SUM(receitas_recorrentes!B:B)+SUMIF(receitas_pontuais!E:E,B173,receitas_pontuais!B:B)</f>
        <v>56919</v>
      </c>
      <c r="E173" s="51">
        <f t="shared" si="2"/>
        <v>22906</v>
      </c>
      <c r="F173" s="53">
        <f>IFERROR(SUMIF(contas!G:G, B173, contas!B:B),0)</f>
        <v>0</v>
      </c>
      <c r="G173" s="51">
        <f>SUMIFS(previsoes!D:D, previsoes!E:E, "&lt;=" &amp; EOMONTH(DATEVALUE(B173&amp;"-01"),0), previsoes!F:F, "&gt;=" &amp; DATEVALUE(B173&amp;"-01"))</f>
        <v>0</v>
      </c>
      <c r="H173" s="52">
        <f t="shared" si="5"/>
        <v>160491.8958</v>
      </c>
      <c r="I173" s="49">
        <f t="shared" si="3"/>
        <v>22906</v>
      </c>
      <c r="J173" s="52">
        <f>IF(A173&lt;&gt;"",SUMIFS(metas!N:N, metas!E:E, "&gt;=" &amp; DATEVALUE(B173&amp;"-01"),metas!D:D, "&lt;=" &amp; DATEVALUE(B173&amp;"-01")),"")</f>
        <v>3182.813937</v>
      </c>
      <c r="K173" s="49">
        <f t="shared" si="4"/>
        <v>19723.18606</v>
      </c>
      <c r="L173" s="49">
        <f t="shared" si="6"/>
        <v>2756271.345</v>
      </c>
      <c r="M173" s="49">
        <f>IF(A173&lt;&gt;"",IF(COUNTIF(investimento!F:F, B173) &gt; 0, SUM(investimento!B:B)+I173, M172+I173),"")</f>
        <v>3722490.681</v>
      </c>
    </row>
    <row r="174" ht="22.5" customHeight="1">
      <c r="A174" s="47">
        <v>50223.0</v>
      </c>
      <c r="B174" s="48" t="str">
        <f t="shared" si="1"/>
        <v>2037-07</v>
      </c>
      <c r="C174" s="49">
        <f>SUMIF(despesas_recorrentes!C:C, "&gt;="&amp;A174,despesas_recorrentes!B:B) 
+SUMIF(despesas_recorrentes!C:C, "",despesas_recorrentes!B:B)
-despesas_recorrentes!$B$12
+IF(SUMIF(gasto_cartao!E:E,saldo!B174,gasto_cartao!B:B)&gt;despesas_recorrentes!$B$12, SUMIF(gasto_cartao!E:E,saldo!B174,gasto_cartao!B:B),despesas_recorrentes!$B$12)</f>
        <v>34013</v>
      </c>
      <c r="D174" s="51">
        <f>SUM(receitas_recorrentes!B:B)+SUMIF(receitas_pontuais!E:E,B174,receitas_pontuais!B:B)</f>
        <v>56919</v>
      </c>
      <c r="E174" s="51">
        <f t="shared" si="2"/>
        <v>22906</v>
      </c>
      <c r="F174" s="53">
        <f>IFERROR(SUMIF(contas!G:G, B174, contas!B:B),0)</f>
        <v>0</v>
      </c>
      <c r="G174" s="51">
        <f>SUMIFS(previsoes!D:D, previsoes!E:E, "&lt;=" &amp; EOMONTH(DATEVALUE(B174&amp;"-01"),0), previsoes!F:F, "&gt;=" &amp; DATEVALUE(B174&amp;"-01"))</f>
        <v>0</v>
      </c>
      <c r="H174" s="52">
        <f t="shared" si="5"/>
        <v>160491.8958</v>
      </c>
      <c r="I174" s="49">
        <f t="shared" si="3"/>
        <v>22906</v>
      </c>
      <c r="J174" s="52">
        <f>IF(A174&lt;&gt;"",SUMIFS(metas!N:N, metas!E:E, "&gt;=" &amp; DATEVALUE(B174&amp;"-01"),metas!D:D, "&lt;=" &amp; DATEVALUE(B174&amp;"-01")),"")</f>
        <v>3182.813937</v>
      </c>
      <c r="K174" s="49">
        <f t="shared" si="4"/>
        <v>19723.18606</v>
      </c>
      <c r="L174" s="49">
        <f t="shared" si="6"/>
        <v>2775994.531</v>
      </c>
      <c r="M174" s="49">
        <f>IF(A174&lt;&gt;"",IF(COUNTIF(investimento!F:F, B174) &gt; 0, SUM(investimento!B:B)+I174, M173+I174),"")</f>
        <v>3745396.681</v>
      </c>
    </row>
    <row r="175" ht="22.5" customHeight="1">
      <c r="A175" s="47">
        <v>50224.0</v>
      </c>
      <c r="B175" s="48" t="str">
        <f t="shared" si="1"/>
        <v>2037-07</v>
      </c>
      <c r="C175" s="49">
        <f>SUMIF(despesas_recorrentes!C:C, "&gt;="&amp;A175,despesas_recorrentes!B:B) 
+SUMIF(despesas_recorrentes!C:C, "",despesas_recorrentes!B:B)
-despesas_recorrentes!$B$12
+IF(SUMIF(gasto_cartao!E:E,saldo!B175,gasto_cartao!B:B)&gt;despesas_recorrentes!$B$12, SUMIF(gasto_cartao!E:E,saldo!B175,gasto_cartao!B:B),despesas_recorrentes!$B$12)</f>
        <v>34013</v>
      </c>
      <c r="D175" s="51">
        <f>SUM(receitas_recorrentes!B:B)+SUMIF(receitas_pontuais!E:E,B175,receitas_pontuais!B:B)</f>
        <v>56919</v>
      </c>
      <c r="E175" s="51">
        <f t="shared" si="2"/>
        <v>22906</v>
      </c>
      <c r="F175" s="53">
        <f>IFERROR(SUMIF(contas!G:G, B175, contas!B:B),0)</f>
        <v>0</v>
      </c>
      <c r="G175" s="51">
        <f>SUMIFS(previsoes!D:D, previsoes!E:E, "&lt;=" &amp; EOMONTH(DATEVALUE(B175&amp;"-01"),0), previsoes!F:F, "&gt;=" &amp; DATEVALUE(B175&amp;"-01"))</f>
        <v>0</v>
      </c>
      <c r="H175" s="52">
        <f t="shared" si="5"/>
        <v>160491.8958</v>
      </c>
      <c r="I175" s="49">
        <f t="shared" si="3"/>
        <v>22906</v>
      </c>
      <c r="J175" s="52">
        <f>IF(A175&lt;&gt;"",SUMIFS(metas!N:N, metas!E:E, "&gt;=" &amp; DATEVALUE(B175&amp;"-01"),metas!D:D, "&lt;=" &amp; DATEVALUE(B175&amp;"-01")),"")</f>
        <v>3182.813937</v>
      </c>
      <c r="K175" s="49">
        <f t="shared" si="4"/>
        <v>19723.18606</v>
      </c>
      <c r="L175" s="49">
        <f t="shared" si="6"/>
        <v>2795717.717</v>
      </c>
      <c r="M175" s="49">
        <f>IF(A175&lt;&gt;"",IF(COUNTIF(investimento!F:F, B175) &gt; 0, SUM(investimento!B:B)+I175, M174+I175),"")</f>
        <v>3768302.681</v>
      </c>
    </row>
    <row r="176" ht="22.5" customHeight="1">
      <c r="A176" s="47">
        <v>50225.0</v>
      </c>
      <c r="B176" s="48" t="str">
        <f t="shared" si="1"/>
        <v>2037-07</v>
      </c>
      <c r="C176" s="49">
        <f>SUMIF(despesas_recorrentes!C:C, "&gt;="&amp;A176,despesas_recorrentes!B:B) 
+SUMIF(despesas_recorrentes!C:C, "",despesas_recorrentes!B:B)
-despesas_recorrentes!$B$12
+IF(SUMIF(gasto_cartao!E:E,saldo!B176,gasto_cartao!B:B)&gt;despesas_recorrentes!$B$12, SUMIF(gasto_cartao!E:E,saldo!B176,gasto_cartao!B:B),despesas_recorrentes!$B$12)</f>
        <v>34013</v>
      </c>
      <c r="D176" s="51">
        <f>SUM(receitas_recorrentes!B:B)+SUMIF(receitas_pontuais!E:E,B176,receitas_pontuais!B:B)</f>
        <v>56919</v>
      </c>
      <c r="E176" s="51">
        <f t="shared" si="2"/>
        <v>22906</v>
      </c>
      <c r="F176" s="53">
        <f>IFERROR(SUMIF(contas!G:G, B176, contas!B:B),0)</f>
        <v>0</v>
      </c>
      <c r="G176" s="51">
        <f>SUMIFS(previsoes!D:D, previsoes!E:E, "&lt;=" &amp; EOMONTH(DATEVALUE(B176&amp;"-01"),0), previsoes!F:F, "&gt;=" &amp; DATEVALUE(B176&amp;"-01"))</f>
        <v>0</v>
      </c>
      <c r="H176" s="52">
        <f t="shared" si="5"/>
        <v>160491.8958</v>
      </c>
      <c r="I176" s="49">
        <f t="shared" si="3"/>
        <v>22906</v>
      </c>
      <c r="J176" s="52">
        <f>IF(A176&lt;&gt;"",SUMIFS(metas!N:N, metas!E:E, "&gt;=" &amp; DATEVALUE(B176&amp;"-01"),metas!D:D, "&lt;=" &amp; DATEVALUE(B176&amp;"-01")),"")</f>
        <v>3182.813937</v>
      </c>
      <c r="K176" s="49">
        <f t="shared" si="4"/>
        <v>19723.18606</v>
      </c>
      <c r="L176" s="49">
        <f t="shared" si="6"/>
        <v>2815440.903</v>
      </c>
      <c r="M176" s="49">
        <f>IF(A176&lt;&gt;"",IF(COUNTIF(investimento!F:F, B176) &gt; 0, SUM(investimento!B:B)+I176, M175+I176),"")</f>
        <v>3791208.681</v>
      </c>
    </row>
    <row r="177" ht="22.5" customHeight="1">
      <c r="A177" s="47">
        <v>50226.0</v>
      </c>
      <c r="B177" s="48" t="str">
        <f t="shared" si="1"/>
        <v>2037-07</v>
      </c>
      <c r="C177" s="49">
        <f>SUMIF(despesas_recorrentes!C:C, "&gt;="&amp;A177,despesas_recorrentes!B:B) 
+SUMIF(despesas_recorrentes!C:C, "",despesas_recorrentes!B:B)
-despesas_recorrentes!$B$12
+IF(SUMIF(gasto_cartao!E:E,saldo!B177,gasto_cartao!B:B)&gt;despesas_recorrentes!$B$12, SUMIF(gasto_cartao!E:E,saldo!B177,gasto_cartao!B:B),despesas_recorrentes!$B$12)</f>
        <v>34013</v>
      </c>
      <c r="D177" s="51">
        <f>SUM(receitas_recorrentes!B:B)+SUMIF(receitas_pontuais!E:E,B177,receitas_pontuais!B:B)</f>
        <v>56919</v>
      </c>
      <c r="E177" s="51">
        <f t="shared" si="2"/>
        <v>22906</v>
      </c>
      <c r="F177" s="53">
        <f>IFERROR(SUMIF(contas!G:G, B177, contas!B:B),0)</f>
        <v>0</v>
      </c>
      <c r="G177" s="51">
        <f>SUMIFS(previsoes!D:D, previsoes!E:E, "&lt;=" &amp; EOMONTH(DATEVALUE(B177&amp;"-01"),0), previsoes!F:F, "&gt;=" &amp; DATEVALUE(B177&amp;"-01"))</f>
        <v>0</v>
      </c>
      <c r="H177" s="52">
        <f t="shared" si="5"/>
        <v>160491.8958</v>
      </c>
      <c r="I177" s="49">
        <f t="shared" si="3"/>
        <v>22906</v>
      </c>
      <c r="J177" s="52">
        <f>IF(A177&lt;&gt;"",SUMIFS(metas!N:N, metas!E:E, "&gt;=" &amp; DATEVALUE(B177&amp;"-01"),metas!D:D, "&lt;=" &amp; DATEVALUE(B177&amp;"-01")),"")</f>
        <v>3182.813937</v>
      </c>
      <c r="K177" s="49">
        <f t="shared" si="4"/>
        <v>19723.18606</v>
      </c>
      <c r="L177" s="49">
        <f t="shared" si="6"/>
        <v>2835164.09</v>
      </c>
      <c r="M177" s="49">
        <f>IF(A177&lt;&gt;"",IF(COUNTIF(investimento!F:F, B177) &gt; 0, SUM(investimento!B:B)+I177, M176+I177),"")</f>
        <v>3814114.681</v>
      </c>
    </row>
    <row r="178" ht="22.5" customHeight="1">
      <c r="A178" s="47">
        <v>50227.0</v>
      </c>
      <c r="B178" s="48" t="str">
        <f t="shared" si="1"/>
        <v>2037-07</v>
      </c>
      <c r="C178" s="49">
        <f>SUMIF(despesas_recorrentes!C:C, "&gt;="&amp;A178,despesas_recorrentes!B:B) 
+SUMIF(despesas_recorrentes!C:C, "",despesas_recorrentes!B:B)
-despesas_recorrentes!$B$12
+IF(SUMIF(gasto_cartao!E:E,saldo!B178,gasto_cartao!B:B)&gt;despesas_recorrentes!$B$12, SUMIF(gasto_cartao!E:E,saldo!B178,gasto_cartao!B:B),despesas_recorrentes!$B$12)</f>
        <v>34013</v>
      </c>
      <c r="D178" s="51">
        <f>SUM(receitas_recorrentes!B:B)+SUMIF(receitas_pontuais!E:E,B178,receitas_pontuais!B:B)</f>
        <v>56919</v>
      </c>
      <c r="E178" s="51">
        <f t="shared" si="2"/>
        <v>22906</v>
      </c>
      <c r="F178" s="53">
        <f>IFERROR(SUMIF(contas!G:G, B178, contas!B:B),0)</f>
        <v>0</v>
      </c>
      <c r="G178" s="51">
        <f>SUMIFS(previsoes!D:D, previsoes!E:E, "&lt;=" &amp; EOMONTH(DATEVALUE(B178&amp;"-01"),0), previsoes!F:F, "&gt;=" &amp; DATEVALUE(B178&amp;"-01"))</f>
        <v>0</v>
      </c>
      <c r="H178" s="52">
        <f t="shared" si="5"/>
        <v>160491.8958</v>
      </c>
      <c r="I178" s="49">
        <f t="shared" si="3"/>
        <v>22906</v>
      </c>
      <c r="J178" s="52">
        <f>IF(A178&lt;&gt;"",SUMIFS(metas!N:N, metas!E:E, "&gt;=" &amp; DATEVALUE(B178&amp;"-01"),metas!D:D, "&lt;=" &amp; DATEVALUE(B178&amp;"-01")),"")</f>
        <v>3182.813937</v>
      </c>
      <c r="K178" s="49">
        <f t="shared" si="4"/>
        <v>19723.18606</v>
      </c>
      <c r="L178" s="49">
        <f t="shared" si="6"/>
        <v>2854887.276</v>
      </c>
      <c r="M178" s="49">
        <f>IF(A178&lt;&gt;"",IF(COUNTIF(investimento!F:F, B178) &gt; 0, SUM(investimento!B:B)+I178, M177+I178),"")</f>
        <v>3837020.681</v>
      </c>
    </row>
    <row r="179" ht="22.5" customHeight="1">
      <c r="A179" s="47">
        <v>50228.0</v>
      </c>
      <c r="B179" s="48" t="str">
        <f t="shared" si="1"/>
        <v>2037-07</v>
      </c>
      <c r="C179" s="49">
        <f>SUMIF(despesas_recorrentes!C:C, "&gt;="&amp;A179,despesas_recorrentes!B:B) 
+SUMIF(despesas_recorrentes!C:C, "",despesas_recorrentes!B:B)
-despesas_recorrentes!$B$12
+IF(SUMIF(gasto_cartao!E:E,saldo!B179,gasto_cartao!B:B)&gt;despesas_recorrentes!$B$12, SUMIF(gasto_cartao!E:E,saldo!B179,gasto_cartao!B:B),despesas_recorrentes!$B$12)</f>
        <v>34013</v>
      </c>
      <c r="D179" s="51">
        <f>SUM(receitas_recorrentes!B:B)+SUMIF(receitas_pontuais!E:E,B179,receitas_pontuais!B:B)</f>
        <v>56919</v>
      </c>
      <c r="E179" s="51">
        <f t="shared" si="2"/>
        <v>22906</v>
      </c>
      <c r="F179" s="53">
        <f>IFERROR(SUMIF(contas!G:G, B179, contas!B:B),0)</f>
        <v>0</v>
      </c>
      <c r="G179" s="51">
        <f>SUMIFS(previsoes!D:D, previsoes!E:E, "&lt;=" &amp; EOMONTH(DATEVALUE(B179&amp;"-01"),0), previsoes!F:F, "&gt;=" &amp; DATEVALUE(B179&amp;"-01"))</f>
        <v>0</v>
      </c>
      <c r="H179" s="52">
        <f t="shared" si="5"/>
        <v>160491.8958</v>
      </c>
      <c r="I179" s="49">
        <f t="shared" si="3"/>
        <v>22906</v>
      </c>
      <c r="J179" s="52">
        <f>IF(A179&lt;&gt;"",SUMIFS(metas!N:N, metas!E:E, "&gt;=" &amp; DATEVALUE(B179&amp;"-01"),metas!D:D, "&lt;=" &amp; DATEVALUE(B179&amp;"-01")),"")</f>
        <v>3182.813937</v>
      </c>
      <c r="K179" s="49">
        <f t="shared" si="4"/>
        <v>19723.18606</v>
      </c>
      <c r="L179" s="49">
        <f t="shared" si="6"/>
        <v>2874610.462</v>
      </c>
      <c r="M179" s="49">
        <f>IF(A179&lt;&gt;"",IF(COUNTIF(investimento!F:F, B179) &gt; 0, SUM(investimento!B:B)+I179, M178+I179),"")</f>
        <v>3859926.681</v>
      </c>
    </row>
    <row r="180" ht="22.5" customHeight="1">
      <c r="A180" s="47">
        <v>50229.0</v>
      </c>
      <c r="B180" s="48" t="str">
        <f t="shared" si="1"/>
        <v>2037-07</v>
      </c>
      <c r="C180" s="49">
        <f>SUMIF(despesas_recorrentes!C:C, "&gt;="&amp;A180,despesas_recorrentes!B:B) 
+SUMIF(despesas_recorrentes!C:C, "",despesas_recorrentes!B:B)
-despesas_recorrentes!$B$12
+IF(SUMIF(gasto_cartao!E:E,saldo!B180,gasto_cartao!B:B)&gt;despesas_recorrentes!$B$12, SUMIF(gasto_cartao!E:E,saldo!B180,gasto_cartao!B:B),despesas_recorrentes!$B$12)</f>
        <v>34013</v>
      </c>
      <c r="D180" s="51">
        <f>SUM(receitas_recorrentes!B:B)+SUMIF(receitas_pontuais!E:E,B180,receitas_pontuais!B:B)</f>
        <v>56919</v>
      </c>
      <c r="E180" s="51">
        <f t="shared" si="2"/>
        <v>22906</v>
      </c>
      <c r="F180" s="53">
        <f>IFERROR(SUMIF(contas!G:G, B180, contas!B:B),0)</f>
        <v>0</v>
      </c>
      <c r="G180" s="51">
        <f>SUMIFS(previsoes!D:D, previsoes!E:E, "&lt;=" &amp; EOMONTH(DATEVALUE(B180&amp;"-01"),0), previsoes!F:F, "&gt;=" &amp; DATEVALUE(B180&amp;"-01"))</f>
        <v>0</v>
      </c>
      <c r="H180" s="52">
        <f t="shared" si="5"/>
        <v>160491.8958</v>
      </c>
      <c r="I180" s="49">
        <f t="shared" si="3"/>
        <v>22906</v>
      </c>
      <c r="J180" s="52">
        <f>IF(A180&lt;&gt;"",SUMIFS(metas!N:N, metas!E:E, "&gt;=" &amp; DATEVALUE(B180&amp;"-01"),metas!D:D, "&lt;=" &amp; DATEVALUE(B180&amp;"-01")),"")</f>
        <v>3182.813937</v>
      </c>
      <c r="K180" s="49">
        <f t="shared" si="4"/>
        <v>19723.18606</v>
      </c>
      <c r="L180" s="49">
        <f t="shared" si="6"/>
        <v>2894333.648</v>
      </c>
      <c r="M180" s="49">
        <f>IF(A180&lt;&gt;"",IF(COUNTIF(investimento!F:F, B180) &gt; 0, SUM(investimento!B:B)+I180, M179+I180),"")</f>
        <v>3882832.681</v>
      </c>
    </row>
    <row r="181" ht="22.5" customHeight="1">
      <c r="A181" s="47">
        <v>50230.0</v>
      </c>
      <c r="B181" s="48" t="str">
        <f t="shared" si="1"/>
        <v>2037-07</v>
      </c>
      <c r="C181" s="49">
        <f>SUMIF(despesas_recorrentes!C:C, "&gt;="&amp;A181,despesas_recorrentes!B:B) 
+SUMIF(despesas_recorrentes!C:C, "",despesas_recorrentes!B:B)
-despesas_recorrentes!$B$12
+IF(SUMIF(gasto_cartao!E:E,saldo!B181,gasto_cartao!B:B)&gt;despesas_recorrentes!$B$12, SUMIF(gasto_cartao!E:E,saldo!B181,gasto_cartao!B:B),despesas_recorrentes!$B$12)</f>
        <v>34013</v>
      </c>
      <c r="D181" s="51">
        <f>SUM(receitas_recorrentes!B:B)+SUMIF(receitas_pontuais!E:E,B181,receitas_pontuais!B:B)</f>
        <v>56919</v>
      </c>
      <c r="E181" s="51">
        <f t="shared" si="2"/>
        <v>22906</v>
      </c>
      <c r="F181" s="53">
        <f>IFERROR(SUMIF(contas!G:G, B181, contas!B:B),0)</f>
        <v>0</v>
      </c>
      <c r="G181" s="51">
        <f>SUMIFS(previsoes!D:D, previsoes!E:E, "&lt;=" &amp; EOMONTH(DATEVALUE(B181&amp;"-01"),0), previsoes!F:F, "&gt;=" &amp; DATEVALUE(B181&amp;"-01"))</f>
        <v>0</v>
      </c>
      <c r="H181" s="52">
        <f t="shared" si="5"/>
        <v>160491.8958</v>
      </c>
      <c r="I181" s="49">
        <f t="shared" si="3"/>
        <v>22906</v>
      </c>
      <c r="J181" s="52">
        <f>IF(A181&lt;&gt;"",SUMIFS(metas!N:N, metas!E:E, "&gt;=" &amp; DATEVALUE(B181&amp;"-01"),metas!D:D, "&lt;=" &amp; DATEVALUE(B181&amp;"-01")),"")</f>
        <v>3182.813937</v>
      </c>
      <c r="K181" s="49">
        <f t="shared" si="4"/>
        <v>19723.18606</v>
      </c>
      <c r="L181" s="49">
        <f t="shared" si="6"/>
        <v>2914056.834</v>
      </c>
      <c r="M181" s="49">
        <f>IF(A181&lt;&gt;"",IF(COUNTIF(investimento!F:F, B181) &gt; 0, SUM(investimento!B:B)+I181, M180+I181),"")</f>
        <v>3905738.681</v>
      </c>
    </row>
    <row r="182" ht="22.5" customHeight="1">
      <c r="A182" s="47">
        <v>50231.0</v>
      </c>
      <c r="B182" s="48" t="str">
        <f t="shared" si="1"/>
        <v>2037-07</v>
      </c>
      <c r="C182" s="49">
        <f>SUMIF(despesas_recorrentes!C:C, "&gt;="&amp;A182,despesas_recorrentes!B:B) 
+SUMIF(despesas_recorrentes!C:C, "",despesas_recorrentes!B:B)
-despesas_recorrentes!$B$12
+IF(SUMIF(gasto_cartao!E:E,saldo!B182,gasto_cartao!B:B)&gt;despesas_recorrentes!$B$12, SUMIF(gasto_cartao!E:E,saldo!B182,gasto_cartao!B:B),despesas_recorrentes!$B$12)</f>
        <v>34013</v>
      </c>
      <c r="D182" s="51">
        <f>SUM(receitas_recorrentes!B:B)+SUMIF(receitas_pontuais!E:E,B182,receitas_pontuais!B:B)</f>
        <v>56919</v>
      </c>
      <c r="E182" s="51">
        <f t="shared" si="2"/>
        <v>22906</v>
      </c>
      <c r="F182" s="53">
        <f>IFERROR(SUMIF(contas!G:G, B182, contas!B:B),0)</f>
        <v>0</v>
      </c>
      <c r="G182" s="51">
        <f>SUMIFS(previsoes!D:D, previsoes!E:E, "&lt;=" &amp; EOMONTH(DATEVALUE(B182&amp;"-01"),0), previsoes!F:F, "&gt;=" &amp; DATEVALUE(B182&amp;"-01"))</f>
        <v>0</v>
      </c>
      <c r="H182" s="52">
        <f t="shared" si="5"/>
        <v>160491.8958</v>
      </c>
      <c r="I182" s="49">
        <f t="shared" si="3"/>
        <v>22906</v>
      </c>
      <c r="J182" s="52">
        <f>IF(A182&lt;&gt;"",SUMIFS(metas!N:N, metas!E:E, "&gt;=" &amp; DATEVALUE(B182&amp;"-01"),metas!D:D, "&lt;=" &amp; DATEVALUE(B182&amp;"-01")),"")</f>
        <v>3182.813937</v>
      </c>
      <c r="K182" s="49">
        <f t="shared" si="4"/>
        <v>19723.18606</v>
      </c>
      <c r="L182" s="49">
        <f t="shared" si="6"/>
        <v>2933780.02</v>
      </c>
      <c r="M182" s="49">
        <f>IF(A182&lt;&gt;"",IF(COUNTIF(investimento!F:F, B182) &gt; 0, SUM(investimento!B:B)+I182, M181+I182),"")</f>
        <v>3928644.681</v>
      </c>
    </row>
    <row r="183" ht="22.5" customHeight="1">
      <c r="A183" s="47">
        <v>50232.0</v>
      </c>
      <c r="B183" s="48" t="str">
        <f t="shared" si="1"/>
        <v>2037-07</v>
      </c>
      <c r="C183" s="49">
        <f>SUMIF(despesas_recorrentes!C:C, "&gt;="&amp;A183,despesas_recorrentes!B:B) 
+SUMIF(despesas_recorrentes!C:C, "",despesas_recorrentes!B:B)
-despesas_recorrentes!$B$12
+IF(SUMIF(gasto_cartao!E:E,saldo!B183,gasto_cartao!B:B)&gt;despesas_recorrentes!$B$12, SUMIF(gasto_cartao!E:E,saldo!B183,gasto_cartao!B:B),despesas_recorrentes!$B$12)</f>
        <v>34013</v>
      </c>
      <c r="D183" s="51">
        <f>SUM(receitas_recorrentes!B:B)+SUMIF(receitas_pontuais!E:E,B183,receitas_pontuais!B:B)</f>
        <v>56919</v>
      </c>
      <c r="E183" s="51">
        <f t="shared" si="2"/>
        <v>22906</v>
      </c>
      <c r="F183" s="53">
        <f>IFERROR(SUMIF(contas!G:G, B183, contas!B:B),0)</f>
        <v>0</v>
      </c>
      <c r="G183" s="51">
        <f>SUMIFS(previsoes!D:D, previsoes!E:E, "&lt;=" &amp; EOMONTH(DATEVALUE(B183&amp;"-01"),0), previsoes!F:F, "&gt;=" &amp; DATEVALUE(B183&amp;"-01"))</f>
        <v>0</v>
      </c>
      <c r="H183" s="52">
        <f t="shared" si="5"/>
        <v>160491.8958</v>
      </c>
      <c r="I183" s="49">
        <f t="shared" si="3"/>
        <v>22906</v>
      </c>
      <c r="J183" s="52">
        <f>IF(A183&lt;&gt;"",SUMIFS(metas!N:N, metas!E:E, "&gt;=" &amp; DATEVALUE(B183&amp;"-01"),metas!D:D, "&lt;=" &amp; DATEVALUE(B183&amp;"-01")),"")</f>
        <v>3182.813937</v>
      </c>
      <c r="K183" s="49">
        <f t="shared" si="4"/>
        <v>19723.18606</v>
      </c>
      <c r="L183" s="49">
        <f t="shared" si="6"/>
        <v>2953503.206</v>
      </c>
      <c r="M183" s="49">
        <f>IF(A183&lt;&gt;"",IF(COUNTIF(investimento!F:F, B183) &gt; 0, SUM(investimento!B:B)+I183, M182+I183),"")</f>
        <v>3951550.681</v>
      </c>
    </row>
    <row r="184" ht="22.5" customHeight="1">
      <c r="A184" s="47">
        <v>50233.0</v>
      </c>
      <c r="B184" s="48" t="str">
        <f t="shared" si="1"/>
        <v>2037-07</v>
      </c>
      <c r="C184" s="49">
        <f>SUMIF(despesas_recorrentes!C:C, "&gt;="&amp;A184,despesas_recorrentes!B:B) 
+SUMIF(despesas_recorrentes!C:C, "",despesas_recorrentes!B:B)
-despesas_recorrentes!$B$12
+IF(SUMIF(gasto_cartao!E:E,saldo!B184,gasto_cartao!B:B)&gt;despesas_recorrentes!$B$12, SUMIF(gasto_cartao!E:E,saldo!B184,gasto_cartao!B:B),despesas_recorrentes!$B$12)</f>
        <v>34013</v>
      </c>
      <c r="D184" s="51">
        <f>SUM(receitas_recorrentes!B:B)+SUMIF(receitas_pontuais!E:E,B184,receitas_pontuais!B:B)</f>
        <v>56919</v>
      </c>
      <c r="E184" s="51">
        <f t="shared" si="2"/>
        <v>22906</v>
      </c>
      <c r="F184" s="53">
        <f>IFERROR(SUMIF(contas!G:G, B184, contas!B:B),0)</f>
        <v>0</v>
      </c>
      <c r="G184" s="51">
        <f>SUMIFS(previsoes!D:D, previsoes!E:E, "&lt;=" &amp; EOMONTH(DATEVALUE(B184&amp;"-01"),0), previsoes!F:F, "&gt;=" &amp; DATEVALUE(B184&amp;"-01"))</f>
        <v>0</v>
      </c>
      <c r="H184" s="52">
        <f t="shared" si="5"/>
        <v>160491.8958</v>
      </c>
      <c r="I184" s="49">
        <f t="shared" si="3"/>
        <v>22906</v>
      </c>
      <c r="J184" s="52">
        <f>IF(A184&lt;&gt;"",SUMIFS(metas!N:N, metas!E:E, "&gt;=" &amp; DATEVALUE(B184&amp;"-01"),metas!D:D, "&lt;=" &amp; DATEVALUE(B184&amp;"-01")),"")</f>
        <v>3182.813937</v>
      </c>
      <c r="K184" s="49">
        <f t="shared" si="4"/>
        <v>19723.18606</v>
      </c>
      <c r="L184" s="49">
        <f t="shared" si="6"/>
        <v>2973226.392</v>
      </c>
      <c r="M184" s="49">
        <f>IF(A184&lt;&gt;"",IF(COUNTIF(investimento!F:F, B184) &gt; 0, SUM(investimento!B:B)+I184, M183+I184),"")</f>
        <v>3974456.681</v>
      </c>
    </row>
    <row r="185" ht="22.5" customHeight="1">
      <c r="A185" s="47">
        <v>50234.0</v>
      </c>
      <c r="B185" s="48" t="str">
        <f t="shared" si="1"/>
        <v>2037-07</v>
      </c>
      <c r="C185" s="49">
        <f>SUMIF(despesas_recorrentes!C:C, "&gt;="&amp;A185,despesas_recorrentes!B:B) 
+SUMIF(despesas_recorrentes!C:C, "",despesas_recorrentes!B:B)
-despesas_recorrentes!$B$12
+IF(SUMIF(gasto_cartao!E:E,saldo!B185,gasto_cartao!B:B)&gt;despesas_recorrentes!$B$12, SUMIF(gasto_cartao!E:E,saldo!B185,gasto_cartao!B:B),despesas_recorrentes!$B$12)</f>
        <v>34013</v>
      </c>
      <c r="D185" s="51">
        <f>SUM(receitas_recorrentes!B:B)+SUMIF(receitas_pontuais!E:E,B185,receitas_pontuais!B:B)</f>
        <v>56919</v>
      </c>
      <c r="E185" s="51">
        <f t="shared" si="2"/>
        <v>22906</v>
      </c>
      <c r="F185" s="53">
        <f>IFERROR(SUMIF(contas!G:G, B185, contas!B:B),0)</f>
        <v>0</v>
      </c>
      <c r="G185" s="51">
        <f>SUMIFS(previsoes!D:D, previsoes!E:E, "&lt;=" &amp; EOMONTH(DATEVALUE(B185&amp;"-01"),0), previsoes!F:F, "&gt;=" &amp; DATEVALUE(B185&amp;"-01"))</f>
        <v>0</v>
      </c>
      <c r="H185" s="52">
        <f t="shared" si="5"/>
        <v>160491.8958</v>
      </c>
      <c r="I185" s="49">
        <f t="shared" si="3"/>
        <v>22906</v>
      </c>
      <c r="J185" s="52">
        <f>IF(A185&lt;&gt;"",SUMIFS(metas!N:N, metas!E:E, "&gt;=" &amp; DATEVALUE(B185&amp;"-01"),metas!D:D, "&lt;=" &amp; DATEVALUE(B185&amp;"-01")),"")</f>
        <v>3182.813937</v>
      </c>
      <c r="K185" s="49">
        <f t="shared" si="4"/>
        <v>19723.18606</v>
      </c>
      <c r="L185" s="49">
        <f t="shared" si="6"/>
        <v>2992949.578</v>
      </c>
      <c r="M185" s="49">
        <f>IF(A185&lt;&gt;"",IF(COUNTIF(investimento!F:F, B185) &gt; 0, SUM(investimento!B:B)+I185, M184+I185),"")</f>
        <v>3997362.681</v>
      </c>
    </row>
    <row r="186" ht="22.5" customHeight="1">
      <c r="A186" s="47">
        <v>50235.0</v>
      </c>
      <c r="B186" s="48" t="str">
        <f t="shared" si="1"/>
        <v>2037-07</v>
      </c>
      <c r="C186" s="49">
        <f>SUMIF(despesas_recorrentes!C:C, "&gt;="&amp;A186,despesas_recorrentes!B:B) 
+SUMIF(despesas_recorrentes!C:C, "",despesas_recorrentes!B:B)
-despesas_recorrentes!$B$12
+IF(SUMIF(gasto_cartao!E:E,saldo!B186,gasto_cartao!B:B)&gt;despesas_recorrentes!$B$12, SUMIF(gasto_cartao!E:E,saldo!B186,gasto_cartao!B:B),despesas_recorrentes!$B$12)</f>
        <v>34013</v>
      </c>
      <c r="D186" s="51">
        <f>SUM(receitas_recorrentes!B:B)+SUMIF(receitas_pontuais!E:E,B186,receitas_pontuais!B:B)</f>
        <v>56919</v>
      </c>
      <c r="E186" s="51">
        <f t="shared" si="2"/>
        <v>22906</v>
      </c>
      <c r="F186" s="53">
        <f>IFERROR(SUMIF(contas!G:G, B186, contas!B:B),0)</f>
        <v>0</v>
      </c>
      <c r="G186" s="51">
        <f>SUMIFS(previsoes!D:D, previsoes!E:E, "&lt;=" &amp; EOMONTH(DATEVALUE(B186&amp;"-01"),0), previsoes!F:F, "&gt;=" &amp; DATEVALUE(B186&amp;"-01"))</f>
        <v>0</v>
      </c>
      <c r="H186" s="52">
        <f t="shared" si="5"/>
        <v>160491.8958</v>
      </c>
      <c r="I186" s="49">
        <f t="shared" si="3"/>
        <v>22906</v>
      </c>
      <c r="J186" s="52">
        <f>IF(A186&lt;&gt;"",SUMIFS(metas!N:N, metas!E:E, "&gt;=" &amp; DATEVALUE(B186&amp;"-01"),metas!D:D, "&lt;=" &amp; DATEVALUE(B186&amp;"-01")),"")</f>
        <v>3182.813937</v>
      </c>
      <c r="K186" s="49">
        <f t="shared" si="4"/>
        <v>19723.18606</v>
      </c>
      <c r="L186" s="49">
        <f t="shared" si="6"/>
        <v>3012672.764</v>
      </c>
      <c r="M186" s="49">
        <f>IF(A186&lt;&gt;"",IF(COUNTIF(investimento!F:F, B186) &gt; 0, SUM(investimento!B:B)+I186, M185+I186),"")</f>
        <v>4020268.681</v>
      </c>
    </row>
    <row r="187" ht="22.5" customHeight="1">
      <c r="A187" s="47">
        <v>50236.0</v>
      </c>
      <c r="B187" s="48" t="str">
        <f t="shared" si="1"/>
        <v>2037-07</v>
      </c>
      <c r="C187" s="49">
        <f>SUMIF(despesas_recorrentes!C:C, "&gt;="&amp;A187,despesas_recorrentes!B:B) 
+SUMIF(despesas_recorrentes!C:C, "",despesas_recorrentes!B:B)
-despesas_recorrentes!$B$12
+IF(SUMIF(gasto_cartao!E:E,saldo!B187,gasto_cartao!B:B)&gt;despesas_recorrentes!$B$12, SUMIF(gasto_cartao!E:E,saldo!B187,gasto_cartao!B:B),despesas_recorrentes!$B$12)</f>
        <v>34013</v>
      </c>
      <c r="D187" s="51">
        <f>SUM(receitas_recorrentes!B:B)+SUMIF(receitas_pontuais!E:E,B187,receitas_pontuais!B:B)</f>
        <v>56919</v>
      </c>
      <c r="E187" s="51">
        <f t="shared" si="2"/>
        <v>22906</v>
      </c>
      <c r="F187" s="53">
        <f>IFERROR(SUMIF(contas!G:G, B187, contas!B:B),0)</f>
        <v>0</v>
      </c>
      <c r="G187" s="51">
        <f>SUMIFS(previsoes!D:D, previsoes!E:E, "&lt;=" &amp; EOMONTH(DATEVALUE(B187&amp;"-01"),0), previsoes!F:F, "&gt;=" &amp; DATEVALUE(B187&amp;"-01"))</f>
        <v>0</v>
      </c>
      <c r="H187" s="52">
        <f t="shared" si="5"/>
        <v>160491.8958</v>
      </c>
      <c r="I187" s="49">
        <f t="shared" si="3"/>
        <v>22906</v>
      </c>
      <c r="J187" s="52">
        <f>IF(A187&lt;&gt;"",SUMIFS(metas!N:N, metas!E:E, "&gt;=" &amp; DATEVALUE(B187&amp;"-01"),metas!D:D, "&lt;=" &amp; DATEVALUE(B187&amp;"-01")),"")</f>
        <v>3182.813937</v>
      </c>
      <c r="K187" s="49">
        <f t="shared" si="4"/>
        <v>19723.18606</v>
      </c>
      <c r="L187" s="49">
        <f t="shared" si="6"/>
        <v>3032395.95</v>
      </c>
      <c r="M187" s="49">
        <f>IF(A187&lt;&gt;"",IF(COUNTIF(investimento!F:F, B187) &gt; 0, SUM(investimento!B:B)+I187, M186+I187),"")</f>
        <v>4043174.681</v>
      </c>
    </row>
    <row r="188" ht="22.5" customHeight="1">
      <c r="A188" s="47">
        <v>50237.0</v>
      </c>
      <c r="B188" s="48" t="str">
        <f t="shared" si="1"/>
        <v>2037-07</v>
      </c>
      <c r="C188" s="49">
        <f>SUMIF(despesas_recorrentes!C:C, "&gt;="&amp;A188,despesas_recorrentes!B:B) 
+SUMIF(despesas_recorrentes!C:C, "",despesas_recorrentes!B:B)
-despesas_recorrentes!$B$12
+IF(SUMIF(gasto_cartao!E:E,saldo!B188,gasto_cartao!B:B)&gt;despesas_recorrentes!$B$12, SUMIF(gasto_cartao!E:E,saldo!B188,gasto_cartao!B:B),despesas_recorrentes!$B$12)</f>
        <v>34013</v>
      </c>
      <c r="D188" s="51">
        <f>SUM(receitas_recorrentes!B:B)+SUMIF(receitas_pontuais!E:E,B188,receitas_pontuais!B:B)</f>
        <v>56919</v>
      </c>
      <c r="E188" s="51">
        <f t="shared" si="2"/>
        <v>22906</v>
      </c>
      <c r="F188" s="53">
        <f>IFERROR(SUMIF(contas!G:G, B188, contas!B:B),0)</f>
        <v>0</v>
      </c>
      <c r="G188" s="51">
        <f>SUMIFS(previsoes!D:D, previsoes!E:E, "&lt;=" &amp; EOMONTH(DATEVALUE(B188&amp;"-01"),0), previsoes!F:F, "&gt;=" &amp; DATEVALUE(B188&amp;"-01"))</f>
        <v>0</v>
      </c>
      <c r="H188" s="52">
        <f t="shared" si="5"/>
        <v>160491.8958</v>
      </c>
      <c r="I188" s="49">
        <f t="shared" si="3"/>
        <v>22906</v>
      </c>
      <c r="J188" s="52">
        <f>IF(A188&lt;&gt;"",SUMIFS(metas!N:N, metas!E:E, "&gt;=" &amp; DATEVALUE(B188&amp;"-01"),metas!D:D, "&lt;=" &amp; DATEVALUE(B188&amp;"-01")),"")</f>
        <v>3182.813937</v>
      </c>
      <c r="K188" s="49">
        <f t="shared" si="4"/>
        <v>19723.18606</v>
      </c>
      <c r="L188" s="49">
        <f t="shared" si="6"/>
        <v>3052119.136</v>
      </c>
      <c r="M188" s="49">
        <f>IF(A188&lt;&gt;"",IF(COUNTIF(investimento!F:F, B188) &gt; 0, SUM(investimento!B:B)+I188, M187+I188),"")</f>
        <v>4066080.681</v>
      </c>
    </row>
    <row r="189" ht="22.5" customHeight="1">
      <c r="A189" s="47">
        <v>50238.0</v>
      </c>
      <c r="B189" s="48" t="str">
        <f t="shared" si="1"/>
        <v>2037-07</v>
      </c>
      <c r="C189" s="49">
        <f>SUMIF(despesas_recorrentes!C:C, "&gt;="&amp;A189,despesas_recorrentes!B:B) 
+SUMIF(despesas_recorrentes!C:C, "",despesas_recorrentes!B:B)
-despesas_recorrentes!$B$12
+IF(SUMIF(gasto_cartao!E:E,saldo!B189,gasto_cartao!B:B)&gt;despesas_recorrentes!$B$12, SUMIF(gasto_cartao!E:E,saldo!B189,gasto_cartao!B:B),despesas_recorrentes!$B$12)</f>
        <v>34013</v>
      </c>
      <c r="D189" s="51">
        <f>SUM(receitas_recorrentes!B:B)+SUMIF(receitas_pontuais!E:E,B189,receitas_pontuais!B:B)</f>
        <v>56919</v>
      </c>
      <c r="E189" s="51">
        <f t="shared" si="2"/>
        <v>22906</v>
      </c>
      <c r="F189" s="53">
        <f>IFERROR(SUMIF(contas!G:G, B189, contas!B:B),0)</f>
        <v>0</v>
      </c>
      <c r="G189" s="51">
        <f>SUMIFS(previsoes!D:D, previsoes!E:E, "&lt;=" &amp; EOMONTH(DATEVALUE(B189&amp;"-01"),0), previsoes!F:F, "&gt;=" &amp; DATEVALUE(B189&amp;"-01"))</f>
        <v>0</v>
      </c>
      <c r="H189" s="52">
        <f t="shared" si="5"/>
        <v>160491.8958</v>
      </c>
      <c r="I189" s="49">
        <f t="shared" si="3"/>
        <v>22906</v>
      </c>
      <c r="J189" s="52">
        <f>IF(A189&lt;&gt;"",SUMIFS(metas!N:N, metas!E:E, "&gt;=" &amp; DATEVALUE(B189&amp;"-01"),metas!D:D, "&lt;=" &amp; DATEVALUE(B189&amp;"-01")),"")</f>
        <v>3182.813937</v>
      </c>
      <c r="K189" s="49">
        <f t="shared" si="4"/>
        <v>19723.18606</v>
      </c>
      <c r="L189" s="49">
        <f t="shared" si="6"/>
        <v>3071842.322</v>
      </c>
      <c r="M189" s="49">
        <f>IF(A189&lt;&gt;"",IF(COUNTIF(investimento!F:F, B189) &gt; 0, SUM(investimento!B:B)+I189, M188+I189),"")</f>
        <v>4088986.681</v>
      </c>
    </row>
    <row r="190" ht="22.5" customHeight="1">
      <c r="A190" s="47">
        <v>50239.0</v>
      </c>
      <c r="B190" s="48" t="str">
        <f t="shared" si="1"/>
        <v>2037-07</v>
      </c>
      <c r="C190" s="49">
        <f>SUMIF(despesas_recorrentes!C:C, "&gt;="&amp;A190,despesas_recorrentes!B:B) 
+SUMIF(despesas_recorrentes!C:C, "",despesas_recorrentes!B:B)
-despesas_recorrentes!$B$12
+IF(SUMIF(gasto_cartao!E:E,saldo!B190,gasto_cartao!B:B)&gt;despesas_recorrentes!$B$12, SUMIF(gasto_cartao!E:E,saldo!B190,gasto_cartao!B:B),despesas_recorrentes!$B$12)</f>
        <v>34013</v>
      </c>
      <c r="D190" s="51">
        <f>SUM(receitas_recorrentes!B:B)+SUMIF(receitas_pontuais!E:E,B190,receitas_pontuais!B:B)</f>
        <v>56919</v>
      </c>
      <c r="E190" s="51">
        <f t="shared" si="2"/>
        <v>22906</v>
      </c>
      <c r="F190" s="53">
        <f>IFERROR(SUMIF(contas!G:G, B190, contas!B:B),0)</f>
        <v>0</v>
      </c>
      <c r="G190" s="51">
        <f>SUMIFS(previsoes!D:D, previsoes!E:E, "&lt;=" &amp; EOMONTH(DATEVALUE(B190&amp;"-01"),0), previsoes!F:F, "&gt;=" &amp; DATEVALUE(B190&amp;"-01"))</f>
        <v>0</v>
      </c>
      <c r="H190" s="52">
        <f t="shared" si="5"/>
        <v>160491.8958</v>
      </c>
      <c r="I190" s="49">
        <f t="shared" si="3"/>
        <v>22906</v>
      </c>
      <c r="J190" s="52">
        <f>IF(A190&lt;&gt;"",SUMIFS(metas!N:N, metas!E:E, "&gt;=" &amp; DATEVALUE(B190&amp;"-01"),metas!D:D, "&lt;=" &amp; DATEVALUE(B190&amp;"-01")),"")</f>
        <v>3182.813937</v>
      </c>
      <c r="K190" s="49">
        <f t="shared" si="4"/>
        <v>19723.18606</v>
      </c>
      <c r="L190" s="49">
        <f t="shared" si="6"/>
        <v>3091565.508</v>
      </c>
      <c r="M190" s="49">
        <f>IF(A190&lt;&gt;"",IF(COUNTIF(investimento!F:F, B190) &gt; 0, SUM(investimento!B:B)+I190, M189+I190),"")</f>
        <v>4111892.681</v>
      </c>
    </row>
    <row r="191" ht="22.5" customHeight="1">
      <c r="A191" s="47">
        <v>50240.0</v>
      </c>
      <c r="B191" s="48" t="str">
        <f t="shared" si="1"/>
        <v>2037-07</v>
      </c>
      <c r="C191" s="49">
        <f>SUMIF(despesas_recorrentes!C:C, "&gt;="&amp;A191,despesas_recorrentes!B:B) 
+SUMIF(despesas_recorrentes!C:C, "",despesas_recorrentes!B:B)
-despesas_recorrentes!$B$12
+IF(SUMIF(gasto_cartao!E:E,saldo!B191,gasto_cartao!B:B)&gt;despesas_recorrentes!$B$12, SUMIF(gasto_cartao!E:E,saldo!B191,gasto_cartao!B:B),despesas_recorrentes!$B$12)</f>
        <v>34013</v>
      </c>
      <c r="D191" s="51">
        <f>SUM(receitas_recorrentes!B:B)+SUMIF(receitas_pontuais!E:E,B191,receitas_pontuais!B:B)</f>
        <v>56919</v>
      </c>
      <c r="E191" s="51">
        <f t="shared" si="2"/>
        <v>22906</v>
      </c>
      <c r="F191" s="53">
        <f>IFERROR(SUMIF(contas!G:G, B191, contas!B:B),0)</f>
        <v>0</v>
      </c>
      <c r="G191" s="51">
        <f>SUMIFS(previsoes!D:D, previsoes!E:E, "&lt;=" &amp; EOMONTH(DATEVALUE(B191&amp;"-01"),0), previsoes!F:F, "&gt;=" &amp; DATEVALUE(B191&amp;"-01"))</f>
        <v>0</v>
      </c>
      <c r="H191" s="52">
        <f t="shared" si="5"/>
        <v>160491.8958</v>
      </c>
      <c r="I191" s="49">
        <f t="shared" si="3"/>
        <v>22906</v>
      </c>
      <c r="J191" s="52">
        <f>IF(A191&lt;&gt;"",SUMIFS(metas!N:N, metas!E:E, "&gt;=" &amp; DATEVALUE(B191&amp;"-01"),metas!D:D, "&lt;=" &amp; DATEVALUE(B191&amp;"-01")),"")</f>
        <v>3182.813937</v>
      </c>
      <c r="K191" s="49">
        <f t="shared" si="4"/>
        <v>19723.18606</v>
      </c>
      <c r="L191" s="49">
        <f t="shared" si="6"/>
        <v>3111288.694</v>
      </c>
      <c r="M191" s="49">
        <f>IF(A191&lt;&gt;"",IF(COUNTIF(investimento!F:F, B191) &gt; 0, SUM(investimento!B:B)+I191, M190+I191),"")</f>
        <v>4134798.681</v>
      </c>
    </row>
    <row r="192" ht="22.5" customHeight="1">
      <c r="A192" s="47">
        <v>50241.0</v>
      </c>
      <c r="B192" s="48" t="str">
        <f t="shared" si="1"/>
        <v>2037-07</v>
      </c>
      <c r="C192" s="49">
        <f>SUMIF(despesas_recorrentes!C:C, "&gt;="&amp;A192,despesas_recorrentes!B:B) 
+SUMIF(despesas_recorrentes!C:C, "",despesas_recorrentes!B:B)
-despesas_recorrentes!$B$12
+IF(SUMIF(gasto_cartao!E:E,saldo!B192,gasto_cartao!B:B)&gt;despesas_recorrentes!$B$12, SUMIF(gasto_cartao!E:E,saldo!B192,gasto_cartao!B:B),despesas_recorrentes!$B$12)</f>
        <v>34013</v>
      </c>
      <c r="D192" s="51">
        <f>SUM(receitas_recorrentes!B:B)+SUMIF(receitas_pontuais!E:E,B192,receitas_pontuais!B:B)</f>
        <v>56919</v>
      </c>
      <c r="E192" s="51">
        <f t="shared" si="2"/>
        <v>22906</v>
      </c>
      <c r="F192" s="53">
        <f>IFERROR(SUMIF(contas!G:G, B192, contas!B:B),0)</f>
        <v>0</v>
      </c>
      <c r="G192" s="51">
        <f>SUMIFS(previsoes!D:D, previsoes!E:E, "&lt;=" &amp; EOMONTH(DATEVALUE(B192&amp;"-01"),0), previsoes!F:F, "&gt;=" &amp; DATEVALUE(B192&amp;"-01"))</f>
        <v>0</v>
      </c>
      <c r="H192" s="52">
        <f t="shared" si="5"/>
        <v>160491.8958</v>
      </c>
      <c r="I192" s="49">
        <f t="shared" si="3"/>
        <v>22906</v>
      </c>
      <c r="J192" s="52">
        <f>IF(A192&lt;&gt;"",SUMIFS(metas!N:N, metas!E:E, "&gt;=" &amp; DATEVALUE(B192&amp;"-01"),metas!D:D, "&lt;=" &amp; DATEVALUE(B192&amp;"-01")),"")</f>
        <v>3182.813937</v>
      </c>
      <c r="K192" s="49">
        <f t="shared" si="4"/>
        <v>19723.18606</v>
      </c>
      <c r="L192" s="49">
        <f t="shared" si="6"/>
        <v>3131011.88</v>
      </c>
      <c r="M192" s="49">
        <f>IF(A192&lt;&gt;"",IF(COUNTIF(investimento!F:F, B192) &gt; 0, SUM(investimento!B:B)+I192, M191+I192),"")</f>
        <v>4157704.681</v>
      </c>
    </row>
    <row r="193" ht="22.5" customHeight="1">
      <c r="A193" s="47">
        <v>50242.0</v>
      </c>
      <c r="B193" s="48" t="str">
        <f t="shared" si="1"/>
        <v>2037-07</v>
      </c>
      <c r="C193" s="49">
        <f>SUMIF(despesas_recorrentes!C:C, "&gt;="&amp;A193,despesas_recorrentes!B:B) 
+SUMIF(despesas_recorrentes!C:C, "",despesas_recorrentes!B:B)
-despesas_recorrentes!$B$12
+IF(SUMIF(gasto_cartao!E:E,saldo!B193,gasto_cartao!B:B)&gt;despesas_recorrentes!$B$12, SUMIF(gasto_cartao!E:E,saldo!B193,gasto_cartao!B:B),despesas_recorrentes!$B$12)</f>
        <v>34013</v>
      </c>
      <c r="D193" s="51">
        <f>SUM(receitas_recorrentes!B:B)+SUMIF(receitas_pontuais!E:E,B193,receitas_pontuais!B:B)</f>
        <v>56919</v>
      </c>
      <c r="E193" s="51">
        <f t="shared" si="2"/>
        <v>22906</v>
      </c>
      <c r="F193" s="53">
        <f>IFERROR(SUMIF(contas!G:G, B193, contas!B:B),0)</f>
        <v>0</v>
      </c>
      <c r="G193" s="51">
        <f>SUMIFS(previsoes!D:D, previsoes!E:E, "&lt;=" &amp; EOMONTH(DATEVALUE(B193&amp;"-01"),0), previsoes!F:F, "&gt;=" &amp; DATEVALUE(B193&amp;"-01"))</f>
        <v>0</v>
      </c>
      <c r="H193" s="52">
        <f t="shared" si="5"/>
        <v>160491.8958</v>
      </c>
      <c r="I193" s="49">
        <f t="shared" si="3"/>
        <v>22906</v>
      </c>
      <c r="J193" s="52">
        <f>IF(A193&lt;&gt;"",SUMIFS(metas!N:N, metas!E:E, "&gt;=" &amp; DATEVALUE(B193&amp;"-01"),metas!D:D, "&lt;=" &amp; DATEVALUE(B193&amp;"-01")),"")</f>
        <v>3182.813937</v>
      </c>
      <c r="K193" s="49">
        <f t="shared" si="4"/>
        <v>19723.18606</v>
      </c>
      <c r="L193" s="49">
        <f t="shared" si="6"/>
        <v>3150735.067</v>
      </c>
      <c r="M193" s="49">
        <f>IF(A193&lt;&gt;"",IF(COUNTIF(investimento!F:F, B193) &gt; 0, SUM(investimento!B:B)+I193, M192+I193),"")</f>
        <v>4180610.681</v>
      </c>
    </row>
    <row r="194" ht="22.5" customHeight="1">
      <c r="A194" s="47">
        <v>50243.0</v>
      </c>
      <c r="B194" s="48" t="str">
        <f t="shared" si="1"/>
        <v>2037-07</v>
      </c>
      <c r="C194" s="49">
        <f>SUMIF(despesas_recorrentes!C:C, "&gt;="&amp;A194,despesas_recorrentes!B:B) 
+SUMIF(despesas_recorrentes!C:C, "",despesas_recorrentes!B:B)
-despesas_recorrentes!$B$12
+IF(SUMIF(gasto_cartao!E:E,saldo!B194,gasto_cartao!B:B)&gt;despesas_recorrentes!$B$12, SUMIF(gasto_cartao!E:E,saldo!B194,gasto_cartao!B:B),despesas_recorrentes!$B$12)</f>
        <v>34013</v>
      </c>
      <c r="D194" s="51">
        <f>SUM(receitas_recorrentes!B:B)+SUMIF(receitas_pontuais!E:E,B194,receitas_pontuais!B:B)</f>
        <v>56919</v>
      </c>
      <c r="E194" s="51">
        <f t="shared" si="2"/>
        <v>22906</v>
      </c>
      <c r="F194" s="53">
        <f>IFERROR(SUMIF(contas!G:G, B194, contas!B:B),0)</f>
        <v>0</v>
      </c>
      <c r="G194" s="51">
        <f>SUMIFS(previsoes!D:D, previsoes!E:E, "&lt;=" &amp; EOMONTH(DATEVALUE(B194&amp;"-01"),0), previsoes!F:F, "&gt;=" &amp; DATEVALUE(B194&amp;"-01"))</f>
        <v>0</v>
      </c>
      <c r="H194" s="52">
        <f t="shared" si="5"/>
        <v>160491.8958</v>
      </c>
      <c r="I194" s="49">
        <f t="shared" si="3"/>
        <v>22906</v>
      </c>
      <c r="J194" s="52">
        <f>IF(A194&lt;&gt;"",SUMIFS(metas!N:N, metas!E:E, "&gt;=" &amp; DATEVALUE(B194&amp;"-01"),metas!D:D, "&lt;=" &amp; DATEVALUE(B194&amp;"-01")),"")</f>
        <v>3182.813937</v>
      </c>
      <c r="K194" s="49">
        <f t="shared" si="4"/>
        <v>19723.18606</v>
      </c>
      <c r="L194" s="49">
        <f t="shared" si="6"/>
        <v>3170458.253</v>
      </c>
      <c r="M194" s="49">
        <f>IF(A194&lt;&gt;"",IF(COUNTIF(investimento!F:F, B194) &gt; 0, SUM(investimento!B:B)+I194, M193+I194),"")</f>
        <v>4203516.681</v>
      </c>
    </row>
    <row r="195" ht="22.5" customHeight="1">
      <c r="A195" s="47">
        <v>50244.0</v>
      </c>
      <c r="B195" s="48" t="str">
        <f t="shared" si="1"/>
        <v>2037-07</v>
      </c>
      <c r="C195" s="49">
        <f>SUMIF(despesas_recorrentes!C:C, "&gt;="&amp;A195,despesas_recorrentes!B:B) 
+SUMIF(despesas_recorrentes!C:C, "",despesas_recorrentes!B:B)
-despesas_recorrentes!$B$12
+IF(SUMIF(gasto_cartao!E:E,saldo!B195,gasto_cartao!B:B)&gt;despesas_recorrentes!$B$12, SUMIF(gasto_cartao!E:E,saldo!B195,gasto_cartao!B:B),despesas_recorrentes!$B$12)</f>
        <v>34013</v>
      </c>
      <c r="D195" s="51">
        <f>SUM(receitas_recorrentes!B:B)+SUMIF(receitas_pontuais!E:E,B195,receitas_pontuais!B:B)</f>
        <v>56919</v>
      </c>
      <c r="E195" s="51">
        <f t="shared" si="2"/>
        <v>22906</v>
      </c>
      <c r="F195" s="53">
        <f>IFERROR(SUMIF(contas!G:G, B195, contas!B:B),0)</f>
        <v>0</v>
      </c>
      <c r="G195" s="51">
        <f>SUMIFS(previsoes!D:D, previsoes!E:E, "&lt;=" &amp; EOMONTH(DATEVALUE(B195&amp;"-01"),0), previsoes!F:F, "&gt;=" &amp; DATEVALUE(B195&amp;"-01"))</f>
        <v>0</v>
      </c>
      <c r="H195" s="52">
        <f t="shared" si="5"/>
        <v>160491.8958</v>
      </c>
      <c r="I195" s="49">
        <f t="shared" si="3"/>
        <v>22906</v>
      </c>
      <c r="J195" s="52">
        <f>IF(A195&lt;&gt;"",SUMIFS(metas!N:N, metas!E:E, "&gt;=" &amp; DATEVALUE(B195&amp;"-01"),metas!D:D, "&lt;=" &amp; DATEVALUE(B195&amp;"-01")),"")</f>
        <v>3182.813937</v>
      </c>
      <c r="K195" s="49">
        <f t="shared" si="4"/>
        <v>19723.18606</v>
      </c>
      <c r="L195" s="49">
        <f t="shared" si="6"/>
        <v>3190181.439</v>
      </c>
      <c r="M195" s="49">
        <f>IF(A195&lt;&gt;"",IF(COUNTIF(investimento!F:F, B195) &gt; 0, SUM(investimento!B:B)+I195, M194+I195),"")</f>
        <v>4226422.681</v>
      </c>
    </row>
    <row r="196" ht="22.5" customHeight="1">
      <c r="A196" s="47">
        <v>50245.0</v>
      </c>
      <c r="B196" s="48" t="str">
        <f t="shared" si="1"/>
        <v>2037-07</v>
      </c>
      <c r="C196" s="49">
        <f>SUMIF(despesas_recorrentes!C:C, "&gt;="&amp;A196,despesas_recorrentes!B:B) 
+SUMIF(despesas_recorrentes!C:C, "",despesas_recorrentes!B:B)
-despesas_recorrentes!$B$12
+IF(SUMIF(gasto_cartao!E:E,saldo!B196,gasto_cartao!B:B)&gt;despesas_recorrentes!$B$12, SUMIF(gasto_cartao!E:E,saldo!B196,gasto_cartao!B:B),despesas_recorrentes!$B$12)</f>
        <v>34013</v>
      </c>
      <c r="D196" s="51">
        <f>SUM(receitas_recorrentes!B:B)+SUMIF(receitas_pontuais!E:E,B196,receitas_pontuais!B:B)</f>
        <v>56919</v>
      </c>
      <c r="E196" s="51">
        <f t="shared" si="2"/>
        <v>22906</v>
      </c>
      <c r="F196" s="53">
        <f>IFERROR(SUMIF(contas!G:G, B196, contas!B:B),0)</f>
        <v>0</v>
      </c>
      <c r="G196" s="51">
        <f>SUMIFS(previsoes!D:D, previsoes!E:E, "&lt;=" &amp; EOMONTH(DATEVALUE(B196&amp;"-01"),0), previsoes!F:F, "&gt;=" &amp; DATEVALUE(B196&amp;"-01"))</f>
        <v>0</v>
      </c>
      <c r="H196" s="52">
        <f t="shared" si="5"/>
        <v>160491.8958</v>
      </c>
      <c r="I196" s="49">
        <f t="shared" si="3"/>
        <v>22906</v>
      </c>
      <c r="J196" s="52">
        <f>IF(A196&lt;&gt;"",SUMIFS(metas!N:N, metas!E:E, "&gt;=" &amp; DATEVALUE(B196&amp;"-01"),metas!D:D, "&lt;=" &amp; DATEVALUE(B196&amp;"-01")),"")</f>
        <v>3182.813937</v>
      </c>
      <c r="K196" s="49">
        <f t="shared" si="4"/>
        <v>19723.18606</v>
      </c>
      <c r="L196" s="49">
        <f t="shared" si="6"/>
        <v>3209904.625</v>
      </c>
      <c r="M196" s="49">
        <f>IF(A196&lt;&gt;"",IF(COUNTIF(investimento!F:F, B196) &gt; 0, SUM(investimento!B:B)+I196, M195+I196),"")</f>
        <v>4249328.681</v>
      </c>
    </row>
    <row r="197" ht="22.5" customHeight="1">
      <c r="A197" s="47">
        <v>50246.0</v>
      </c>
      <c r="B197" s="48" t="str">
        <f t="shared" si="1"/>
        <v>2037-07</v>
      </c>
      <c r="C197" s="49">
        <f>SUMIF(despesas_recorrentes!C:C, "&gt;="&amp;A197,despesas_recorrentes!B:B) 
+SUMIF(despesas_recorrentes!C:C, "",despesas_recorrentes!B:B)
-despesas_recorrentes!$B$12
+IF(SUMIF(gasto_cartao!E:E,saldo!B197,gasto_cartao!B:B)&gt;despesas_recorrentes!$B$12, SUMIF(gasto_cartao!E:E,saldo!B197,gasto_cartao!B:B),despesas_recorrentes!$B$12)</f>
        <v>34013</v>
      </c>
      <c r="D197" s="51">
        <f>SUM(receitas_recorrentes!B:B)+SUMIF(receitas_pontuais!E:E,B197,receitas_pontuais!B:B)</f>
        <v>56919</v>
      </c>
      <c r="E197" s="51">
        <f t="shared" si="2"/>
        <v>22906</v>
      </c>
      <c r="F197" s="53">
        <f>IFERROR(SUMIF(contas!G:G, B197, contas!B:B),0)</f>
        <v>0</v>
      </c>
      <c r="G197" s="51">
        <f>SUMIFS(previsoes!D:D, previsoes!E:E, "&lt;=" &amp; EOMONTH(DATEVALUE(B197&amp;"-01"),0), previsoes!F:F, "&gt;=" &amp; DATEVALUE(B197&amp;"-01"))</f>
        <v>0</v>
      </c>
      <c r="H197" s="52">
        <f t="shared" si="5"/>
        <v>160491.8958</v>
      </c>
      <c r="I197" s="49">
        <f t="shared" si="3"/>
        <v>22906</v>
      </c>
      <c r="J197" s="52">
        <f>IF(A197&lt;&gt;"",SUMIFS(metas!N:N, metas!E:E, "&gt;=" &amp; DATEVALUE(B197&amp;"-01"),metas!D:D, "&lt;=" &amp; DATEVALUE(B197&amp;"-01")),"")</f>
        <v>3182.813937</v>
      </c>
      <c r="K197" s="49">
        <f t="shared" si="4"/>
        <v>19723.18606</v>
      </c>
      <c r="L197" s="49">
        <f t="shared" si="6"/>
        <v>3229627.811</v>
      </c>
      <c r="M197" s="49">
        <f>IF(A197&lt;&gt;"",IF(COUNTIF(investimento!F:F, B197) &gt; 0, SUM(investimento!B:B)+I197, M196+I197),"")</f>
        <v>4272234.681</v>
      </c>
    </row>
    <row r="198" ht="22.5" customHeight="1">
      <c r="A198" s="47">
        <v>50247.0</v>
      </c>
      <c r="B198" s="48" t="str">
        <f t="shared" si="1"/>
        <v>2037-07</v>
      </c>
      <c r="C198" s="49">
        <f>SUMIF(despesas_recorrentes!C:C, "&gt;="&amp;A198,despesas_recorrentes!B:B) 
+SUMIF(despesas_recorrentes!C:C, "",despesas_recorrentes!B:B)
-despesas_recorrentes!$B$12
+IF(SUMIF(gasto_cartao!E:E,saldo!B198,gasto_cartao!B:B)&gt;despesas_recorrentes!$B$12, SUMIF(gasto_cartao!E:E,saldo!B198,gasto_cartao!B:B),despesas_recorrentes!$B$12)</f>
        <v>34013</v>
      </c>
      <c r="D198" s="51">
        <f>SUM(receitas_recorrentes!B:B)+SUMIF(receitas_pontuais!E:E,B198,receitas_pontuais!B:B)</f>
        <v>56919</v>
      </c>
      <c r="E198" s="51">
        <f t="shared" si="2"/>
        <v>22906</v>
      </c>
      <c r="F198" s="53">
        <f>IFERROR(SUMIF(contas!G:G, B198, contas!B:B),0)</f>
        <v>0</v>
      </c>
      <c r="G198" s="51">
        <f>SUMIFS(previsoes!D:D, previsoes!E:E, "&lt;=" &amp; EOMONTH(DATEVALUE(B198&amp;"-01"),0), previsoes!F:F, "&gt;=" &amp; DATEVALUE(B198&amp;"-01"))</f>
        <v>0</v>
      </c>
      <c r="H198" s="52">
        <f t="shared" si="5"/>
        <v>160491.8958</v>
      </c>
      <c r="I198" s="49">
        <f t="shared" si="3"/>
        <v>22906</v>
      </c>
      <c r="J198" s="52">
        <f>IF(A198&lt;&gt;"",SUMIFS(metas!N:N, metas!E:E, "&gt;=" &amp; DATEVALUE(B198&amp;"-01"),metas!D:D, "&lt;=" &amp; DATEVALUE(B198&amp;"-01")),"")</f>
        <v>3182.813937</v>
      </c>
      <c r="K198" s="49">
        <f t="shared" si="4"/>
        <v>19723.18606</v>
      </c>
      <c r="L198" s="49">
        <f t="shared" si="6"/>
        <v>3249350.997</v>
      </c>
      <c r="M198" s="49">
        <f>IF(A198&lt;&gt;"",IF(COUNTIF(investimento!F:F, B198) &gt; 0, SUM(investimento!B:B)+I198, M197+I198),"")</f>
        <v>4295140.681</v>
      </c>
    </row>
    <row r="199" ht="22.5" customHeight="1">
      <c r="A199" s="47">
        <v>50248.0</v>
      </c>
      <c r="B199" s="48" t="str">
        <f t="shared" si="1"/>
        <v>2037-07</v>
      </c>
      <c r="C199" s="49">
        <f>SUMIF(despesas_recorrentes!C:C, "&gt;="&amp;A199,despesas_recorrentes!B:B) 
+SUMIF(despesas_recorrentes!C:C, "",despesas_recorrentes!B:B)
-despesas_recorrentes!$B$12
+IF(SUMIF(gasto_cartao!E:E,saldo!B199,gasto_cartao!B:B)&gt;despesas_recorrentes!$B$12, SUMIF(gasto_cartao!E:E,saldo!B199,gasto_cartao!B:B),despesas_recorrentes!$B$12)</f>
        <v>34013</v>
      </c>
      <c r="D199" s="51">
        <f>SUM(receitas_recorrentes!B:B)+SUMIF(receitas_pontuais!E:E,B199,receitas_pontuais!B:B)</f>
        <v>56919</v>
      </c>
      <c r="E199" s="51">
        <f t="shared" si="2"/>
        <v>22906</v>
      </c>
      <c r="F199" s="53">
        <f>IFERROR(SUMIF(contas!G:G, B199, contas!B:B),0)</f>
        <v>0</v>
      </c>
      <c r="G199" s="51">
        <f>SUMIFS(previsoes!D:D, previsoes!E:E, "&lt;=" &amp; EOMONTH(DATEVALUE(B199&amp;"-01"),0), previsoes!F:F, "&gt;=" &amp; DATEVALUE(B199&amp;"-01"))</f>
        <v>0</v>
      </c>
      <c r="H199" s="52">
        <f t="shared" si="5"/>
        <v>160491.8958</v>
      </c>
      <c r="I199" s="49">
        <f t="shared" si="3"/>
        <v>22906</v>
      </c>
      <c r="J199" s="52">
        <f>IF(A199&lt;&gt;"",SUMIFS(metas!N:N, metas!E:E, "&gt;=" &amp; DATEVALUE(B199&amp;"-01"),metas!D:D, "&lt;=" &amp; DATEVALUE(B199&amp;"-01")),"")</f>
        <v>3182.813937</v>
      </c>
      <c r="K199" s="49">
        <f t="shared" si="4"/>
        <v>19723.18606</v>
      </c>
      <c r="L199" s="49">
        <f t="shared" si="6"/>
        <v>3269074.183</v>
      </c>
      <c r="M199" s="49">
        <f>IF(A199&lt;&gt;"",IF(COUNTIF(investimento!F:F, B199) &gt; 0, SUM(investimento!B:B)+I199, M198+I199),"")</f>
        <v>4318046.681</v>
      </c>
    </row>
    <row r="200" ht="22.5" customHeight="1">
      <c r="A200" s="47">
        <v>50249.0</v>
      </c>
      <c r="B200" s="48" t="str">
        <f t="shared" si="1"/>
        <v>2037-07</v>
      </c>
      <c r="C200" s="49">
        <f>SUMIF(despesas_recorrentes!C:C, "&gt;="&amp;A200,despesas_recorrentes!B:B) 
+SUMIF(despesas_recorrentes!C:C, "",despesas_recorrentes!B:B)
-despesas_recorrentes!$B$12
+IF(SUMIF(gasto_cartao!E:E,saldo!B200,gasto_cartao!B:B)&gt;despesas_recorrentes!$B$12, SUMIF(gasto_cartao!E:E,saldo!B200,gasto_cartao!B:B),despesas_recorrentes!$B$12)</f>
        <v>34013</v>
      </c>
      <c r="D200" s="51">
        <f>SUM(receitas_recorrentes!B:B)+SUMIF(receitas_pontuais!E:E,B200,receitas_pontuais!B:B)</f>
        <v>56919</v>
      </c>
      <c r="E200" s="51">
        <f t="shared" si="2"/>
        <v>22906</v>
      </c>
      <c r="F200" s="53">
        <f>IFERROR(SUMIF(contas!G:G, B200, contas!B:B),0)</f>
        <v>0</v>
      </c>
      <c r="G200" s="51">
        <f>SUMIFS(previsoes!D:D, previsoes!E:E, "&lt;=" &amp; EOMONTH(DATEVALUE(B200&amp;"-01"),0), previsoes!F:F, "&gt;=" &amp; DATEVALUE(B200&amp;"-01"))</f>
        <v>0</v>
      </c>
      <c r="H200" s="52">
        <f t="shared" si="5"/>
        <v>160491.8958</v>
      </c>
      <c r="I200" s="49">
        <f t="shared" si="3"/>
        <v>22906</v>
      </c>
      <c r="J200" s="52">
        <f>IF(A200&lt;&gt;"",SUMIFS(metas!N:N, metas!E:E, "&gt;=" &amp; DATEVALUE(B200&amp;"-01"),metas!D:D, "&lt;=" &amp; DATEVALUE(B200&amp;"-01")),"")</f>
        <v>3182.813937</v>
      </c>
      <c r="K200" s="49">
        <f t="shared" si="4"/>
        <v>19723.18606</v>
      </c>
      <c r="L200" s="49">
        <f t="shared" si="6"/>
        <v>3288797.369</v>
      </c>
      <c r="M200" s="49">
        <f>IF(A200&lt;&gt;"",IF(COUNTIF(investimento!F:F, B200) &gt; 0, SUM(investimento!B:B)+I200, M199+I200),"")</f>
        <v>4340952.681</v>
      </c>
    </row>
    <row r="201" ht="22.5" customHeight="1">
      <c r="A201" s="47">
        <v>50250.0</v>
      </c>
      <c r="B201" s="48" t="str">
        <f t="shared" si="1"/>
        <v>2037-07</v>
      </c>
      <c r="C201" s="49">
        <f>SUMIF(despesas_recorrentes!C:C, "&gt;="&amp;A201,despesas_recorrentes!B:B) 
+SUMIF(despesas_recorrentes!C:C, "",despesas_recorrentes!B:B)
-despesas_recorrentes!$B$12
+IF(SUMIF(gasto_cartao!E:E,saldo!B201,gasto_cartao!B:B)&gt;despesas_recorrentes!$B$12, SUMIF(gasto_cartao!E:E,saldo!B201,gasto_cartao!B:B),despesas_recorrentes!$B$12)</f>
        <v>34013</v>
      </c>
      <c r="D201" s="51">
        <f>SUM(receitas_recorrentes!B:B)+SUMIF(receitas_pontuais!E:E,B201,receitas_pontuais!B:B)</f>
        <v>56919</v>
      </c>
      <c r="E201" s="51">
        <f t="shared" si="2"/>
        <v>22906</v>
      </c>
      <c r="F201" s="53">
        <f>IFERROR(SUMIF(contas!G:G, B201, contas!B:B),0)</f>
        <v>0</v>
      </c>
      <c r="G201" s="51">
        <f>SUMIFS(previsoes!D:D, previsoes!E:E, "&lt;=" &amp; EOMONTH(DATEVALUE(B201&amp;"-01"),0), previsoes!F:F, "&gt;=" &amp; DATEVALUE(B201&amp;"-01"))</f>
        <v>0</v>
      </c>
      <c r="H201" s="52">
        <f t="shared" si="5"/>
        <v>160491.8958</v>
      </c>
      <c r="I201" s="49">
        <f t="shared" si="3"/>
        <v>22906</v>
      </c>
      <c r="J201" s="52">
        <f>IF(A201&lt;&gt;"",SUMIFS(metas!N:N, metas!E:E, "&gt;=" &amp; DATEVALUE(B201&amp;"-01"),metas!D:D, "&lt;=" &amp; DATEVALUE(B201&amp;"-01")),"")</f>
        <v>3182.813937</v>
      </c>
      <c r="K201" s="49">
        <f t="shared" si="4"/>
        <v>19723.18606</v>
      </c>
      <c r="L201" s="49">
        <f t="shared" si="6"/>
        <v>3308520.555</v>
      </c>
      <c r="M201" s="49">
        <f>IF(A201&lt;&gt;"",IF(COUNTIF(investimento!F:F, B201) &gt; 0, SUM(investimento!B:B)+I201, M200+I201),"")</f>
        <v>4363858.681</v>
      </c>
    </row>
    <row r="202" ht="22.5" customHeight="1">
      <c r="A202" s="47">
        <v>50251.0</v>
      </c>
      <c r="B202" s="48" t="str">
        <f t="shared" si="1"/>
        <v>2037-07</v>
      </c>
      <c r="C202" s="49">
        <f>SUMIF(despesas_recorrentes!C:C, "&gt;="&amp;A202,despesas_recorrentes!B:B) 
+SUMIF(despesas_recorrentes!C:C, "",despesas_recorrentes!B:B)
-despesas_recorrentes!$B$12
+IF(SUMIF(gasto_cartao!E:E,saldo!B202,gasto_cartao!B:B)&gt;despesas_recorrentes!$B$12, SUMIF(gasto_cartao!E:E,saldo!B202,gasto_cartao!B:B),despesas_recorrentes!$B$12)</f>
        <v>34013</v>
      </c>
      <c r="D202" s="51">
        <f>SUM(receitas_recorrentes!B:B)+SUMIF(receitas_pontuais!E:E,B202,receitas_pontuais!B:B)</f>
        <v>56919</v>
      </c>
      <c r="E202" s="51">
        <f t="shared" si="2"/>
        <v>22906</v>
      </c>
      <c r="F202" s="53">
        <f>IFERROR(SUMIF(contas!G:G, B202, contas!B:B),0)</f>
        <v>0</v>
      </c>
      <c r="G202" s="51">
        <f>SUMIFS(previsoes!D:D, previsoes!E:E, "&lt;=" &amp; EOMONTH(DATEVALUE(B202&amp;"-01"),0), previsoes!F:F, "&gt;=" &amp; DATEVALUE(B202&amp;"-01"))</f>
        <v>0</v>
      </c>
      <c r="H202" s="52">
        <f t="shared" si="5"/>
        <v>160491.8958</v>
      </c>
      <c r="I202" s="49">
        <f t="shared" si="3"/>
        <v>22906</v>
      </c>
      <c r="J202" s="52">
        <f>IF(A202&lt;&gt;"",SUMIFS(metas!N:N, metas!E:E, "&gt;=" &amp; DATEVALUE(B202&amp;"-01"),metas!D:D, "&lt;=" &amp; DATEVALUE(B202&amp;"-01")),"")</f>
        <v>3182.813937</v>
      </c>
      <c r="K202" s="49">
        <f t="shared" si="4"/>
        <v>19723.18606</v>
      </c>
      <c r="L202" s="49">
        <f t="shared" si="6"/>
        <v>3328243.741</v>
      </c>
      <c r="M202" s="49">
        <f>IF(A202&lt;&gt;"",IF(COUNTIF(investimento!F:F, B202) &gt; 0, SUM(investimento!B:B)+I202, M201+I202),"")</f>
        <v>4386764.681</v>
      </c>
    </row>
    <row r="203" ht="22.5" customHeight="1">
      <c r="A203" s="47">
        <v>50252.0</v>
      </c>
      <c r="B203" s="48" t="str">
        <f t="shared" si="1"/>
        <v>2037-07</v>
      </c>
      <c r="C203" s="49">
        <f>SUMIF(despesas_recorrentes!C:C, "&gt;="&amp;A203,despesas_recorrentes!B:B) 
+SUMIF(despesas_recorrentes!C:C, "",despesas_recorrentes!B:B)
-despesas_recorrentes!$B$12
+IF(SUMIF(gasto_cartao!E:E,saldo!B203,gasto_cartao!B:B)&gt;despesas_recorrentes!$B$12, SUMIF(gasto_cartao!E:E,saldo!B203,gasto_cartao!B:B),despesas_recorrentes!$B$12)</f>
        <v>34013</v>
      </c>
      <c r="D203" s="51">
        <f>SUM(receitas_recorrentes!B:B)+SUMIF(receitas_pontuais!E:E,B203,receitas_pontuais!B:B)</f>
        <v>56919</v>
      </c>
      <c r="E203" s="51">
        <f t="shared" si="2"/>
        <v>22906</v>
      </c>
      <c r="F203" s="53">
        <f>IFERROR(SUMIF(contas!G:G, B203, contas!B:B),0)</f>
        <v>0</v>
      </c>
      <c r="G203" s="51">
        <f>SUMIFS(previsoes!D:D, previsoes!E:E, "&lt;=" &amp; EOMONTH(DATEVALUE(B203&amp;"-01"),0), previsoes!F:F, "&gt;=" &amp; DATEVALUE(B203&amp;"-01"))</f>
        <v>0</v>
      </c>
      <c r="H203" s="52">
        <f t="shared" si="5"/>
        <v>160491.8958</v>
      </c>
      <c r="I203" s="49">
        <f t="shared" si="3"/>
        <v>22906</v>
      </c>
      <c r="J203" s="52">
        <f>IF(A203&lt;&gt;"",SUMIFS(metas!N:N, metas!E:E, "&gt;=" &amp; DATEVALUE(B203&amp;"-01"),metas!D:D, "&lt;=" &amp; DATEVALUE(B203&amp;"-01")),"")</f>
        <v>3182.813937</v>
      </c>
      <c r="K203" s="49">
        <f t="shared" si="4"/>
        <v>19723.18606</v>
      </c>
      <c r="L203" s="49">
        <f t="shared" si="6"/>
        <v>3347966.927</v>
      </c>
      <c r="M203" s="49">
        <f>IF(A203&lt;&gt;"",IF(COUNTIF(investimento!F:F, B203) &gt; 0, SUM(investimento!B:B)+I203, M202+I203),"")</f>
        <v>4409670.681</v>
      </c>
    </row>
    <row r="204" ht="22.5" customHeight="1">
      <c r="A204" s="47">
        <v>50253.0</v>
      </c>
      <c r="B204" s="48" t="str">
        <f t="shared" si="1"/>
        <v>2037-08</v>
      </c>
      <c r="C204" s="49">
        <f>SUMIF(despesas_recorrentes!C:C, "&gt;="&amp;A204,despesas_recorrentes!B:B) 
+SUMIF(despesas_recorrentes!C:C, "",despesas_recorrentes!B:B)
-despesas_recorrentes!$B$12
+IF(SUMIF(gasto_cartao!E:E,saldo!B204,gasto_cartao!B:B)&gt;despesas_recorrentes!$B$12, SUMIF(gasto_cartao!E:E,saldo!B204,gasto_cartao!B:B),despesas_recorrentes!$B$12)</f>
        <v>34013</v>
      </c>
      <c r="D204" s="51">
        <f>SUM(receitas_recorrentes!B:B)+SUMIF(receitas_pontuais!E:E,B204,receitas_pontuais!B:B)</f>
        <v>56919</v>
      </c>
      <c r="E204" s="51">
        <f t="shared" si="2"/>
        <v>22906</v>
      </c>
      <c r="F204" s="53">
        <f>IFERROR(SUMIF(contas!G:G, B204, contas!B:B),0)</f>
        <v>0</v>
      </c>
      <c r="G204" s="51">
        <f>SUMIFS(previsoes!D:D, previsoes!E:E, "&lt;=" &amp; EOMONTH(DATEVALUE(B204&amp;"-01"),0), previsoes!F:F, "&gt;=" &amp; DATEVALUE(B204&amp;"-01"))</f>
        <v>0</v>
      </c>
      <c r="H204" s="52">
        <f t="shared" si="5"/>
        <v>160491.8958</v>
      </c>
      <c r="I204" s="49">
        <f t="shared" si="3"/>
        <v>22906</v>
      </c>
      <c r="J204" s="52">
        <f>IF(A204&lt;&gt;"",SUMIFS(metas!N:N, metas!E:E, "&gt;=" &amp; DATEVALUE(B204&amp;"-01"),metas!D:D, "&lt;=" &amp; DATEVALUE(B204&amp;"-01")),"")</f>
        <v>3182.813937</v>
      </c>
      <c r="K204" s="49">
        <f t="shared" si="4"/>
        <v>19723.18606</v>
      </c>
      <c r="L204" s="49">
        <f t="shared" si="6"/>
        <v>3367690.113</v>
      </c>
      <c r="M204" s="49">
        <f>IF(A204&lt;&gt;"",IF(COUNTIF(investimento!F:F, B204) &gt; 0, SUM(investimento!B:B)+I204, M203+I204),"")</f>
        <v>4432576.681</v>
      </c>
    </row>
    <row r="205" ht="22.5" customHeight="1">
      <c r="A205" s="47">
        <v>50254.0</v>
      </c>
      <c r="B205" s="48" t="str">
        <f t="shared" si="1"/>
        <v>2037-08</v>
      </c>
      <c r="C205" s="49">
        <f>SUMIF(despesas_recorrentes!C:C, "&gt;="&amp;A205,despesas_recorrentes!B:B) 
+SUMIF(despesas_recorrentes!C:C, "",despesas_recorrentes!B:B)
-despesas_recorrentes!$B$12
+IF(SUMIF(gasto_cartao!E:E,saldo!B205,gasto_cartao!B:B)&gt;despesas_recorrentes!$B$12, SUMIF(gasto_cartao!E:E,saldo!B205,gasto_cartao!B:B),despesas_recorrentes!$B$12)</f>
        <v>34013</v>
      </c>
      <c r="D205" s="51">
        <f>SUM(receitas_recorrentes!B:B)+SUMIF(receitas_pontuais!E:E,B205,receitas_pontuais!B:B)</f>
        <v>56919</v>
      </c>
      <c r="E205" s="51">
        <f t="shared" si="2"/>
        <v>22906</v>
      </c>
      <c r="F205" s="53">
        <f>IFERROR(SUMIF(contas!G:G, B205, contas!B:B),0)</f>
        <v>0</v>
      </c>
      <c r="G205" s="51">
        <f>SUMIFS(previsoes!D:D, previsoes!E:E, "&lt;=" &amp; EOMONTH(DATEVALUE(B205&amp;"-01"),0), previsoes!F:F, "&gt;=" &amp; DATEVALUE(B205&amp;"-01"))</f>
        <v>0</v>
      </c>
      <c r="H205" s="52">
        <f t="shared" si="5"/>
        <v>160491.8958</v>
      </c>
      <c r="I205" s="49">
        <f t="shared" si="3"/>
        <v>22906</v>
      </c>
      <c r="J205" s="52">
        <f>IF(A205&lt;&gt;"",SUMIFS(metas!N:N, metas!E:E, "&gt;=" &amp; DATEVALUE(B205&amp;"-01"),metas!D:D, "&lt;=" &amp; DATEVALUE(B205&amp;"-01")),"")</f>
        <v>3182.813937</v>
      </c>
      <c r="K205" s="49">
        <f t="shared" si="4"/>
        <v>19723.18606</v>
      </c>
      <c r="L205" s="49">
        <f t="shared" si="6"/>
        <v>3387413.299</v>
      </c>
      <c r="M205" s="49">
        <f>IF(A205&lt;&gt;"",IF(COUNTIF(investimento!F:F, B205) &gt; 0, SUM(investimento!B:B)+I205, M204+I205),"")</f>
        <v>4455482.681</v>
      </c>
    </row>
    <row r="206" ht="22.5" customHeight="1">
      <c r="A206" s="47">
        <v>50255.0</v>
      </c>
      <c r="B206" s="48" t="str">
        <f t="shared" si="1"/>
        <v>2037-08</v>
      </c>
      <c r="C206" s="49">
        <f>SUMIF(despesas_recorrentes!C:C, "&gt;="&amp;A206,despesas_recorrentes!B:B) 
+SUMIF(despesas_recorrentes!C:C, "",despesas_recorrentes!B:B)
-despesas_recorrentes!$B$12
+IF(SUMIF(gasto_cartao!E:E,saldo!B206,gasto_cartao!B:B)&gt;despesas_recorrentes!$B$12, SUMIF(gasto_cartao!E:E,saldo!B206,gasto_cartao!B:B),despesas_recorrentes!$B$12)</f>
        <v>34013</v>
      </c>
      <c r="D206" s="51">
        <f>SUM(receitas_recorrentes!B:B)+SUMIF(receitas_pontuais!E:E,B206,receitas_pontuais!B:B)</f>
        <v>56919</v>
      </c>
      <c r="E206" s="51">
        <f t="shared" si="2"/>
        <v>22906</v>
      </c>
      <c r="F206" s="53">
        <f>IFERROR(SUMIF(contas!G:G, B206, contas!B:B),0)</f>
        <v>0</v>
      </c>
      <c r="G206" s="51">
        <f>SUMIFS(previsoes!D:D, previsoes!E:E, "&lt;=" &amp; EOMONTH(DATEVALUE(B206&amp;"-01"),0), previsoes!F:F, "&gt;=" &amp; DATEVALUE(B206&amp;"-01"))</f>
        <v>0</v>
      </c>
      <c r="H206" s="52">
        <f t="shared" si="5"/>
        <v>160491.8958</v>
      </c>
      <c r="I206" s="49">
        <f t="shared" si="3"/>
        <v>22906</v>
      </c>
      <c r="J206" s="52">
        <f>IF(A206&lt;&gt;"",SUMIFS(metas!N:N, metas!E:E, "&gt;=" &amp; DATEVALUE(B206&amp;"-01"),metas!D:D, "&lt;=" &amp; DATEVALUE(B206&amp;"-01")),"")</f>
        <v>3182.813937</v>
      </c>
      <c r="K206" s="49">
        <f t="shared" si="4"/>
        <v>19723.18606</v>
      </c>
      <c r="L206" s="49">
        <f t="shared" si="6"/>
        <v>3407136.485</v>
      </c>
      <c r="M206" s="49">
        <f>IF(A206&lt;&gt;"",IF(COUNTIF(investimento!F:F, B206) &gt; 0, SUM(investimento!B:B)+I206, M205+I206),"")</f>
        <v>4478388.681</v>
      </c>
    </row>
    <row r="207" ht="22.5" customHeight="1">
      <c r="A207" s="47">
        <v>50256.0</v>
      </c>
      <c r="B207" s="48" t="str">
        <f t="shared" si="1"/>
        <v>2037-08</v>
      </c>
      <c r="C207" s="49">
        <f>SUMIF(despesas_recorrentes!C:C, "&gt;="&amp;A207,despesas_recorrentes!B:B) 
+SUMIF(despesas_recorrentes!C:C, "",despesas_recorrentes!B:B)
-despesas_recorrentes!$B$12
+IF(SUMIF(gasto_cartao!E:E,saldo!B207,gasto_cartao!B:B)&gt;despesas_recorrentes!$B$12, SUMIF(gasto_cartao!E:E,saldo!B207,gasto_cartao!B:B),despesas_recorrentes!$B$12)</f>
        <v>34013</v>
      </c>
      <c r="D207" s="51">
        <f>SUM(receitas_recorrentes!B:B)+SUMIF(receitas_pontuais!E:E,B207,receitas_pontuais!B:B)</f>
        <v>56919</v>
      </c>
      <c r="E207" s="51">
        <f t="shared" si="2"/>
        <v>22906</v>
      </c>
      <c r="F207" s="53">
        <f>IFERROR(SUMIF(contas!G:G, B207, contas!B:B),0)</f>
        <v>0</v>
      </c>
      <c r="G207" s="51">
        <f>SUMIFS(previsoes!D:D, previsoes!E:E, "&lt;=" &amp; EOMONTH(DATEVALUE(B207&amp;"-01"),0), previsoes!F:F, "&gt;=" &amp; DATEVALUE(B207&amp;"-01"))</f>
        <v>0</v>
      </c>
      <c r="H207" s="52">
        <f t="shared" si="5"/>
        <v>160491.8958</v>
      </c>
      <c r="I207" s="49">
        <f t="shared" si="3"/>
        <v>22906</v>
      </c>
      <c r="J207" s="52">
        <f>IF(A207&lt;&gt;"",SUMIFS(metas!N:N, metas!E:E, "&gt;=" &amp; DATEVALUE(B207&amp;"-01"),metas!D:D, "&lt;=" &amp; DATEVALUE(B207&amp;"-01")),"")</f>
        <v>3182.813937</v>
      </c>
      <c r="K207" s="49">
        <f t="shared" si="4"/>
        <v>19723.18606</v>
      </c>
      <c r="L207" s="49">
        <f t="shared" si="6"/>
        <v>3426859.671</v>
      </c>
      <c r="M207" s="49">
        <f>IF(A207&lt;&gt;"",IF(COUNTIF(investimento!F:F, B207) &gt; 0, SUM(investimento!B:B)+I207, M206+I207),"")</f>
        <v>4501294.681</v>
      </c>
    </row>
    <row r="208" ht="22.5" customHeight="1">
      <c r="A208" s="47">
        <v>50257.0</v>
      </c>
      <c r="B208" s="48" t="str">
        <f t="shared" si="1"/>
        <v>2037-08</v>
      </c>
      <c r="C208" s="49">
        <f>SUMIF(despesas_recorrentes!C:C, "&gt;="&amp;A208,despesas_recorrentes!B:B) 
+SUMIF(despesas_recorrentes!C:C, "",despesas_recorrentes!B:B)
-despesas_recorrentes!$B$12
+IF(SUMIF(gasto_cartao!E:E,saldo!B208,gasto_cartao!B:B)&gt;despesas_recorrentes!$B$12, SUMIF(gasto_cartao!E:E,saldo!B208,gasto_cartao!B:B),despesas_recorrentes!$B$12)</f>
        <v>34013</v>
      </c>
      <c r="D208" s="51">
        <f>SUM(receitas_recorrentes!B:B)+SUMIF(receitas_pontuais!E:E,B208,receitas_pontuais!B:B)</f>
        <v>56919</v>
      </c>
      <c r="E208" s="51">
        <f t="shared" si="2"/>
        <v>22906</v>
      </c>
      <c r="F208" s="53">
        <f>IFERROR(SUMIF(contas!G:G, B208, contas!B:B),0)</f>
        <v>0</v>
      </c>
      <c r="G208" s="51">
        <f>SUMIFS(previsoes!D:D, previsoes!E:E, "&lt;=" &amp; EOMONTH(DATEVALUE(B208&amp;"-01"),0), previsoes!F:F, "&gt;=" &amp; DATEVALUE(B208&amp;"-01"))</f>
        <v>0</v>
      </c>
      <c r="H208" s="52">
        <f t="shared" si="5"/>
        <v>160491.8958</v>
      </c>
      <c r="I208" s="49">
        <f t="shared" si="3"/>
        <v>22906</v>
      </c>
      <c r="J208" s="52">
        <f>IF(A208&lt;&gt;"",SUMIFS(metas!N:N, metas!E:E, "&gt;=" &amp; DATEVALUE(B208&amp;"-01"),metas!D:D, "&lt;=" &amp; DATEVALUE(B208&amp;"-01")),"")</f>
        <v>3182.813937</v>
      </c>
      <c r="K208" s="49">
        <f t="shared" si="4"/>
        <v>19723.18606</v>
      </c>
      <c r="L208" s="49">
        <f t="shared" si="6"/>
        <v>3446582.857</v>
      </c>
      <c r="M208" s="49">
        <f>IF(A208&lt;&gt;"",IF(COUNTIF(investimento!F:F, B208) &gt; 0, SUM(investimento!B:B)+I208, M207+I208),"")</f>
        <v>4524200.681</v>
      </c>
    </row>
    <row r="209" ht="22.5" customHeight="1">
      <c r="A209" s="47">
        <v>50258.0</v>
      </c>
      <c r="B209" s="48" t="str">
        <f t="shared" si="1"/>
        <v>2037-08</v>
      </c>
      <c r="C209" s="49">
        <f>SUMIF(despesas_recorrentes!C:C, "&gt;="&amp;A209,despesas_recorrentes!B:B) 
+SUMIF(despesas_recorrentes!C:C, "",despesas_recorrentes!B:B)
-despesas_recorrentes!$B$12
+IF(SUMIF(gasto_cartao!E:E,saldo!B209,gasto_cartao!B:B)&gt;despesas_recorrentes!$B$12, SUMIF(gasto_cartao!E:E,saldo!B209,gasto_cartao!B:B),despesas_recorrentes!$B$12)</f>
        <v>34013</v>
      </c>
      <c r="D209" s="51">
        <f>SUM(receitas_recorrentes!B:B)+SUMIF(receitas_pontuais!E:E,B209,receitas_pontuais!B:B)</f>
        <v>56919</v>
      </c>
      <c r="E209" s="51">
        <f t="shared" si="2"/>
        <v>22906</v>
      </c>
      <c r="F209" s="53">
        <f>IFERROR(SUMIF(contas!G:G, B209, contas!B:B),0)</f>
        <v>0</v>
      </c>
      <c r="G209" s="51">
        <f>SUMIFS(previsoes!D:D, previsoes!E:E, "&lt;=" &amp; EOMONTH(DATEVALUE(B209&amp;"-01"),0), previsoes!F:F, "&gt;=" &amp; DATEVALUE(B209&amp;"-01"))</f>
        <v>0</v>
      </c>
      <c r="H209" s="52">
        <f t="shared" si="5"/>
        <v>160491.8958</v>
      </c>
      <c r="I209" s="49">
        <f t="shared" si="3"/>
        <v>22906</v>
      </c>
      <c r="J209" s="52">
        <f>IF(A209&lt;&gt;"",SUMIFS(metas!N:N, metas!E:E, "&gt;=" &amp; DATEVALUE(B209&amp;"-01"),metas!D:D, "&lt;=" &amp; DATEVALUE(B209&amp;"-01")),"")</f>
        <v>3182.813937</v>
      </c>
      <c r="K209" s="49">
        <f t="shared" si="4"/>
        <v>19723.18606</v>
      </c>
      <c r="L209" s="49">
        <f t="shared" si="6"/>
        <v>3466306.044</v>
      </c>
      <c r="M209" s="49">
        <f>IF(A209&lt;&gt;"",IF(COUNTIF(investimento!F:F, B209) &gt; 0, SUM(investimento!B:B)+I209, M208+I209),"")</f>
        <v>4547106.681</v>
      </c>
    </row>
    <row r="210" ht="22.5" customHeight="1">
      <c r="A210" s="47">
        <v>50259.0</v>
      </c>
      <c r="B210" s="48" t="str">
        <f t="shared" si="1"/>
        <v>2037-08</v>
      </c>
      <c r="C210" s="49">
        <f>SUMIF(despesas_recorrentes!C:C, "&gt;="&amp;A210,despesas_recorrentes!B:B) 
+SUMIF(despesas_recorrentes!C:C, "",despesas_recorrentes!B:B)
-despesas_recorrentes!$B$12
+IF(SUMIF(gasto_cartao!E:E,saldo!B210,gasto_cartao!B:B)&gt;despesas_recorrentes!$B$12, SUMIF(gasto_cartao!E:E,saldo!B210,gasto_cartao!B:B),despesas_recorrentes!$B$12)</f>
        <v>34013</v>
      </c>
      <c r="D210" s="51">
        <f>SUM(receitas_recorrentes!B:B)+SUMIF(receitas_pontuais!E:E,B210,receitas_pontuais!B:B)</f>
        <v>56919</v>
      </c>
      <c r="E210" s="51">
        <f t="shared" si="2"/>
        <v>22906</v>
      </c>
      <c r="F210" s="53">
        <f>IFERROR(SUMIF(contas!G:G, B210, contas!B:B),0)</f>
        <v>0</v>
      </c>
      <c r="G210" s="51">
        <f>SUMIFS(previsoes!D:D, previsoes!E:E, "&lt;=" &amp; EOMONTH(DATEVALUE(B210&amp;"-01"),0), previsoes!F:F, "&gt;=" &amp; DATEVALUE(B210&amp;"-01"))</f>
        <v>0</v>
      </c>
      <c r="H210" s="52">
        <f t="shared" si="5"/>
        <v>160491.8958</v>
      </c>
      <c r="I210" s="49">
        <f t="shared" si="3"/>
        <v>22906</v>
      </c>
      <c r="J210" s="52">
        <f>IF(A210&lt;&gt;"",SUMIFS(metas!N:N, metas!E:E, "&gt;=" &amp; DATEVALUE(B210&amp;"-01"),metas!D:D, "&lt;=" &amp; DATEVALUE(B210&amp;"-01")),"")</f>
        <v>3182.813937</v>
      </c>
      <c r="K210" s="49">
        <f t="shared" si="4"/>
        <v>19723.18606</v>
      </c>
      <c r="L210" s="49">
        <f t="shared" si="6"/>
        <v>3486029.23</v>
      </c>
      <c r="M210" s="49">
        <f>IF(A210&lt;&gt;"",IF(COUNTIF(investimento!F:F, B210) &gt; 0, SUM(investimento!B:B)+I210, M209+I210),"")</f>
        <v>4570012.681</v>
      </c>
    </row>
    <row r="211" ht="22.5" customHeight="1">
      <c r="A211" s="47">
        <v>50260.0</v>
      </c>
      <c r="B211" s="48" t="str">
        <f t="shared" si="1"/>
        <v>2037-08</v>
      </c>
      <c r="C211" s="49">
        <f>SUMIF(despesas_recorrentes!C:C, "&gt;="&amp;A211,despesas_recorrentes!B:B) 
+SUMIF(despesas_recorrentes!C:C, "",despesas_recorrentes!B:B)
-despesas_recorrentes!$B$12
+IF(SUMIF(gasto_cartao!E:E,saldo!B211,gasto_cartao!B:B)&gt;despesas_recorrentes!$B$12, SUMIF(gasto_cartao!E:E,saldo!B211,gasto_cartao!B:B),despesas_recorrentes!$B$12)</f>
        <v>34013</v>
      </c>
      <c r="D211" s="51">
        <f>SUM(receitas_recorrentes!B:B)+SUMIF(receitas_pontuais!E:E,B211,receitas_pontuais!B:B)</f>
        <v>56919</v>
      </c>
      <c r="E211" s="51">
        <f t="shared" si="2"/>
        <v>22906</v>
      </c>
      <c r="F211" s="53">
        <f>IFERROR(SUMIF(contas!G:G, B211, contas!B:B),0)</f>
        <v>0</v>
      </c>
      <c r="G211" s="51">
        <f>SUMIFS(previsoes!D:D, previsoes!E:E, "&lt;=" &amp; EOMONTH(DATEVALUE(B211&amp;"-01"),0), previsoes!F:F, "&gt;=" &amp; DATEVALUE(B211&amp;"-01"))</f>
        <v>0</v>
      </c>
      <c r="H211" s="52">
        <f t="shared" si="5"/>
        <v>160491.8958</v>
      </c>
      <c r="I211" s="49">
        <f t="shared" si="3"/>
        <v>22906</v>
      </c>
      <c r="J211" s="52">
        <f>IF(A211&lt;&gt;"",SUMIFS(metas!N:N, metas!E:E, "&gt;=" &amp; DATEVALUE(B211&amp;"-01"),metas!D:D, "&lt;=" &amp; DATEVALUE(B211&amp;"-01")),"")</f>
        <v>3182.813937</v>
      </c>
      <c r="K211" s="49">
        <f t="shared" si="4"/>
        <v>19723.18606</v>
      </c>
      <c r="L211" s="49">
        <f t="shared" si="6"/>
        <v>3505752.416</v>
      </c>
      <c r="M211" s="49">
        <f>IF(A211&lt;&gt;"",IF(COUNTIF(investimento!F:F, B211) &gt; 0, SUM(investimento!B:B)+I211, M210+I211),"")</f>
        <v>4592918.681</v>
      </c>
    </row>
    <row r="212" ht="22.5" customHeight="1">
      <c r="A212" s="47">
        <v>50261.0</v>
      </c>
      <c r="B212" s="48" t="str">
        <f t="shared" si="1"/>
        <v>2037-08</v>
      </c>
      <c r="C212" s="49">
        <f>SUMIF(despesas_recorrentes!C:C, "&gt;="&amp;A212,despesas_recorrentes!B:B) 
+SUMIF(despesas_recorrentes!C:C, "",despesas_recorrentes!B:B)
-despesas_recorrentes!$B$12
+IF(SUMIF(gasto_cartao!E:E,saldo!B212,gasto_cartao!B:B)&gt;despesas_recorrentes!$B$12, SUMIF(gasto_cartao!E:E,saldo!B212,gasto_cartao!B:B),despesas_recorrentes!$B$12)</f>
        <v>34013</v>
      </c>
      <c r="D212" s="51">
        <f>SUM(receitas_recorrentes!B:B)+SUMIF(receitas_pontuais!E:E,B212,receitas_pontuais!B:B)</f>
        <v>56919</v>
      </c>
      <c r="E212" s="51">
        <f t="shared" si="2"/>
        <v>22906</v>
      </c>
      <c r="F212" s="53">
        <f>IFERROR(SUMIF(contas!G:G, B212, contas!B:B),0)</f>
        <v>0</v>
      </c>
      <c r="G212" s="51">
        <f>SUMIFS(previsoes!D:D, previsoes!E:E, "&lt;=" &amp; EOMONTH(DATEVALUE(B212&amp;"-01"),0), previsoes!F:F, "&gt;=" &amp; DATEVALUE(B212&amp;"-01"))</f>
        <v>0</v>
      </c>
      <c r="H212" s="52">
        <f t="shared" si="5"/>
        <v>160491.8958</v>
      </c>
      <c r="I212" s="49">
        <f t="shared" si="3"/>
        <v>22906</v>
      </c>
      <c r="J212" s="52">
        <f>IF(A212&lt;&gt;"",SUMIFS(metas!N:N, metas!E:E, "&gt;=" &amp; DATEVALUE(B212&amp;"-01"),metas!D:D, "&lt;=" &amp; DATEVALUE(B212&amp;"-01")),"")</f>
        <v>3182.813937</v>
      </c>
      <c r="K212" s="49">
        <f t="shared" si="4"/>
        <v>19723.18606</v>
      </c>
      <c r="L212" s="49">
        <f t="shared" si="6"/>
        <v>3525475.602</v>
      </c>
      <c r="M212" s="49">
        <f>IF(A212&lt;&gt;"",IF(COUNTIF(investimento!F:F, B212) &gt; 0, SUM(investimento!B:B)+I212, M211+I212),"")</f>
        <v>4615824.681</v>
      </c>
    </row>
    <row r="213" ht="22.5" customHeight="1">
      <c r="A213" s="47">
        <v>50262.0</v>
      </c>
      <c r="B213" s="48" t="str">
        <f t="shared" si="1"/>
        <v>2037-08</v>
      </c>
      <c r="C213" s="49">
        <f>SUMIF(despesas_recorrentes!C:C, "&gt;="&amp;A213,despesas_recorrentes!B:B) 
+SUMIF(despesas_recorrentes!C:C, "",despesas_recorrentes!B:B)
-despesas_recorrentes!$B$12
+IF(SUMIF(gasto_cartao!E:E,saldo!B213,gasto_cartao!B:B)&gt;despesas_recorrentes!$B$12, SUMIF(gasto_cartao!E:E,saldo!B213,gasto_cartao!B:B),despesas_recorrentes!$B$12)</f>
        <v>34013</v>
      </c>
      <c r="D213" s="51">
        <f>SUM(receitas_recorrentes!B:B)+SUMIF(receitas_pontuais!E:E,B213,receitas_pontuais!B:B)</f>
        <v>56919</v>
      </c>
      <c r="E213" s="51">
        <f t="shared" si="2"/>
        <v>22906</v>
      </c>
      <c r="F213" s="53">
        <f>IFERROR(SUMIF(contas!G:G, B213, contas!B:B),0)</f>
        <v>0</v>
      </c>
      <c r="G213" s="51">
        <f>SUMIFS(previsoes!D:D, previsoes!E:E, "&lt;=" &amp; EOMONTH(DATEVALUE(B213&amp;"-01"),0), previsoes!F:F, "&gt;=" &amp; DATEVALUE(B213&amp;"-01"))</f>
        <v>0</v>
      </c>
      <c r="H213" s="52">
        <f t="shared" si="5"/>
        <v>160491.8958</v>
      </c>
      <c r="I213" s="49">
        <f t="shared" si="3"/>
        <v>22906</v>
      </c>
      <c r="J213" s="52">
        <f>IF(A213&lt;&gt;"",SUMIFS(metas!N:N, metas!E:E, "&gt;=" &amp; DATEVALUE(B213&amp;"-01"),metas!D:D, "&lt;=" &amp; DATEVALUE(B213&amp;"-01")),"")</f>
        <v>3182.813937</v>
      </c>
      <c r="K213" s="49">
        <f t="shared" si="4"/>
        <v>19723.18606</v>
      </c>
      <c r="L213" s="49">
        <f t="shared" si="6"/>
        <v>3545198.788</v>
      </c>
      <c r="M213" s="49">
        <f>IF(A213&lt;&gt;"",IF(COUNTIF(investimento!F:F, B213) &gt; 0, SUM(investimento!B:B)+I213, M212+I213),"")</f>
        <v>4638730.681</v>
      </c>
    </row>
    <row r="214" ht="22.5" customHeight="1">
      <c r="A214" s="47">
        <v>50263.0</v>
      </c>
      <c r="B214" s="48" t="str">
        <f t="shared" si="1"/>
        <v>2037-08</v>
      </c>
      <c r="C214" s="49">
        <f>SUMIF(despesas_recorrentes!C:C, "&gt;="&amp;A214,despesas_recorrentes!B:B) 
+SUMIF(despesas_recorrentes!C:C, "",despesas_recorrentes!B:B)
-despesas_recorrentes!$B$12
+IF(SUMIF(gasto_cartao!E:E,saldo!B214,gasto_cartao!B:B)&gt;despesas_recorrentes!$B$12, SUMIF(gasto_cartao!E:E,saldo!B214,gasto_cartao!B:B),despesas_recorrentes!$B$12)</f>
        <v>34013</v>
      </c>
      <c r="D214" s="51">
        <f>SUM(receitas_recorrentes!B:B)+SUMIF(receitas_pontuais!E:E,B214,receitas_pontuais!B:B)</f>
        <v>56919</v>
      </c>
      <c r="E214" s="51">
        <f t="shared" si="2"/>
        <v>22906</v>
      </c>
      <c r="F214" s="53">
        <f>IFERROR(SUMIF(contas!G:G, B214, contas!B:B),0)</f>
        <v>0</v>
      </c>
      <c r="G214" s="51">
        <f>SUMIFS(previsoes!D:D, previsoes!E:E, "&lt;=" &amp; EOMONTH(DATEVALUE(B214&amp;"-01"),0), previsoes!F:F, "&gt;=" &amp; DATEVALUE(B214&amp;"-01"))</f>
        <v>0</v>
      </c>
      <c r="H214" s="52">
        <f t="shared" si="5"/>
        <v>160491.8958</v>
      </c>
      <c r="I214" s="49">
        <f t="shared" si="3"/>
        <v>22906</v>
      </c>
      <c r="J214" s="52">
        <f>IF(A214&lt;&gt;"",SUMIFS(metas!N:N, metas!E:E, "&gt;=" &amp; DATEVALUE(B214&amp;"-01"),metas!D:D, "&lt;=" &amp; DATEVALUE(B214&amp;"-01")),"")</f>
        <v>3182.813937</v>
      </c>
      <c r="K214" s="49">
        <f t="shared" si="4"/>
        <v>19723.18606</v>
      </c>
      <c r="L214" s="49">
        <f t="shared" si="6"/>
        <v>3564921.974</v>
      </c>
      <c r="M214" s="49">
        <f>IF(A214&lt;&gt;"",IF(COUNTIF(investimento!F:F, B214) &gt; 0, SUM(investimento!B:B)+I214, M213+I214),"")</f>
        <v>4661636.681</v>
      </c>
    </row>
    <row r="215" ht="22.5" customHeight="1">
      <c r="A215" s="47">
        <v>50264.0</v>
      </c>
      <c r="B215" s="48" t="str">
        <f t="shared" si="1"/>
        <v>2037-08</v>
      </c>
      <c r="C215" s="49">
        <f>SUMIF(despesas_recorrentes!C:C, "&gt;="&amp;A215,despesas_recorrentes!B:B) 
+SUMIF(despesas_recorrentes!C:C, "",despesas_recorrentes!B:B)
-despesas_recorrentes!$B$12
+IF(SUMIF(gasto_cartao!E:E,saldo!B215,gasto_cartao!B:B)&gt;despesas_recorrentes!$B$12, SUMIF(gasto_cartao!E:E,saldo!B215,gasto_cartao!B:B),despesas_recorrentes!$B$12)</f>
        <v>34013</v>
      </c>
      <c r="D215" s="51">
        <f>SUM(receitas_recorrentes!B:B)+SUMIF(receitas_pontuais!E:E,B215,receitas_pontuais!B:B)</f>
        <v>56919</v>
      </c>
      <c r="E215" s="51">
        <f t="shared" si="2"/>
        <v>22906</v>
      </c>
      <c r="F215" s="53">
        <f>IFERROR(SUMIF(contas!G:G, B215, contas!B:B),0)</f>
        <v>0</v>
      </c>
      <c r="G215" s="51">
        <f>SUMIFS(previsoes!D:D, previsoes!E:E, "&lt;=" &amp; EOMONTH(DATEVALUE(B215&amp;"-01"),0), previsoes!F:F, "&gt;=" &amp; DATEVALUE(B215&amp;"-01"))</f>
        <v>0</v>
      </c>
      <c r="H215" s="52">
        <f t="shared" si="5"/>
        <v>160491.8958</v>
      </c>
      <c r="I215" s="49">
        <f t="shared" si="3"/>
        <v>22906</v>
      </c>
      <c r="J215" s="52">
        <f>IF(A215&lt;&gt;"",SUMIFS(metas!N:N, metas!E:E, "&gt;=" &amp; DATEVALUE(B215&amp;"-01"),metas!D:D, "&lt;=" &amp; DATEVALUE(B215&amp;"-01")),"")</f>
        <v>3182.813937</v>
      </c>
      <c r="K215" s="49">
        <f t="shared" si="4"/>
        <v>19723.18606</v>
      </c>
      <c r="L215" s="49">
        <f t="shared" si="6"/>
        <v>3584645.16</v>
      </c>
      <c r="M215" s="49">
        <f>IF(A215&lt;&gt;"",IF(COUNTIF(investimento!F:F, B215) &gt; 0, SUM(investimento!B:B)+I215, M214+I215),"")</f>
        <v>4684542.681</v>
      </c>
    </row>
    <row r="216" ht="22.5" customHeight="1">
      <c r="A216" s="47">
        <v>50265.0</v>
      </c>
      <c r="B216" s="48" t="str">
        <f t="shared" si="1"/>
        <v>2037-08</v>
      </c>
      <c r="C216" s="49">
        <f>SUMIF(despesas_recorrentes!C:C, "&gt;="&amp;A216,despesas_recorrentes!B:B) 
+SUMIF(despesas_recorrentes!C:C, "",despesas_recorrentes!B:B)
-despesas_recorrentes!$B$12
+IF(SUMIF(gasto_cartao!E:E,saldo!B216,gasto_cartao!B:B)&gt;despesas_recorrentes!$B$12, SUMIF(gasto_cartao!E:E,saldo!B216,gasto_cartao!B:B),despesas_recorrentes!$B$12)</f>
        <v>34013</v>
      </c>
      <c r="D216" s="51">
        <f>SUM(receitas_recorrentes!B:B)+SUMIF(receitas_pontuais!E:E,B216,receitas_pontuais!B:B)</f>
        <v>56919</v>
      </c>
      <c r="E216" s="51">
        <f t="shared" si="2"/>
        <v>22906</v>
      </c>
      <c r="F216" s="53">
        <f>IFERROR(SUMIF(contas!G:G, B216, contas!B:B),0)</f>
        <v>0</v>
      </c>
      <c r="G216" s="51">
        <f>SUMIFS(previsoes!D:D, previsoes!E:E, "&lt;=" &amp; EOMONTH(DATEVALUE(B216&amp;"-01"),0), previsoes!F:F, "&gt;=" &amp; DATEVALUE(B216&amp;"-01"))</f>
        <v>0</v>
      </c>
      <c r="H216" s="52">
        <f t="shared" si="5"/>
        <v>160491.8958</v>
      </c>
      <c r="I216" s="49">
        <f t="shared" si="3"/>
        <v>22906</v>
      </c>
      <c r="J216" s="52">
        <f>IF(A216&lt;&gt;"",SUMIFS(metas!N:N, metas!E:E, "&gt;=" &amp; DATEVALUE(B216&amp;"-01"),metas!D:D, "&lt;=" &amp; DATEVALUE(B216&amp;"-01")),"")</f>
        <v>3182.813937</v>
      </c>
      <c r="K216" s="49">
        <f t="shared" si="4"/>
        <v>19723.18606</v>
      </c>
      <c r="L216" s="49">
        <f t="shared" si="6"/>
        <v>3604368.346</v>
      </c>
      <c r="M216" s="49">
        <f>IF(A216&lt;&gt;"",IF(COUNTIF(investimento!F:F, B216) &gt; 0, SUM(investimento!B:B)+I216, M215+I216),"")</f>
        <v>4707448.681</v>
      </c>
    </row>
    <row r="217" ht="22.5" customHeight="1">
      <c r="A217" s="47">
        <v>50266.0</v>
      </c>
      <c r="B217" s="48" t="str">
        <f t="shared" si="1"/>
        <v>2037-08</v>
      </c>
      <c r="C217" s="49">
        <f>SUMIF(despesas_recorrentes!C:C, "&gt;="&amp;A217,despesas_recorrentes!B:B) 
+SUMIF(despesas_recorrentes!C:C, "",despesas_recorrentes!B:B)
-despesas_recorrentes!$B$12
+IF(SUMIF(gasto_cartao!E:E,saldo!B217,gasto_cartao!B:B)&gt;despesas_recorrentes!$B$12, SUMIF(gasto_cartao!E:E,saldo!B217,gasto_cartao!B:B),despesas_recorrentes!$B$12)</f>
        <v>34013</v>
      </c>
      <c r="D217" s="51">
        <f>SUM(receitas_recorrentes!B:B)+SUMIF(receitas_pontuais!E:E,B217,receitas_pontuais!B:B)</f>
        <v>56919</v>
      </c>
      <c r="E217" s="51">
        <f t="shared" si="2"/>
        <v>22906</v>
      </c>
      <c r="F217" s="53">
        <f>IFERROR(SUMIF(contas!G:G, B217, contas!B:B),0)</f>
        <v>0</v>
      </c>
      <c r="G217" s="51">
        <f>SUMIFS(previsoes!D:D, previsoes!E:E, "&lt;=" &amp; EOMONTH(DATEVALUE(B217&amp;"-01"),0), previsoes!F:F, "&gt;=" &amp; DATEVALUE(B217&amp;"-01"))</f>
        <v>0</v>
      </c>
      <c r="H217" s="52">
        <f t="shared" si="5"/>
        <v>160491.8958</v>
      </c>
      <c r="I217" s="49">
        <f t="shared" si="3"/>
        <v>22906</v>
      </c>
      <c r="J217" s="52">
        <f>IF(A217&lt;&gt;"",SUMIFS(metas!N:N, metas!E:E, "&gt;=" &amp; DATEVALUE(B217&amp;"-01"),metas!D:D, "&lt;=" &amp; DATEVALUE(B217&amp;"-01")),"")</f>
        <v>3182.813937</v>
      </c>
      <c r="K217" s="49">
        <f t="shared" si="4"/>
        <v>19723.18606</v>
      </c>
      <c r="L217" s="49">
        <f t="shared" si="6"/>
        <v>3624091.532</v>
      </c>
      <c r="M217" s="49">
        <f>IF(A217&lt;&gt;"",IF(COUNTIF(investimento!F:F, B217) &gt; 0, SUM(investimento!B:B)+I217, M216+I217),"")</f>
        <v>4730354.681</v>
      </c>
    </row>
    <row r="218" ht="22.5" customHeight="1">
      <c r="A218" s="47">
        <v>50267.0</v>
      </c>
      <c r="B218" s="48" t="str">
        <f t="shared" si="1"/>
        <v>2037-08</v>
      </c>
      <c r="C218" s="49">
        <f>SUMIF(despesas_recorrentes!C:C, "&gt;="&amp;A218,despesas_recorrentes!B:B) 
+SUMIF(despesas_recorrentes!C:C, "",despesas_recorrentes!B:B)
-despesas_recorrentes!$B$12
+IF(SUMIF(gasto_cartao!E:E,saldo!B218,gasto_cartao!B:B)&gt;despesas_recorrentes!$B$12, SUMIF(gasto_cartao!E:E,saldo!B218,gasto_cartao!B:B),despesas_recorrentes!$B$12)</f>
        <v>34013</v>
      </c>
      <c r="D218" s="51">
        <f>SUM(receitas_recorrentes!B:B)+SUMIF(receitas_pontuais!E:E,B218,receitas_pontuais!B:B)</f>
        <v>56919</v>
      </c>
      <c r="E218" s="51">
        <f t="shared" si="2"/>
        <v>22906</v>
      </c>
      <c r="F218" s="53">
        <f>IFERROR(SUMIF(contas!G:G, B218, contas!B:B),0)</f>
        <v>0</v>
      </c>
      <c r="G218" s="51">
        <f>SUMIFS(previsoes!D:D, previsoes!E:E, "&lt;=" &amp; EOMONTH(DATEVALUE(B218&amp;"-01"),0), previsoes!F:F, "&gt;=" &amp; DATEVALUE(B218&amp;"-01"))</f>
        <v>0</v>
      </c>
      <c r="H218" s="52">
        <f t="shared" si="5"/>
        <v>160491.8958</v>
      </c>
      <c r="I218" s="49">
        <f t="shared" si="3"/>
        <v>22906</v>
      </c>
      <c r="J218" s="52">
        <f>IF(A218&lt;&gt;"",SUMIFS(metas!N:N, metas!E:E, "&gt;=" &amp; DATEVALUE(B218&amp;"-01"),metas!D:D, "&lt;=" &amp; DATEVALUE(B218&amp;"-01")),"")</f>
        <v>3182.813937</v>
      </c>
      <c r="K218" s="49">
        <f t="shared" si="4"/>
        <v>19723.18606</v>
      </c>
      <c r="L218" s="49">
        <f t="shared" si="6"/>
        <v>3643814.718</v>
      </c>
      <c r="M218" s="49">
        <f>IF(A218&lt;&gt;"",IF(COUNTIF(investimento!F:F, B218) &gt; 0, SUM(investimento!B:B)+I218, M217+I218),"")</f>
        <v>4753260.681</v>
      </c>
    </row>
    <row r="219" ht="22.5" customHeight="1">
      <c r="A219" s="47">
        <v>50268.0</v>
      </c>
      <c r="B219" s="48" t="str">
        <f t="shared" si="1"/>
        <v>2037-08</v>
      </c>
      <c r="C219" s="49">
        <f>SUMIF(despesas_recorrentes!C:C, "&gt;="&amp;A219,despesas_recorrentes!B:B) 
+SUMIF(despesas_recorrentes!C:C, "",despesas_recorrentes!B:B)
-despesas_recorrentes!$B$12
+IF(SUMIF(gasto_cartao!E:E,saldo!B219,gasto_cartao!B:B)&gt;despesas_recorrentes!$B$12, SUMIF(gasto_cartao!E:E,saldo!B219,gasto_cartao!B:B),despesas_recorrentes!$B$12)</f>
        <v>34013</v>
      </c>
      <c r="D219" s="51">
        <f>SUM(receitas_recorrentes!B:B)+SUMIF(receitas_pontuais!E:E,B219,receitas_pontuais!B:B)</f>
        <v>56919</v>
      </c>
      <c r="E219" s="51">
        <f t="shared" si="2"/>
        <v>22906</v>
      </c>
      <c r="F219" s="53">
        <f>IFERROR(SUMIF(contas!G:G, B219, contas!B:B),0)</f>
        <v>0</v>
      </c>
      <c r="G219" s="51">
        <f>SUMIFS(previsoes!D:D, previsoes!E:E, "&lt;=" &amp; EOMONTH(DATEVALUE(B219&amp;"-01"),0), previsoes!F:F, "&gt;=" &amp; DATEVALUE(B219&amp;"-01"))</f>
        <v>0</v>
      </c>
      <c r="H219" s="52">
        <f t="shared" si="5"/>
        <v>160491.8958</v>
      </c>
      <c r="I219" s="49">
        <f t="shared" si="3"/>
        <v>22906</v>
      </c>
      <c r="J219" s="52">
        <f>IF(A219&lt;&gt;"",SUMIFS(metas!N:N, metas!E:E, "&gt;=" &amp; DATEVALUE(B219&amp;"-01"),metas!D:D, "&lt;=" &amp; DATEVALUE(B219&amp;"-01")),"")</f>
        <v>3182.813937</v>
      </c>
      <c r="K219" s="49">
        <f t="shared" si="4"/>
        <v>19723.18606</v>
      </c>
      <c r="L219" s="49">
        <f t="shared" si="6"/>
        <v>3663537.904</v>
      </c>
      <c r="M219" s="49">
        <f>IF(A219&lt;&gt;"",IF(COUNTIF(investimento!F:F, B219) &gt; 0, SUM(investimento!B:B)+I219, M218+I219),"")</f>
        <v>4776166.681</v>
      </c>
    </row>
    <row r="220" ht="22.5" customHeight="1">
      <c r="A220" s="47">
        <v>50269.0</v>
      </c>
      <c r="B220" s="48" t="str">
        <f t="shared" si="1"/>
        <v>2037-08</v>
      </c>
      <c r="C220" s="49">
        <f>SUMIF(despesas_recorrentes!C:C, "&gt;="&amp;A220,despesas_recorrentes!B:B) 
+SUMIF(despesas_recorrentes!C:C, "",despesas_recorrentes!B:B)
-despesas_recorrentes!$B$12
+IF(SUMIF(gasto_cartao!E:E,saldo!B220,gasto_cartao!B:B)&gt;despesas_recorrentes!$B$12, SUMIF(gasto_cartao!E:E,saldo!B220,gasto_cartao!B:B),despesas_recorrentes!$B$12)</f>
        <v>34013</v>
      </c>
      <c r="D220" s="51">
        <f>SUM(receitas_recorrentes!B:B)+SUMIF(receitas_pontuais!E:E,B220,receitas_pontuais!B:B)</f>
        <v>56919</v>
      </c>
      <c r="E220" s="51">
        <f t="shared" si="2"/>
        <v>22906</v>
      </c>
      <c r="F220" s="53">
        <f>IFERROR(SUMIF(contas!G:G, B220, contas!B:B),0)</f>
        <v>0</v>
      </c>
      <c r="G220" s="51">
        <f>SUMIFS(previsoes!D:D, previsoes!E:E, "&lt;=" &amp; EOMONTH(DATEVALUE(B220&amp;"-01"),0), previsoes!F:F, "&gt;=" &amp; DATEVALUE(B220&amp;"-01"))</f>
        <v>0</v>
      </c>
      <c r="H220" s="52">
        <f t="shared" si="5"/>
        <v>160491.8958</v>
      </c>
      <c r="I220" s="49">
        <f t="shared" si="3"/>
        <v>22906</v>
      </c>
      <c r="J220" s="52">
        <f>IF(A220&lt;&gt;"",SUMIFS(metas!N:N, metas!E:E, "&gt;=" &amp; DATEVALUE(B220&amp;"-01"),metas!D:D, "&lt;=" &amp; DATEVALUE(B220&amp;"-01")),"")</f>
        <v>3182.813937</v>
      </c>
      <c r="K220" s="49">
        <f t="shared" si="4"/>
        <v>19723.18606</v>
      </c>
      <c r="L220" s="49">
        <f t="shared" si="6"/>
        <v>3683261.09</v>
      </c>
      <c r="M220" s="49">
        <f>IF(A220&lt;&gt;"",IF(COUNTIF(investimento!F:F, B220) &gt; 0, SUM(investimento!B:B)+I220, M219+I220),"")</f>
        <v>4799072.681</v>
      </c>
    </row>
    <row r="221" ht="22.5" customHeight="1">
      <c r="A221" s="47">
        <v>50270.0</v>
      </c>
      <c r="B221" s="48" t="str">
        <f t="shared" si="1"/>
        <v>2037-08</v>
      </c>
      <c r="C221" s="49">
        <f>SUMIF(despesas_recorrentes!C:C, "&gt;="&amp;A221,despesas_recorrentes!B:B) 
+SUMIF(despesas_recorrentes!C:C, "",despesas_recorrentes!B:B)
-despesas_recorrentes!$B$12
+IF(SUMIF(gasto_cartao!E:E,saldo!B221,gasto_cartao!B:B)&gt;despesas_recorrentes!$B$12, SUMIF(gasto_cartao!E:E,saldo!B221,gasto_cartao!B:B),despesas_recorrentes!$B$12)</f>
        <v>34013</v>
      </c>
      <c r="D221" s="51">
        <f>SUM(receitas_recorrentes!B:B)+SUMIF(receitas_pontuais!E:E,B221,receitas_pontuais!B:B)</f>
        <v>56919</v>
      </c>
      <c r="E221" s="51">
        <f t="shared" si="2"/>
        <v>22906</v>
      </c>
      <c r="F221" s="53">
        <f>IFERROR(SUMIF(contas!G:G, B221, contas!B:B),0)</f>
        <v>0</v>
      </c>
      <c r="G221" s="51">
        <f>SUMIFS(previsoes!D:D, previsoes!E:E, "&lt;=" &amp; EOMONTH(DATEVALUE(B221&amp;"-01"),0), previsoes!F:F, "&gt;=" &amp; DATEVALUE(B221&amp;"-01"))</f>
        <v>0</v>
      </c>
      <c r="H221" s="52">
        <f t="shared" si="5"/>
        <v>160491.8958</v>
      </c>
      <c r="I221" s="49">
        <f t="shared" si="3"/>
        <v>22906</v>
      </c>
      <c r="J221" s="52">
        <f>IF(A221&lt;&gt;"",SUMIFS(metas!N:N, metas!E:E, "&gt;=" &amp; DATEVALUE(B221&amp;"-01"),metas!D:D, "&lt;=" &amp; DATEVALUE(B221&amp;"-01")),"")</f>
        <v>3182.813937</v>
      </c>
      <c r="K221" s="49">
        <f t="shared" si="4"/>
        <v>19723.18606</v>
      </c>
      <c r="L221" s="49">
        <f t="shared" si="6"/>
        <v>3702984.276</v>
      </c>
      <c r="M221" s="49">
        <f>IF(A221&lt;&gt;"",IF(COUNTIF(investimento!F:F, B221) &gt; 0, SUM(investimento!B:B)+I221, M220+I221),"")</f>
        <v>4821978.681</v>
      </c>
    </row>
    <row r="222" ht="22.5" customHeight="1">
      <c r="A222" s="47">
        <v>50271.0</v>
      </c>
      <c r="B222" s="48" t="str">
        <f t="shared" si="1"/>
        <v>2037-08</v>
      </c>
      <c r="C222" s="49">
        <f>SUMIF(despesas_recorrentes!C:C, "&gt;="&amp;A222,despesas_recorrentes!B:B) 
+SUMIF(despesas_recorrentes!C:C, "",despesas_recorrentes!B:B)
-despesas_recorrentes!$B$12
+IF(SUMIF(gasto_cartao!E:E,saldo!B222,gasto_cartao!B:B)&gt;despesas_recorrentes!$B$12, SUMIF(gasto_cartao!E:E,saldo!B222,gasto_cartao!B:B),despesas_recorrentes!$B$12)</f>
        <v>34013</v>
      </c>
      <c r="D222" s="51">
        <f>SUM(receitas_recorrentes!B:B)+SUMIF(receitas_pontuais!E:E,B222,receitas_pontuais!B:B)</f>
        <v>56919</v>
      </c>
      <c r="E222" s="51">
        <f t="shared" si="2"/>
        <v>22906</v>
      </c>
      <c r="F222" s="53">
        <f>IFERROR(SUMIF(contas!G:G, B222, contas!B:B),0)</f>
        <v>0</v>
      </c>
      <c r="G222" s="51">
        <f>SUMIFS(previsoes!D:D, previsoes!E:E, "&lt;=" &amp; EOMONTH(DATEVALUE(B222&amp;"-01"),0), previsoes!F:F, "&gt;=" &amp; DATEVALUE(B222&amp;"-01"))</f>
        <v>0</v>
      </c>
      <c r="H222" s="52">
        <f t="shared" si="5"/>
        <v>160491.8958</v>
      </c>
      <c r="I222" s="49">
        <f t="shared" si="3"/>
        <v>22906</v>
      </c>
      <c r="J222" s="52">
        <f>IF(A222&lt;&gt;"",SUMIFS(metas!N:N, metas!E:E, "&gt;=" &amp; DATEVALUE(B222&amp;"-01"),metas!D:D, "&lt;=" &amp; DATEVALUE(B222&amp;"-01")),"")</f>
        <v>3182.813937</v>
      </c>
      <c r="K222" s="49">
        <f t="shared" si="4"/>
        <v>19723.18606</v>
      </c>
      <c r="L222" s="49">
        <f t="shared" si="6"/>
        <v>3722707.462</v>
      </c>
      <c r="M222" s="49">
        <f>IF(A222&lt;&gt;"",IF(COUNTIF(investimento!F:F, B222) &gt; 0, SUM(investimento!B:B)+I222, M221+I222),"")</f>
        <v>4844884.681</v>
      </c>
    </row>
    <row r="223" ht="22.5" customHeight="1">
      <c r="A223" s="47">
        <v>50272.0</v>
      </c>
      <c r="B223" s="48" t="str">
        <f t="shared" si="1"/>
        <v>2037-08</v>
      </c>
      <c r="C223" s="49">
        <f>SUMIF(despesas_recorrentes!C:C, "&gt;="&amp;A223,despesas_recorrentes!B:B) 
+SUMIF(despesas_recorrentes!C:C, "",despesas_recorrentes!B:B)
-despesas_recorrentes!$B$12
+IF(SUMIF(gasto_cartao!E:E,saldo!B223,gasto_cartao!B:B)&gt;despesas_recorrentes!$B$12, SUMIF(gasto_cartao!E:E,saldo!B223,gasto_cartao!B:B),despesas_recorrentes!$B$12)</f>
        <v>34013</v>
      </c>
      <c r="D223" s="51">
        <f>SUM(receitas_recorrentes!B:B)+SUMIF(receitas_pontuais!E:E,B223,receitas_pontuais!B:B)</f>
        <v>56919</v>
      </c>
      <c r="E223" s="51">
        <f t="shared" si="2"/>
        <v>22906</v>
      </c>
      <c r="F223" s="53">
        <f>IFERROR(SUMIF(contas!G:G, B223, contas!B:B),0)</f>
        <v>0</v>
      </c>
      <c r="G223" s="51">
        <f>SUMIFS(previsoes!D:D, previsoes!E:E, "&lt;=" &amp; EOMONTH(DATEVALUE(B223&amp;"-01"),0), previsoes!F:F, "&gt;=" &amp; DATEVALUE(B223&amp;"-01"))</f>
        <v>0</v>
      </c>
      <c r="H223" s="52">
        <f t="shared" si="5"/>
        <v>160491.8958</v>
      </c>
      <c r="I223" s="49">
        <f t="shared" si="3"/>
        <v>22906</v>
      </c>
      <c r="J223" s="52">
        <f>IF(A223&lt;&gt;"",SUMIFS(metas!N:N, metas!E:E, "&gt;=" &amp; DATEVALUE(B223&amp;"-01"),metas!D:D, "&lt;=" &amp; DATEVALUE(B223&amp;"-01")),"")</f>
        <v>3182.813937</v>
      </c>
      <c r="K223" s="49">
        <f t="shared" si="4"/>
        <v>19723.18606</v>
      </c>
      <c r="L223" s="49">
        <f t="shared" si="6"/>
        <v>3742430.648</v>
      </c>
      <c r="M223" s="49">
        <f>IF(A223&lt;&gt;"",IF(COUNTIF(investimento!F:F, B223) &gt; 0, SUM(investimento!B:B)+I223, M222+I223),"")</f>
        <v>4867790.681</v>
      </c>
    </row>
    <row r="224" ht="22.5" customHeight="1">
      <c r="A224" s="47">
        <v>50273.0</v>
      </c>
      <c r="B224" s="48" t="str">
        <f t="shared" si="1"/>
        <v>2037-08</v>
      </c>
      <c r="C224" s="49">
        <f>SUMIF(despesas_recorrentes!C:C, "&gt;="&amp;A224,despesas_recorrentes!B:B) 
+SUMIF(despesas_recorrentes!C:C, "",despesas_recorrentes!B:B)
-despesas_recorrentes!$B$12
+IF(SUMIF(gasto_cartao!E:E,saldo!B224,gasto_cartao!B:B)&gt;despesas_recorrentes!$B$12, SUMIF(gasto_cartao!E:E,saldo!B224,gasto_cartao!B:B),despesas_recorrentes!$B$12)</f>
        <v>34013</v>
      </c>
      <c r="D224" s="51">
        <f>SUM(receitas_recorrentes!B:B)+SUMIF(receitas_pontuais!E:E,B224,receitas_pontuais!B:B)</f>
        <v>56919</v>
      </c>
      <c r="E224" s="51">
        <f t="shared" si="2"/>
        <v>22906</v>
      </c>
      <c r="F224" s="53">
        <f>IFERROR(SUMIF(contas!G:G, B224, contas!B:B),0)</f>
        <v>0</v>
      </c>
      <c r="G224" s="51">
        <f>SUMIFS(previsoes!D:D, previsoes!E:E, "&lt;=" &amp; EOMONTH(DATEVALUE(B224&amp;"-01"),0), previsoes!F:F, "&gt;=" &amp; DATEVALUE(B224&amp;"-01"))</f>
        <v>0</v>
      </c>
      <c r="H224" s="52">
        <f t="shared" si="5"/>
        <v>160491.8958</v>
      </c>
      <c r="I224" s="49">
        <f t="shared" si="3"/>
        <v>22906</v>
      </c>
      <c r="J224" s="52">
        <f>IF(A224&lt;&gt;"",SUMIFS(metas!N:N, metas!E:E, "&gt;=" &amp; DATEVALUE(B224&amp;"-01"),metas!D:D, "&lt;=" &amp; DATEVALUE(B224&amp;"-01")),"")</f>
        <v>3182.813937</v>
      </c>
      <c r="K224" s="49">
        <f t="shared" si="4"/>
        <v>19723.18606</v>
      </c>
      <c r="L224" s="49">
        <f t="shared" si="6"/>
        <v>3762153.835</v>
      </c>
      <c r="M224" s="49">
        <f>IF(A224&lt;&gt;"",IF(COUNTIF(investimento!F:F, B224) &gt; 0, SUM(investimento!B:B)+I224, M223+I224),"")</f>
        <v>4890696.681</v>
      </c>
    </row>
    <row r="225" ht="22.5" customHeight="1">
      <c r="A225" s="47">
        <v>50274.0</v>
      </c>
      <c r="B225" s="48" t="str">
        <f t="shared" si="1"/>
        <v>2037-08</v>
      </c>
      <c r="C225" s="49">
        <f>SUMIF(despesas_recorrentes!C:C, "&gt;="&amp;A225,despesas_recorrentes!B:B) 
+SUMIF(despesas_recorrentes!C:C, "",despesas_recorrentes!B:B)
-despesas_recorrentes!$B$12
+IF(SUMIF(gasto_cartao!E:E,saldo!B225,gasto_cartao!B:B)&gt;despesas_recorrentes!$B$12, SUMIF(gasto_cartao!E:E,saldo!B225,gasto_cartao!B:B),despesas_recorrentes!$B$12)</f>
        <v>34013</v>
      </c>
      <c r="D225" s="51">
        <f>SUM(receitas_recorrentes!B:B)+SUMIF(receitas_pontuais!E:E,B225,receitas_pontuais!B:B)</f>
        <v>56919</v>
      </c>
      <c r="E225" s="51">
        <f t="shared" si="2"/>
        <v>22906</v>
      </c>
      <c r="F225" s="53">
        <f>IFERROR(SUMIF(contas!G:G, B225, contas!B:B),0)</f>
        <v>0</v>
      </c>
      <c r="G225" s="51">
        <f>SUMIFS(previsoes!D:D, previsoes!E:E, "&lt;=" &amp; EOMONTH(DATEVALUE(B225&amp;"-01"),0), previsoes!F:F, "&gt;=" &amp; DATEVALUE(B225&amp;"-01"))</f>
        <v>0</v>
      </c>
      <c r="H225" s="52">
        <f t="shared" si="5"/>
        <v>160491.8958</v>
      </c>
      <c r="I225" s="49">
        <f t="shared" si="3"/>
        <v>22906</v>
      </c>
      <c r="J225" s="52">
        <f>IF(A225&lt;&gt;"",SUMIFS(metas!N:N, metas!E:E, "&gt;=" &amp; DATEVALUE(B225&amp;"-01"),metas!D:D, "&lt;=" &amp; DATEVALUE(B225&amp;"-01")),"")</f>
        <v>3182.813937</v>
      </c>
      <c r="K225" s="49">
        <f t="shared" si="4"/>
        <v>19723.18606</v>
      </c>
      <c r="L225" s="49">
        <f t="shared" si="6"/>
        <v>3781877.021</v>
      </c>
      <c r="M225" s="49">
        <f>IF(A225&lt;&gt;"",IF(COUNTIF(investimento!F:F, B225) &gt; 0, SUM(investimento!B:B)+I225, M224+I225),"")</f>
        <v>4913602.681</v>
      </c>
    </row>
    <row r="226" ht="22.5" customHeight="1">
      <c r="A226" s="47">
        <v>50275.0</v>
      </c>
      <c r="B226" s="48" t="str">
        <f t="shared" si="1"/>
        <v>2037-08</v>
      </c>
      <c r="C226" s="49">
        <f>SUMIF(despesas_recorrentes!C:C, "&gt;="&amp;A226,despesas_recorrentes!B:B) 
+SUMIF(despesas_recorrentes!C:C, "",despesas_recorrentes!B:B)
-despesas_recorrentes!$B$12
+IF(SUMIF(gasto_cartao!E:E,saldo!B226,gasto_cartao!B:B)&gt;despesas_recorrentes!$B$12, SUMIF(gasto_cartao!E:E,saldo!B226,gasto_cartao!B:B),despesas_recorrentes!$B$12)</f>
        <v>34013</v>
      </c>
      <c r="D226" s="51">
        <f>SUM(receitas_recorrentes!B:B)+SUMIF(receitas_pontuais!E:E,B226,receitas_pontuais!B:B)</f>
        <v>56919</v>
      </c>
      <c r="E226" s="51">
        <f t="shared" si="2"/>
        <v>22906</v>
      </c>
      <c r="F226" s="53">
        <f>IFERROR(SUMIF(contas!G:G, B226, contas!B:B),0)</f>
        <v>0</v>
      </c>
      <c r="G226" s="51">
        <f>SUMIFS(previsoes!D:D, previsoes!E:E, "&lt;=" &amp; EOMONTH(DATEVALUE(B226&amp;"-01"),0), previsoes!F:F, "&gt;=" &amp; DATEVALUE(B226&amp;"-01"))</f>
        <v>0</v>
      </c>
      <c r="H226" s="52">
        <f t="shared" si="5"/>
        <v>160491.8958</v>
      </c>
      <c r="I226" s="49">
        <f t="shared" si="3"/>
        <v>22906</v>
      </c>
      <c r="J226" s="52">
        <f>IF(A226&lt;&gt;"",SUMIFS(metas!N:N, metas!E:E, "&gt;=" &amp; DATEVALUE(B226&amp;"-01"),metas!D:D, "&lt;=" &amp; DATEVALUE(B226&amp;"-01")),"")</f>
        <v>3182.813937</v>
      </c>
      <c r="K226" s="49">
        <f t="shared" si="4"/>
        <v>19723.18606</v>
      </c>
      <c r="L226" s="49">
        <f t="shared" si="6"/>
        <v>3801600.207</v>
      </c>
      <c r="M226" s="49">
        <f>IF(A226&lt;&gt;"",IF(COUNTIF(investimento!F:F, B226) &gt; 0, SUM(investimento!B:B)+I226, M225+I226),"")</f>
        <v>4936508.681</v>
      </c>
    </row>
    <row r="227" ht="22.5" customHeight="1">
      <c r="A227" s="47">
        <v>50276.0</v>
      </c>
      <c r="B227" s="48" t="str">
        <f t="shared" si="1"/>
        <v>2037-08</v>
      </c>
      <c r="C227" s="49">
        <f>SUMIF(despesas_recorrentes!C:C, "&gt;="&amp;A227,despesas_recorrentes!B:B) 
+SUMIF(despesas_recorrentes!C:C, "",despesas_recorrentes!B:B)
-despesas_recorrentes!$B$12
+IF(SUMIF(gasto_cartao!E:E,saldo!B227,gasto_cartao!B:B)&gt;despesas_recorrentes!$B$12, SUMIF(gasto_cartao!E:E,saldo!B227,gasto_cartao!B:B),despesas_recorrentes!$B$12)</f>
        <v>34013</v>
      </c>
      <c r="D227" s="51">
        <f>SUM(receitas_recorrentes!B:B)+SUMIF(receitas_pontuais!E:E,B227,receitas_pontuais!B:B)</f>
        <v>56919</v>
      </c>
      <c r="E227" s="51">
        <f t="shared" si="2"/>
        <v>22906</v>
      </c>
      <c r="F227" s="53">
        <f>IFERROR(SUMIF(contas!G:G, B227, contas!B:B),0)</f>
        <v>0</v>
      </c>
      <c r="G227" s="51">
        <f>SUMIFS(previsoes!D:D, previsoes!E:E, "&lt;=" &amp; EOMONTH(DATEVALUE(B227&amp;"-01"),0), previsoes!F:F, "&gt;=" &amp; DATEVALUE(B227&amp;"-01"))</f>
        <v>0</v>
      </c>
      <c r="H227" s="52">
        <f t="shared" si="5"/>
        <v>160491.8958</v>
      </c>
      <c r="I227" s="49">
        <f t="shared" si="3"/>
        <v>22906</v>
      </c>
      <c r="J227" s="52">
        <f>IF(A227&lt;&gt;"",SUMIFS(metas!N:N, metas!E:E, "&gt;=" &amp; DATEVALUE(B227&amp;"-01"),metas!D:D, "&lt;=" &amp; DATEVALUE(B227&amp;"-01")),"")</f>
        <v>3182.813937</v>
      </c>
      <c r="K227" s="49">
        <f t="shared" si="4"/>
        <v>19723.18606</v>
      </c>
      <c r="L227" s="49">
        <f t="shared" si="6"/>
        <v>3821323.393</v>
      </c>
      <c r="M227" s="49">
        <f>IF(A227&lt;&gt;"",IF(COUNTIF(investimento!F:F, B227) &gt; 0, SUM(investimento!B:B)+I227, M226+I227),"")</f>
        <v>4959414.681</v>
      </c>
    </row>
    <row r="228" ht="22.5" customHeight="1">
      <c r="A228" s="47">
        <v>50277.0</v>
      </c>
      <c r="B228" s="48" t="str">
        <f t="shared" si="1"/>
        <v>2037-08</v>
      </c>
      <c r="C228" s="49">
        <f>SUMIF(despesas_recorrentes!C:C, "&gt;="&amp;A228,despesas_recorrentes!B:B) 
+SUMIF(despesas_recorrentes!C:C, "",despesas_recorrentes!B:B)
-despesas_recorrentes!$B$12
+IF(SUMIF(gasto_cartao!E:E,saldo!B228,gasto_cartao!B:B)&gt;despesas_recorrentes!$B$12, SUMIF(gasto_cartao!E:E,saldo!B228,gasto_cartao!B:B),despesas_recorrentes!$B$12)</f>
        <v>34013</v>
      </c>
      <c r="D228" s="51">
        <f>SUM(receitas_recorrentes!B:B)+SUMIF(receitas_pontuais!E:E,B228,receitas_pontuais!B:B)</f>
        <v>56919</v>
      </c>
      <c r="E228" s="51">
        <f t="shared" si="2"/>
        <v>22906</v>
      </c>
      <c r="F228" s="53">
        <f>IFERROR(SUMIF(contas!G:G, B228, contas!B:B),0)</f>
        <v>0</v>
      </c>
      <c r="G228" s="51">
        <f>SUMIFS(previsoes!D:D, previsoes!E:E, "&lt;=" &amp; EOMONTH(DATEVALUE(B228&amp;"-01"),0), previsoes!F:F, "&gt;=" &amp; DATEVALUE(B228&amp;"-01"))</f>
        <v>0</v>
      </c>
      <c r="H228" s="52">
        <f t="shared" si="5"/>
        <v>160491.8958</v>
      </c>
      <c r="I228" s="49">
        <f t="shared" si="3"/>
        <v>22906</v>
      </c>
      <c r="J228" s="52">
        <f>IF(A228&lt;&gt;"",SUMIFS(metas!N:N, metas!E:E, "&gt;=" &amp; DATEVALUE(B228&amp;"-01"),metas!D:D, "&lt;=" &amp; DATEVALUE(B228&amp;"-01")),"")</f>
        <v>3182.813937</v>
      </c>
      <c r="K228" s="49">
        <f t="shared" si="4"/>
        <v>19723.18606</v>
      </c>
      <c r="L228" s="49">
        <f t="shared" si="6"/>
        <v>3841046.579</v>
      </c>
      <c r="M228" s="49">
        <f>IF(A228&lt;&gt;"",IF(COUNTIF(investimento!F:F, B228) &gt; 0, SUM(investimento!B:B)+I228, M227+I228),"")</f>
        <v>4982320.681</v>
      </c>
    </row>
    <row r="229" ht="22.5" customHeight="1">
      <c r="A229" s="47">
        <v>50278.0</v>
      </c>
      <c r="B229" s="48" t="str">
        <f t="shared" si="1"/>
        <v>2037-08</v>
      </c>
      <c r="C229" s="49">
        <f>SUMIF(despesas_recorrentes!C:C, "&gt;="&amp;A229,despesas_recorrentes!B:B) 
+SUMIF(despesas_recorrentes!C:C, "",despesas_recorrentes!B:B)
-despesas_recorrentes!$B$12
+IF(SUMIF(gasto_cartao!E:E,saldo!B229,gasto_cartao!B:B)&gt;despesas_recorrentes!$B$12, SUMIF(gasto_cartao!E:E,saldo!B229,gasto_cartao!B:B),despesas_recorrentes!$B$12)</f>
        <v>34013</v>
      </c>
      <c r="D229" s="51">
        <f>SUM(receitas_recorrentes!B:B)+SUMIF(receitas_pontuais!E:E,B229,receitas_pontuais!B:B)</f>
        <v>56919</v>
      </c>
      <c r="E229" s="51">
        <f t="shared" si="2"/>
        <v>22906</v>
      </c>
      <c r="F229" s="53">
        <f>IFERROR(SUMIF(contas!G:G, B229, contas!B:B),0)</f>
        <v>0</v>
      </c>
      <c r="G229" s="51">
        <f>SUMIFS(previsoes!D:D, previsoes!E:E, "&lt;=" &amp; EOMONTH(DATEVALUE(B229&amp;"-01"),0), previsoes!F:F, "&gt;=" &amp; DATEVALUE(B229&amp;"-01"))</f>
        <v>0</v>
      </c>
      <c r="H229" s="52">
        <f t="shared" si="5"/>
        <v>160491.8958</v>
      </c>
      <c r="I229" s="49">
        <f t="shared" si="3"/>
        <v>22906</v>
      </c>
      <c r="J229" s="52">
        <f>IF(A229&lt;&gt;"",SUMIFS(metas!N:N, metas!E:E, "&gt;=" &amp; DATEVALUE(B229&amp;"-01"),metas!D:D, "&lt;=" &amp; DATEVALUE(B229&amp;"-01")),"")</f>
        <v>3182.813937</v>
      </c>
      <c r="K229" s="49">
        <f t="shared" si="4"/>
        <v>19723.18606</v>
      </c>
      <c r="L229" s="49">
        <f t="shared" si="6"/>
        <v>3860769.765</v>
      </c>
      <c r="M229" s="49">
        <f>IF(A229&lt;&gt;"",IF(COUNTIF(investimento!F:F, B229) &gt; 0, SUM(investimento!B:B)+I229, M228+I229),"")</f>
        <v>5005226.681</v>
      </c>
    </row>
    <row r="230" ht="22.5" customHeight="1">
      <c r="A230" s="47">
        <v>50279.0</v>
      </c>
      <c r="B230" s="48" t="str">
        <f t="shared" si="1"/>
        <v>2037-08</v>
      </c>
      <c r="C230" s="49">
        <f>SUMIF(despesas_recorrentes!C:C, "&gt;="&amp;A230,despesas_recorrentes!B:B) 
+SUMIF(despesas_recorrentes!C:C, "",despesas_recorrentes!B:B)
-despesas_recorrentes!$B$12
+IF(SUMIF(gasto_cartao!E:E,saldo!B230,gasto_cartao!B:B)&gt;despesas_recorrentes!$B$12, SUMIF(gasto_cartao!E:E,saldo!B230,gasto_cartao!B:B),despesas_recorrentes!$B$12)</f>
        <v>34013</v>
      </c>
      <c r="D230" s="51">
        <f>SUM(receitas_recorrentes!B:B)+SUMIF(receitas_pontuais!E:E,B230,receitas_pontuais!B:B)</f>
        <v>56919</v>
      </c>
      <c r="E230" s="51">
        <f t="shared" si="2"/>
        <v>22906</v>
      </c>
      <c r="F230" s="53">
        <f>IFERROR(SUMIF(contas!G:G, B230, contas!B:B),0)</f>
        <v>0</v>
      </c>
      <c r="G230" s="51">
        <f>SUMIFS(previsoes!D:D, previsoes!E:E, "&lt;=" &amp; EOMONTH(DATEVALUE(B230&amp;"-01"),0), previsoes!F:F, "&gt;=" &amp; DATEVALUE(B230&amp;"-01"))</f>
        <v>0</v>
      </c>
      <c r="H230" s="52">
        <f t="shared" si="5"/>
        <v>160491.8958</v>
      </c>
      <c r="I230" s="49">
        <f t="shared" si="3"/>
        <v>22906</v>
      </c>
      <c r="J230" s="52">
        <f>IF(A230&lt;&gt;"",SUMIFS(metas!N:N, metas!E:E, "&gt;=" &amp; DATEVALUE(B230&amp;"-01"),metas!D:D, "&lt;=" &amp; DATEVALUE(B230&amp;"-01")),"")</f>
        <v>3182.813937</v>
      </c>
      <c r="K230" s="49">
        <f t="shared" si="4"/>
        <v>19723.18606</v>
      </c>
      <c r="L230" s="49">
        <f t="shared" si="6"/>
        <v>3880492.951</v>
      </c>
      <c r="M230" s="49">
        <f>IF(A230&lt;&gt;"",IF(COUNTIF(investimento!F:F, B230) &gt; 0, SUM(investimento!B:B)+I230, M229+I230),"")</f>
        <v>5028132.681</v>
      </c>
    </row>
    <row r="231" ht="22.5" customHeight="1">
      <c r="A231" s="47">
        <v>50280.0</v>
      </c>
      <c r="B231" s="48" t="str">
        <f t="shared" si="1"/>
        <v>2037-08</v>
      </c>
      <c r="C231" s="49">
        <f>SUMIF(despesas_recorrentes!C:C, "&gt;="&amp;A231,despesas_recorrentes!B:B) 
+SUMIF(despesas_recorrentes!C:C, "",despesas_recorrentes!B:B)
-despesas_recorrentes!$B$12
+IF(SUMIF(gasto_cartao!E:E,saldo!B231,gasto_cartao!B:B)&gt;despesas_recorrentes!$B$12, SUMIF(gasto_cartao!E:E,saldo!B231,gasto_cartao!B:B),despesas_recorrentes!$B$12)</f>
        <v>34013</v>
      </c>
      <c r="D231" s="51">
        <f>SUM(receitas_recorrentes!B:B)+SUMIF(receitas_pontuais!E:E,B231,receitas_pontuais!B:B)</f>
        <v>56919</v>
      </c>
      <c r="E231" s="51">
        <f t="shared" si="2"/>
        <v>22906</v>
      </c>
      <c r="F231" s="53">
        <f>IFERROR(SUMIF(contas!G:G, B231, contas!B:B),0)</f>
        <v>0</v>
      </c>
      <c r="G231" s="51">
        <f>SUMIFS(previsoes!D:D, previsoes!E:E, "&lt;=" &amp; EOMONTH(DATEVALUE(B231&amp;"-01"),0), previsoes!F:F, "&gt;=" &amp; DATEVALUE(B231&amp;"-01"))</f>
        <v>0</v>
      </c>
      <c r="H231" s="52">
        <f t="shared" si="5"/>
        <v>160491.8958</v>
      </c>
      <c r="I231" s="49">
        <f t="shared" si="3"/>
        <v>22906</v>
      </c>
      <c r="J231" s="52">
        <f>IF(A231&lt;&gt;"",SUMIFS(metas!N:N, metas!E:E, "&gt;=" &amp; DATEVALUE(B231&amp;"-01"),metas!D:D, "&lt;=" &amp; DATEVALUE(B231&amp;"-01")),"")</f>
        <v>3182.813937</v>
      </c>
      <c r="K231" s="49">
        <f t="shared" si="4"/>
        <v>19723.18606</v>
      </c>
      <c r="L231" s="49">
        <f t="shared" si="6"/>
        <v>3900216.137</v>
      </c>
      <c r="M231" s="49">
        <f>IF(A231&lt;&gt;"",IF(COUNTIF(investimento!F:F, B231) &gt; 0, SUM(investimento!B:B)+I231, M230+I231),"")</f>
        <v>5051038.681</v>
      </c>
    </row>
    <row r="232" ht="22.5" customHeight="1">
      <c r="A232" s="47">
        <v>50281.0</v>
      </c>
      <c r="B232" s="48" t="str">
        <f t="shared" si="1"/>
        <v>2037-08</v>
      </c>
      <c r="C232" s="49">
        <f>SUMIF(despesas_recorrentes!C:C, "&gt;="&amp;A232,despesas_recorrentes!B:B) 
+SUMIF(despesas_recorrentes!C:C, "",despesas_recorrentes!B:B)
-despesas_recorrentes!$B$12
+IF(SUMIF(gasto_cartao!E:E,saldo!B232,gasto_cartao!B:B)&gt;despesas_recorrentes!$B$12, SUMIF(gasto_cartao!E:E,saldo!B232,gasto_cartao!B:B),despesas_recorrentes!$B$12)</f>
        <v>34013</v>
      </c>
      <c r="D232" s="51">
        <f>SUM(receitas_recorrentes!B:B)+SUMIF(receitas_pontuais!E:E,B232,receitas_pontuais!B:B)</f>
        <v>56919</v>
      </c>
      <c r="E232" s="51">
        <f t="shared" si="2"/>
        <v>22906</v>
      </c>
      <c r="F232" s="53">
        <f>IFERROR(SUMIF(contas!G:G, B232, contas!B:B),0)</f>
        <v>0</v>
      </c>
      <c r="G232" s="51">
        <f>SUMIFS(previsoes!D:D, previsoes!E:E, "&lt;=" &amp; EOMONTH(DATEVALUE(B232&amp;"-01"),0), previsoes!F:F, "&gt;=" &amp; DATEVALUE(B232&amp;"-01"))</f>
        <v>0</v>
      </c>
      <c r="H232" s="52">
        <f t="shared" si="5"/>
        <v>160491.8958</v>
      </c>
      <c r="I232" s="49">
        <f t="shared" si="3"/>
        <v>22906</v>
      </c>
      <c r="J232" s="52">
        <f>IF(A232&lt;&gt;"",SUMIFS(metas!N:N, metas!E:E, "&gt;=" &amp; DATEVALUE(B232&amp;"-01"),metas!D:D, "&lt;=" &amp; DATEVALUE(B232&amp;"-01")),"")</f>
        <v>3182.813937</v>
      </c>
      <c r="K232" s="49">
        <f t="shared" si="4"/>
        <v>19723.18606</v>
      </c>
      <c r="L232" s="49">
        <f t="shared" si="6"/>
        <v>3919939.323</v>
      </c>
      <c r="M232" s="49">
        <f>IF(A232&lt;&gt;"",IF(COUNTIF(investimento!F:F, B232) &gt; 0, SUM(investimento!B:B)+I232, M231+I232),"")</f>
        <v>5073944.681</v>
      </c>
    </row>
    <row r="233" ht="22.5" customHeight="1">
      <c r="A233" s="47">
        <v>50282.0</v>
      </c>
      <c r="B233" s="48" t="str">
        <f t="shared" si="1"/>
        <v>2037-08</v>
      </c>
      <c r="C233" s="49">
        <f>SUMIF(despesas_recorrentes!C:C, "&gt;="&amp;A233,despesas_recorrentes!B:B) 
+SUMIF(despesas_recorrentes!C:C, "",despesas_recorrentes!B:B)
-despesas_recorrentes!$B$12
+IF(SUMIF(gasto_cartao!E:E,saldo!B233,gasto_cartao!B:B)&gt;despesas_recorrentes!$B$12, SUMIF(gasto_cartao!E:E,saldo!B233,gasto_cartao!B:B),despesas_recorrentes!$B$12)</f>
        <v>34013</v>
      </c>
      <c r="D233" s="51">
        <f>SUM(receitas_recorrentes!B:B)+SUMIF(receitas_pontuais!E:E,B233,receitas_pontuais!B:B)</f>
        <v>56919</v>
      </c>
      <c r="E233" s="51">
        <f t="shared" si="2"/>
        <v>22906</v>
      </c>
      <c r="F233" s="53">
        <f>IFERROR(SUMIF(contas!G:G, B233, contas!B:B),0)</f>
        <v>0</v>
      </c>
      <c r="G233" s="51">
        <f>SUMIFS(previsoes!D:D, previsoes!E:E, "&lt;=" &amp; EOMONTH(DATEVALUE(B233&amp;"-01"),0), previsoes!F:F, "&gt;=" &amp; DATEVALUE(B233&amp;"-01"))</f>
        <v>0</v>
      </c>
      <c r="H233" s="52">
        <f t="shared" si="5"/>
        <v>160491.8958</v>
      </c>
      <c r="I233" s="49">
        <f t="shared" si="3"/>
        <v>22906</v>
      </c>
      <c r="J233" s="52">
        <f>IF(A233&lt;&gt;"",SUMIFS(metas!N:N, metas!E:E, "&gt;=" &amp; DATEVALUE(B233&amp;"-01"),metas!D:D, "&lt;=" &amp; DATEVALUE(B233&amp;"-01")),"")</f>
        <v>3182.813937</v>
      </c>
      <c r="K233" s="49">
        <f t="shared" si="4"/>
        <v>19723.18606</v>
      </c>
      <c r="L233" s="49">
        <f t="shared" si="6"/>
        <v>3939662.509</v>
      </c>
      <c r="M233" s="49">
        <f>IF(A233&lt;&gt;"",IF(COUNTIF(investimento!F:F, B233) &gt; 0, SUM(investimento!B:B)+I233, M232+I233),"")</f>
        <v>5096850.681</v>
      </c>
    </row>
    <row r="234" ht="22.5" customHeight="1">
      <c r="A234" s="47">
        <v>50283.0</v>
      </c>
      <c r="B234" s="48" t="str">
        <f t="shared" si="1"/>
        <v>2037-08</v>
      </c>
      <c r="C234" s="49">
        <f>SUMIF(despesas_recorrentes!C:C, "&gt;="&amp;A234,despesas_recorrentes!B:B) 
+SUMIF(despesas_recorrentes!C:C, "",despesas_recorrentes!B:B)
-despesas_recorrentes!$B$12
+IF(SUMIF(gasto_cartao!E:E,saldo!B234,gasto_cartao!B:B)&gt;despesas_recorrentes!$B$12, SUMIF(gasto_cartao!E:E,saldo!B234,gasto_cartao!B:B),despesas_recorrentes!$B$12)</f>
        <v>34013</v>
      </c>
      <c r="D234" s="51">
        <f>SUM(receitas_recorrentes!B:B)+SUMIF(receitas_pontuais!E:E,B234,receitas_pontuais!B:B)</f>
        <v>56919</v>
      </c>
      <c r="E234" s="51">
        <f t="shared" si="2"/>
        <v>22906</v>
      </c>
      <c r="F234" s="53">
        <f>IFERROR(SUMIF(contas!G:G, B234, contas!B:B),0)</f>
        <v>0</v>
      </c>
      <c r="G234" s="51">
        <f>SUMIFS(previsoes!D:D, previsoes!E:E, "&lt;=" &amp; EOMONTH(DATEVALUE(B234&amp;"-01"),0), previsoes!F:F, "&gt;=" &amp; DATEVALUE(B234&amp;"-01"))</f>
        <v>0</v>
      </c>
      <c r="H234" s="52">
        <f t="shared" si="5"/>
        <v>160491.8958</v>
      </c>
      <c r="I234" s="49">
        <f t="shared" si="3"/>
        <v>22906</v>
      </c>
      <c r="J234" s="52">
        <f>IF(A234&lt;&gt;"",SUMIFS(metas!N:N, metas!E:E, "&gt;=" &amp; DATEVALUE(B234&amp;"-01"),metas!D:D, "&lt;=" &amp; DATEVALUE(B234&amp;"-01")),"")</f>
        <v>3182.813937</v>
      </c>
      <c r="K234" s="49">
        <f t="shared" si="4"/>
        <v>19723.18606</v>
      </c>
      <c r="L234" s="49">
        <f t="shared" si="6"/>
        <v>3959385.695</v>
      </c>
      <c r="M234" s="49">
        <f>IF(A234&lt;&gt;"",IF(COUNTIF(investimento!F:F, B234) &gt; 0, SUM(investimento!B:B)+I234, M233+I234),"")</f>
        <v>5119756.681</v>
      </c>
    </row>
    <row r="235" ht="22.5" customHeight="1">
      <c r="A235" s="47">
        <v>50284.0</v>
      </c>
      <c r="B235" s="48" t="str">
        <f t="shared" si="1"/>
        <v>2037-09</v>
      </c>
      <c r="C235" s="49">
        <f>SUMIF(despesas_recorrentes!C:C, "&gt;="&amp;A235,despesas_recorrentes!B:B) 
+SUMIF(despesas_recorrentes!C:C, "",despesas_recorrentes!B:B)
-despesas_recorrentes!$B$12
+IF(SUMIF(gasto_cartao!E:E,saldo!B235,gasto_cartao!B:B)&gt;despesas_recorrentes!$B$12, SUMIF(gasto_cartao!E:E,saldo!B235,gasto_cartao!B:B),despesas_recorrentes!$B$12)</f>
        <v>34013</v>
      </c>
      <c r="D235" s="51">
        <f>SUM(receitas_recorrentes!B:B)+SUMIF(receitas_pontuais!E:E,B235,receitas_pontuais!B:B)</f>
        <v>56919</v>
      </c>
      <c r="E235" s="51">
        <f t="shared" si="2"/>
        <v>22906</v>
      </c>
      <c r="F235" s="53">
        <f>IFERROR(SUMIF(contas!G:G, B235, contas!B:B),0)</f>
        <v>0</v>
      </c>
      <c r="G235" s="51">
        <f>SUMIFS(previsoes!D:D, previsoes!E:E, "&lt;=" &amp; EOMONTH(DATEVALUE(B235&amp;"-01"),0), previsoes!F:F, "&gt;=" &amp; DATEVALUE(B235&amp;"-01"))</f>
        <v>0</v>
      </c>
      <c r="H235" s="52">
        <f t="shared" si="5"/>
        <v>160491.8958</v>
      </c>
      <c r="I235" s="49">
        <f t="shared" si="3"/>
        <v>22906</v>
      </c>
      <c r="J235" s="52">
        <f>IF(A235&lt;&gt;"",SUMIFS(metas!N:N, metas!E:E, "&gt;=" &amp; DATEVALUE(B235&amp;"-01"),metas!D:D, "&lt;=" &amp; DATEVALUE(B235&amp;"-01")),"")</f>
        <v>3182.813937</v>
      </c>
      <c r="K235" s="49">
        <f t="shared" si="4"/>
        <v>19723.18606</v>
      </c>
      <c r="L235" s="49">
        <f t="shared" si="6"/>
        <v>3979108.881</v>
      </c>
      <c r="M235" s="49">
        <f>IF(A235&lt;&gt;"",IF(COUNTIF(investimento!F:F, B235) &gt; 0, SUM(investimento!B:B)+I235, M234+I235),"")</f>
        <v>5142662.681</v>
      </c>
    </row>
    <row r="236" ht="22.5" customHeight="1">
      <c r="A236" s="47">
        <v>50285.0</v>
      </c>
      <c r="B236" s="48" t="str">
        <f t="shared" si="1"/>
        <v>2037-09</v>
      </c>
      <c r="C236" s="49">
        <f>SUMIF(despesas_recorrentes!C:C, "&gt;="&amp;A236,despesas_recorrentes!B:B) 
+SUMIF(despesas_recorrentes!C:C, "",despesas_recorrentes!B:B)
-despesas_recorrentes!$B$12
+IF(SUMIF(gasto_cartao!E:E,saldo!B236,gasto_cartao!B:B)&gt;despesas_recorrentes!$B$12, SUMIF(gasto_cartao!E:E,saldo!B236,gasto_cartao!B:B),despesas_recorrentes!$B$12)</f>
        <v>34013</v>
      </c>
      <c r="D236" s="51">
        <f>SUM(receitas_recorrentes!B:B)+SUMIF(receitas_pontuais!E:E,B236,receitas_pontuais!B:B)</f>
        <v>56919</v>
      </c>
      <c r="E236" s="51">
        <f t="shared" si="2"/>
        <v>22906</v>
      </c>
      <c r="F236" s="53">
        <f>IFERROR(SUMIF(contas!G:G, B236, contas!B:B),0)</f>
        <v>0</v>
      </c>
      <c r="G236" s="51">
        <f>SUMIFS(previsoes!D:D, previsoes!E:E, "&lt;=" &amp; EOMONTH(DATEVALUE(B236&amp;"-01"),0), previsoes!F:F, "&gt;=" &amp; DATEVALUE(B236&amp;"-01"))</f>
        <v>0</v>
      </c>
      <c r="H236" s="52">
        <f t="shared" si="5"/>
        <v>160491.8958</v>
      </c>
      <c r="I236" s="49">
        <f t="shared" si="3"/>
        <v>22906</v>
      </c>
      <c r="J236" s="52">
        <f>IF(A236&lt;&gt;"",SUMIFS(metas!N:N, metas!E:E, "&gt;=" &amp; DATEVALUE(B236&amp;"-01"),metas!D:D, "&lt;=" &amp; DATEVALUE(B236&amp;"-01")),"")</f>
        <v>3182.813937</v>
      </c>
      <c r="K236" s="49">
        <f t="shared" si="4"/>
        <v>19723.18606</v>
      </c>
      <c r="L236" s="49">
        <f t="shared" si="6"/>
        <v>3998832.067</v>
      </c>
      <c r="M236" s="49">
        <f>IF(A236&lt;&gt;"",IF(COUNTIF(investimento!F:F, B236) &gt; 0, SUM(investimento!B:B)+I236, M235+I236),"")</f>
        <v>5165568.681</v>
      </c>
    </row>
    <row r="237" ht="22.5" customHeight="1">
      <c r="A237" s="47">
        <v>50286.0</v>
      </c>
      <c r="B237" s="48" t="str">
        <f t="shared" si="1"/>
        <v>2037-09</v>
      </c>
      <c r="C237" s="49">
        <f>SUMIF(despesas_recorrentes!C:C, "&gt;="&amp;A237,despesas_recorrentes!B:B) 
+SUMIF(despesas_recorrentes!C:C, "",despesas_recorrentes!B:B)
-despesas_recorrentes!$B$12
+IF(SUMIF(gasto_cartao!E:E,saldo!B237,gasto_cartao!B:B)&gt;despesas_recorrentes!$B$12, SUMIF(gasto_cartao!E:E,saldo!B237,gasto_cartao!B:B),despesas_recorrentes!$B$12)</f>
        <v>34013</v>
      </c>
      <c r="D237" s="51">
        <f>SUM(receitas_recorrentes!B:B)+SUMIF(receitas_pontuais!E:E,B237,receitas_pontuais!B:B)</f>
        <v>56919</v>
      </c>
      <c r="E237" s="51">
        <f t="shared" si="2"/>
        <v>22906</v>
      </c>
      <c r="F237" s="53">
        <f>IFERROR(SUMIF(contas!G:G, B237, contas!B:B),0)</f>
        <v>0</v>
      </c>
      <c r="G237" s="51">
        <f>SUMIFS(previsoes!D:D, previsoes!E:E, "&lt;=" &amp; EOMONTH(DATEVALUE(B237&amp;"-01"),0), previsoes!F:F, "&gt;=" &amp; DATEVALUE(B237&amp;"-01"))</f>
        <v>0</v>
      </c>
      <c r="H237" s="52">
        <f t="shared" si="5"/>
        <v>160491.8958</v>
      </c>
      <c r="I237" s="49">
        <f t="shared" si="3"/>
        <v>22906</v>
      </c>
      <c r="J237" s="52">
        <f>IF(A237&lt;&gt;"",SUMIFS(metas!N:N, metas!E:E, "&gt;=" &amp; DATEVALUE(B237&amp;"-01"),metas!D:D, "&lt;=" &amp; DATEVALUE(B237&amp;"-01")),"")</f>
        <v>3182.813937</v>
      </c>
      <c r="K237" s="49">
        <f t="shared" si="4"/>
        <v>19723.18606</v>
      </c>
      <c r="L237" s="49">
        <f t="shared" si="6"/>
        <v>4018555.253</v>
      </c>
      <c r="M237" s="49">
        <f>IF(A237&lt;&gt;"",IF(COUNTIF(investimento!F:F, B237) &gt; 0, SUM(investimento!B:B)+I237, M236+I237),"")</f>
        <v>5188474.681</v>
      </c>
    </row>
    <row r="238" ht="22.5" customHeight="1">
      <c r="A238" s="47">
        <v>50287.0</v>
      </c>
      <c r="B238" s="48" t="str">
        <f t="shared" si="1"/>
        <v>2037-09</v>
      </c>
      <c r="C238" s="49">
        <f>SUMIF(despesas_recorrentes!C:C, "&gt;="&amp;A238,despesas_recorrentes!B:B) 
+SUMIF(despesas_recorrentes!C:C, "",despesas_recorrentes!B:B)
-despesas_recorrentes!$B$12
+IF(SUMIF(gasto_cartao!E:E,saldo!B238,gasto_cartao!B:B)&gt;despesas_recorrentes!$B$12, SUMIF(gasto_cartao!E:E,saldo!B238,gasto_cartao!B:B),despesas_recorrentes!$B$12)</f>
        <v>34013</v>
      </c>
      <c r="D238" s="51">
        <f>SUM(receitas_recorrentes!B:B)+SUMIF(receitas_pontuais!E:E,B238,receitas_pontuais!B:B)</f>
        <v>56919</v>
      </c>
      <c r="E238" s="51">
        <f t="shared" si="2"/>
        <v>22906</v>
      </c>
      <c r="F238" s="53">
        <f>IFERROR(SUMIF(contas!G:G, B238, contas!B:B),0)</f>
        <v>0</v>
      </c>
      <c r="G238" s="51">
        <f>SUMIFS(previsoes!D:D, previsoes!E:E, "&lt;=" &amp; EOMONTH(DATEVALUE(B238&amp;"-01"),0), previsoes!F:F, "&gt;=" &amp; DATEVALUE(B238&amp;"-01"))</f>
        <v>0</v>
      </c>
      <c r="H238" s="52">
        <f t="shared" si="5"/>
        <v>160491.8958</v>
      </c>
      <c r="I238" s="49">
        <f t="shared" si="3"/>
        <v>22906</v>
      </c>
      <c r="J238" s="52">
        <f>IF(A238&lt;&gt;"",SUMIFS(metas!N:N, metas!E:E, "&gt;=" &amp; DATEVALUE(B238&amp;"-01"),metas!D:D, "&lt;=" &amp; DATEVALUE(B238&amp;"-01")),"")</f>
        <v>3182.813937</v>
      </c>
      <c r="K238" s="49">
        <f t="shared" si="4"/>
        <v>19723.18606</v>
      </c>
      <c r="L238" s="49">
        <f t="shared" si="6"/>
        <v>4038278.439</v>
      </c>
      <c r="M238" s="49">
        <f>IF(A238&lt;&gt;"",IF(COUNTIF(investimento!F:F, B238) &gt; 0, SUM(investimento!B:B)+I238, M237+I238),"")</f>
        <v>5211380.681</v>
      </c>
    </row>
    <row r="239" ht="22.5" customHeight="1">
      <c r="A239" s="47">
        <v>50288.0</v>
      </c>
      <c r="B239" s="48" t="str">
        <f t="shared" si="1"/>
        <v>2037-09</v>
      </c>
      <c r="C239" s="49">
        <f>SUMIF(despesas_recorrentes!C:C, "&gt;="&amp;A239,despesas_recorrentes!B:B) 
+SUMIF(despesas_recorrentes!C:C, "",despesas_recorrentes!B:B)
-despesas_recorrentes!$B$12
+IF(SUMIF(gasto_cartao!E:E,saldo!B239,gasto_cartao!B:B)&gt;despesas_recorrentes!$B$12, SUMIF(gasto_cartao!E:E,saldo!B239,gasto_cartao!B:B),despesas_recorrentes!$B$12)</f>
        <v>34013</v>
      </c>
      <c r="D239" s="51">
        <f>SUM(receitas_recorrentes!B:B)+SUMIF(receitas_pontuais!E:E,B239,receitas_pontuais!B:B)</f>
        <v>56919</v>
      </c>
      <c r="E239" s="51">
        <f t="shared" si="2"/>
        <v>22906</v>
      </c>
      <c r="F239" s="53">
        <f>IFERROR(SUMIF(contas!G:G, B239, contas!B:B),0)</f>
        <v>0</v>
      </c>
      <c r="G239" s="51">
        <f>SUMIFS(previsoes!D:D, previsoes!E:E, "&lt;=" &amp; EOMONTH(DATEVALUE(B239&amp;"-01"),0), previsoes!F:F, "&gt;=" &amp; DATEVALUE(B239&amp;"-01"))</f>
        <v>0</v>
      </c>
      <c r="H239" s="52">
        <f t="shared" si="5"/>
        <v>160491.8958</v>
      </c>
      <c r="I239" s="49">
        <f t="shared" si="3"/>
        <v>22906</v>
      </c>
      <c r="J239" s="52">
        <f>IF(A239&lt;&gt;"",SUMIFS(metas!N:N, metas!E:E, "&gt;=" &amp; DATEVALUE(B239&amp;"-01"),metas!D:D, "&lt;=" &amp; DATEVALUE(B239&amp;"-01")),"")</f>
        <v>3182.813937</v>
      </c>
      <c r="K239" s="49">
        <f t="shared" si="4"/>
        <v>19723.18606</v>
      </c>
      <c r="L239" s="49">
        <f t="shared" si="6"/>
        <v>4058001.625</v>
      </c>
      <c r="M239" s="49">
        <f>IF(A239&lt;&gt;"",IF(COUNTIF(investimento!F:F, B239) &gt; 0, SUM(investimento!B:B)+I239, M238+I239),"")</f>
        <v>5234286.681</v>
      </c>
    </row>
    <row r="240" ht="22.5" customHeight="1">
      <c r="A240" s="47">
        <v>50289.0</v>
      </c>
      <c r="B240" s="48" t="str">
        <f t="shared" si="1"/>
        <v>2037-09</v>
      </c>
      <c r="C240" s="49">
        <f>SUMIF(despesas_recorrentes!C:C, "&gt;="&amp;A240,despesas_recorrentes!B:B) 
+SUMIF(despesas_recorrentes!C:C, "",despesas_recorrentes!B:B)
-despesas_recorrentes!$B$12
+IF(SUMIF(gasto_cartao!E:E,saldo!B240,gasto_cartao!B:B)&gt;despesas_recorrentes!$B$12, SUMIF(gasto_cartao!E:E,saldo!B240,gasto_cartao!B:B),despesas_recorrentes!$B$12)</f>
        <v>34013</v>
      </c>
      <c r="D240" s="51">
        <f>SUM(receitas_recorrentes!B:B)+SUMIF(receitas_pontuais!E:E,B240,receitas_pontuais!B:B)</f>
        <v>56919</v>
      </c>
      <c r="E240" s="51">
        <f t="shared" si="2"/>
        <v>22906</v>
      </c>
      <c r="F240" s="53">
        <f>IFERROR(SUMIF(contas!G:G, B240, contas!B:B),0)</f>
        <v>0</v>
      </c>
      <c r="G240" s="51">
        <f>SUMIFS(previsoes!D:D, previsoes!E:E, "&lt;=" &amp; EOMONTH(DATEVALUE(B240&amp;"-01"),0), previsoes!F:F, "&gt;=" &amp; DATEVALUE(B240&amp;"-01"))</f>
        <v>0</v>
      </c>
      <c r="H240" s="52">
        <f t="shared" si="5"/>
        <v>160491.8958</v>
      </c>
      <c r="I240" s="49">
        <f t="shared" si="3"/>
        <v>22906</v>
      </c>
      <c r="J240" s="52">
        <f>IF(A240&lt;&gt;"",SUMIFS(metas!N:N, metas!E:E, "&gt;=" &amp; DATEVALUE(B240&amp;"-01"),metas!D:D, "&lt;=" &amp; DATEVALUE(B240&amp;"-01")),"")</f>
        <v>3182.813937</v>
      </c>
      <c r="K240" s="49">
        <f t="shared" si="4"/>
        <v>19723.18606</v>
      </c>
      <c r="L240" s="49">
        <f t="shared" si="6"/>
        <v>4077724.812</v>
      </c>
      <c r="M240" s="49">
        <f>IF(A240&lt;&gt;"",IF(COUNTIF(investimento!F:F, B240) &gt; 0, SUM(investimento!B:B)+I240, M239+I240),"")</f>
        <v>5257192.681</v>
      </c>
    </row>
    <row r="241" ht="22.5" customHeight="1">
      <c r="A241" s="47">
        <v>50290.0</v>
      </c>
      <c r="B241" s="48" t="str">
        <f t="shared" si="1"/>
        <v>2037-09</v>
      </c>
      <c r="C241" s="49">
        <f>SUMIF(despesas_recorrentes!C:C, "&gt;="&amp;A241,despesas_recorrentes!B:B) 
+SUMIF(despesas_recorrentes!C:C, "",despesas_recorrentes!B:B)
-despesas_recorrentes!$B$12
+IF(SUMIF(gasto_cartao!E:E,saldo!B241,gasto_cartao!B:B)&gt;despesas_recorrentes!$B$12, SUMIF(gasto_cartao!E:E,saldo!B241,gasto_cartao!B:B),despesas_recorrentes!$B$12)</f>
        <v>34013</v>
      </c>
      <c r="D241" s="51">
        <f>SUM(receitas_recorrentes!B:B)+SUMIF(receitas_pontuais!E:E,B241,receitas_pontuais!B:B)</f>
        <v>56919</v>
      </c>
      <c r="E241" s="51">
        <f t="shared" si="2"/>
        <v>22906</v>
      </c>
      <c r="F241" s="53">
        <f>IFERROR(SUMIF(contas!G:G, B241, contas!B:B),0)</f>
        <v>0</v>
      </c>
      <c r="G241" s="51">
        <f>SUMIFS(previsoes!D:D, previsoes!E:E, "&lt;=" &amp; EOMONTH(DATEVALUE(B241&amp;"-01"),0), previsoes!F:F, "&gt;=" &amp; DATEVALUE(B241&amp;"-01"))</f>
        <v>0</v>
      </c>
      <c r="H241" s="52">
        <f t="shared" si="5"/>
        <v>160491.8958</v>
      </c>
      <c r="I241" s="49">
        <f t="shared" si="3"/>
        <v>22906</v>
      </c>
      <c r="J241" s="52">
        <f>IF(A241&lt;&gt;"",SUMIFS(metas!N:N, metas!E:E, "&gt;=" &amp; DATEVALUE(B241&amp;"-01"),metas!D:D, "&lt;=" &amp; DATEVALUE(B241&amp;"-01")),"")</f>
        <v>3182.813937</v>
      </c>
      <c r="K241" s="49">
        <f t="shared" si="4"/>
        <v>19723.18606</v>
      </c>
      <c r="L241" s="49">
        <f t="shared" si="6"/>
        <v>4097447.998</v>
      </c>
      <c r="M241" s="49">
        <f>IF(A241&lt;&gt;"",IF(COUNTIF(investimento!F:F, B241) &gt; 0, SUM(investimento!B:B)+I241, M240+I241),"")</f>
        <v>5280098.681</v>
      </c>
    </row>
    <row r="242" ht="22.5" customHeight="1">
      <c r="A242" s="47">
        <v>50291.0</v>
      </c>
      <c r="B242" s="48" t="str">
        <f t="shared" si="1"/>
        <v>2037-09</v>
      </c>
      <c r="C242" s="49">
        <f>SUMIF(despesas_recorrentes!C:C, "&gt;="&amp;A242,despesas_recorrentes!B:B) 
+SUMIF(despesas_recorrentes!C:C, "",despesas_recorrentes!B:B)
-despesas_recorrentes!$B$12
+IF(SUMIF(gasto_cartao!E:E,saldo!B242,gasto_cartao!B:B)&gt;despesas_recorrentes!$B$12, SUMIF(gasto_cartao!E:E,saldo!B242,gasto_cartao!B:B),despesas_recorrentes!$B$12)</f>
        <v>34013</v>
      </c>
      <c r="D242" s="51">
        <f>SUM(receitas_recorrentes!B:B)+SUMIF(receitas_pontuais!E:E,B242,receitas_pontuais!B:B)</f>
        <v>56919</v>
      </c>
      <c r="E242" s="51">
        <f t="shared" si="2"/>
        <v>22906</v>
      </c>
      <c r="F242" s="53">
        <f>IFERROR(SUMIF(contas!G:G, B242, contas!B:B),0)</f>
        <v>0</v>
      </c>
      <c r="G242" s="51">
        <f>SUMIFS(previsoes!D:D, previsoes!E:E, "&lt;=" &amp; EOMONTH(DATEVALUE(B242&amp;"-01"),0), previsoes!F:F, "&gt;=" &amp; DATEVALUE(B242&amp;"-01"))</f>
        <v>0</v>
      </c>
      <c r="H242" s="52">
        <f t="shared" si="5"/>
        <v>160491.8958</v>
      </c>
      <c r="I242" s="49">
        <f t="shared" si="3"/>
        <v>22906</v>
      </c>
      <c r="J242" s="52">
        <f>IF(A242&lt;&gt;"",SUMIFS(metas!N:N, metas!E:E, "&gt;=" &amp; DATEVALUE(B242&amp;"-01"),metas!D:D, "&lt;=" &amp; DATEVALUE(B242&amp;"-01")),"")</f>
        <v>3182.813937</v>
      </c>
      <c r="K242" s="49">
        <f t="shared" si="4"/>
        <v>19723.18606</v>
      </c>
      <c r="L242" s="49">
        <f t="shared" si="6"/>
        <v>4117171.184</v>
      </c>
      <c r="M242" s="49">
        <f>IF(A242&lt;&gt;"",IF(COUNTIF(investimento!F:F, B242) &gt; 0, SUM(investimento!B:B)+I242, M241+I242),"")</f>
        <v>5303004.681</v>
      </c>
    </row>
    <row r="243" ht="22.5" customHeight="1">
      <c r="A243" s="47">
        <v>50292.0</v>
      </c>
      <c r="B243" s="48" t="str">
        <f t="shared" si="1"/>
        <v>2037-09</v>
      </c>
      <c r="C243" s="49">
        <f>SUMIF(despesas_recorrentes!C:C, "&gt;="&amp;A243,despesas_recorrentes!B:B) 
+SUMIF(despesas_recorrentes!C:C, "",despesas_recorrentes!B:B)
-despesas_recorrentes!$B$12
+IF(SUMIF(gasto_cartao!E:E,saldo!B243,gasto_cartao!B:B)&gt;despesas_recorrentes!$B$12, SUMIF(gasto_cartao!E:E,saldo!B243,gasto_cartao!B:B),despesas_recorrentes!$B$12)</f>
        <v>34013</v>
      </c>
      <c r="D243" s="51">
        <f>SUM(receitas_recorrentes!B:B)+SUMIF(receitas_pontuais!E:E,B243,receitas_pontuais!B:B)</f>
        <v>56919</v>
      </c>
      <c r="E243" s="51">
        <f t="shared" si="2"/>
        <v>22906</v>
      </c>
      <c r="F243" s="53">
        <f>IFERROR(SUMIF(contas!G:G, B243, contas!B:B),0)</f>
        <v>0</v>
      </c>
      <c r="G243" s="51">
        <f>SUMIFS(previsoes!D:D, previsoes!E:E, "&lt;=" &amp; EOMONTH(DATEVALUE(B243&amp;"-01"),0), previsoes!F:F, "&gt;=" &amp; DATEVALUE(B243&amp;"-01"))</f>
        <v>0</v>
      </c>
      <c r="H243" s="52">
        <f t="shared" si="5"/>
        <v>160491.8958</v>
      </c>
      <c r="I243" s="49">
        <f t="shared" si="3"/>
        <v>22906</v>
      </c>
      <c r="J243" s="52">
        <f>IF(A243&lt;&gt;"",SUMIFS(metas!N:N, metas!E:E, "&gt;=" &amp; DATEVALUE(B243&amp;"-01"),metas!D:D, "&lt;=" &amp; DATEVALUE(B243&amp;"-01")),"")</f>
        <v>3182.813937</v>
      </c>
      <c r="K243" s="49">
        <f t="shared" si="4"/>
        <v>19723.18606</v>
      </c>
      <c r="L243" s="49">
        <f t="shared" si="6"/>
        <v>4136894.37</v>
      </c>
      <c r="M243" s="49">
        <f>IF(A243&lt;&gt;"",IF(COUNTIF(investimento!F:F, B243) &gt; 0, SUM(investimento!B:B)+I243, M242+I243),"")</f>
        <v>5325910.681</v>
      </c>
    </row>
    <row r="244" ht="22.5" customHeight="1">
      <c r="A244" s="47">
        <v>50293.0</v>
      </c>
      <c r="B244" s="48" t="str">
        <f t="shared" si="1"/>
        <v>2037-09</v>
      </c>
      <c r="C244" s="49">
        <f>SUMIF(despesas_recorrentes!C:C, "&gt;="&amp;A244,despesas_recorrentes!B:B) 
+SUMIF(despesas_recorrentes!C:C, "",despesas_recorrentes!B:B)
-despesas_recorrentes!$B$12
+IF(SUMIF(gasto_cartao!E:E,saldo!B244,gasto_cartao!B:B)&gt;despesas_recorrentes!$B$12, SUMIF(gasto_cartao!E:E,saldo!B244,gasto_cartao!B:B),despesas_recorrentes!$B$12)</f>
        <v>34013</v>
      </c>
      <c r="D244" s="51">
        <f>SUM(receitas_recorrentes!B:B)+SUMIF(receitas_pontuais!E:E,B244,receitas_pontuais!B:B)</f>
        <v>56919</v>
      </c>
      <c r="E244" s="51">
        <f t="shared" si="2"/>
        <v>22906</v>
      </c>
      <c r="F244" s="53">
        <f>IFERROR(SUMIF(contas!G:G, B244, contas!B:B),0)</f>
        <v>0</v>
      </c>
      <c r="G244" s="51">
        <f>SUMIFS(previsoes!D:D, previsoes!E:E, "&lt;=" &amp; EOMONTH(DATEVALUE(B244&amp;"-01"),0), previsoes!F:F, "&gt;=" &amp; DATEVALUE(B244&amp;"-01"))</f>
        <v>0</v>
      </c>
      <c r="H244" s="52">
        <f t="shared" si="5"/>
        <v>160491.8958</v>
      </c>
      <c r="I244" s="49">
        <f t="shared" si="3"/>
        <v>22906</v>
      </c>
      <c r="J244" s="52">
        <f>IF(A244&lt;&gt;"",SUMIFS(metas!N:N, metas!E:E, "&gt;=" &amp; DATEVALUE(B244&amp;"-01"),metas!D:D, "&lt;=" &amp; DATEVALUE(B244&amp;"-01")),"")</f>
        <v>3182.813937</v>
      </c>
      <c r="K244" s="49">
        <f t="shared" si="4"/>
        <v>19723.18606</v>
      </c>
      <c r="L244" s="49">
        <f t="shared" si="6"/>
        <v>4156617.556</v>
      </c>
      <c r="M244" s="49">
        <f>IF(A244&lt;&gt;"",IF(COUNTIF(investimento!F:F, B244) &gt; 0, SUM(investimento!B:B)+I244, M243+I244),"")</f>
        <v>5348816.681</v>
      </c>
    </row>
    <row r="245" ht="22.5" customHeight="1">
      <c r="A245" s="47">
        <v>50294.0</v>
      </c>
      <c r="B245" s="48" t="str">
        <f t="shared" si="1"/>
        <v>2037-09</v>
      </c>
      <c r="C245" s="49">
        <f>SUMIF(despesas_recorrentes!C:C, "&gt;="&amp;A245,despesas_recorrentes!B:B) 
+SUMIF(despesas_recorrentes!C:C, "",despesas_recorrentes!B:B)
-despesas_recorrentes!$B$12
+IF(SUMIF(gasto_cartao!E:E,saldo!B245,gasto_cartao!B:B)&gt;despesas_recorrentes!$B$12, SUMIF(gasto_cartao!E:E,saldo!B245,gasto_cartao!B:B),despesas_recorrentes!$B$12)</f>
        <v>34013</v>
      </c>
      <c r="D245" s="51">
        <f>SUM(receitas_recorrentes!B:B)+SUMIF(receitas_pontuais!E:E,B245,receitas_pontuais!B:B)</f>
        <v>56919</v>
      </c>
      <c r="E245" s="51">
        <f t="shared" si="2"/>
        <v>22906</v>
      </c>
      <c r="F245" s="53">
        <f>IFERROR(SUMIF(contas!G:G, B245, contas!B:B),0)</f>
        <v>0</v>
      </c>
      <c r="G245" s="51">
        <f>SUMIFS(previsoes!D:D, previsoes!E:E, "&lt;=" &amp; EOMONTH(DATEVALUE(B245&amp;"-01"),0), previsoes!F:F, "&gt;=" &amp; DATEVALUE(B245&amp;"-01"))</f>
        <v>0</v>
      </c>
      <c r="H245" s="52">
        <f t="shared" si="5"/>
        <v>160491.8958</v>
      </c>
      <c r="I245" s="49">
        <f t="shared" si="3"/>
        <v>22906</v>
      </c>
      <c r="J245" s="52">
        <f>IF(A245&lt;&gt;"",SUMIFS(metas!N:N, metas!E:E, "&gt;=" &amp; DATEVALUE(B245&amp;"-01"),metas!D:D, "&lt;=" &amp; DATEVALUE(B245&amp;"-01")),"")</f>
        <v>3182.813937</v>
      </c>
      <c r="K245" s="49">
        <f t="shared" si="4"/>
        <v>19723.18606</v>
      </c>
      <c r="L245" s="49">
        <f t="shared" si="6"/>
        <v>4176340.742</v>
      </c>
      <c r="M245" s="49">
        <f>IF(A245&lt;&gt;"",IF(COUNTIF(investimento!F:F, B245) &gt; 0, SUM(investimento!B:B)+I245, M244+I245),"")</f>
        <v>5371722.681</v>
      </c>
    </row>
    <row r="246" ht="22.5" customHeight="1">
      <c r="A246" s="47">
        <v>50295.0</v>
      </c>
      <c r="B246" s="48" t="str">
        <f t="shared" si="1"/>
        <v>2037-09</v>
      </c>
      <c r="C246" s="49">
        <f>SUMIF(despesas_recorrentes!C:C, "&gt;="&amp;A246,despesas_recorrentes!B:B) 
+SUMIF(despesas_recorrentes!C:C, "",despesas_recorrentes!B:B)
-despesas_recorrentes!$B$12
+IF(SUMIF(gasto_cartao!E:E,saldo!B246,gasto_cartao!B:B)&gt;despesas_recorrentes!$B$12, SUMIF(gasto_cartao!E:E,saldo!B246,gasto_cartao!B:B),despesas_recorrentes!$B$12)</f>
        <v>34013</v>
      </c>
      <c r="D246" s="51">
        <f>SUM(receitas_recorrentes!B:B)+SUMIF(receitas_pontuais!E:E,B246,receitas_pontuais!B:B)</f>
        <v>56919</v>
      </c>
      <c r="E246" s="51">
        <f t="shared" si="2"/>
        <v>22906</v>
      </c>
      <c r="F246" s="53">
        <f>IFERROR(SUMIF(contas!G:G, B246, contas!B:B),0)</f>
        <v>0</v>
      </c>
      <c r="G246" s="51">
        <f>SUMIFS(previsoes!D:D, previsoes!E:E, "&lt;=" &amp; EOMONTH(DATEVALUE(B246&amp;"-01"),0), previsoes!F:F, "&gt;=" &amp; DATEVALUE(B246&amp;"-01"))</f>
        <v>0</v>
      </c>
      <c r="H246" s="52">
        <f t="shared" si="5"/>
        <v>160491.8958</v>
      </c>
      <c r="I246" s="49">
        <f t="shared" si="3"/>
        <v>22906</v>
      </c>
      <c r="J246" s="52">
        <f>IF(A246&lt;&gt;"",SUMIFS(metas!N:N, metas!E:E, "&gt;=" &amp; DATEVALUE(B246&amp;"-01"),metas!D:D, "&lt;=" &amp; DATEVALUE(B246&amp;"-01")),"")</f>
        <v>3182.813937</v>
      </c>
      <c r="K246" s="49">
        <f t="shared" si="4"/>
        <v>19723.18606</v>
      </c>
      <c r="L246" s="49">
        <f t="shared" si="6"/>
        <v>4196063.928</v>
      </c>
      <c r="M246" s="49">
        <f>IF(A246&lt;&gt;"",IF(COUNTIF(investimento!F:F, B246) &gt; 0, SUM(investimento!B:B)+I246, M245+I246),"")</f>
        <v>5394628.681</v>
      </c>
    </row>
    <row r="247" ht="22.5" customHeight="1">
      <c r="A247" s="47">
        <v>50296.0</v>
      </c>
      <c r="B247" s="48" t="str">
        <f t="shared" si="1"/>
        <v>2037-09</v>
      </c>
      <c r="C247" s="49">
        <f>SUMIF(despesas_recorrentes!C:C, "&gt;="&amp;A247,despesas_recorrentes!B:B) 
+SUMIF(despesas_recorrentes!C:C, "",despesas_recorrentes!B:B)
-despesas_recorrentes!$B$12
+IF(SUMIF(gasto_cartao!E:E,saldo!B247,gasto_cartao!B:B)&gt;despesas_recorrentes!$B$12, SUMIF(gasto_cartao!E:E,saldo!B247,gasto_cartao!B:B),despesas_recorrentes!$B$12)</f>
        <v>34013</v>
      </c>
      <c r="D247" s="51">
        <f>SUM(receitas_recorrentes!B:B)+SUMIF(receitas_pontuais!E:E,B247,receitas_pontuais!B:B)</f>
        <v>56919</v>
      </c>
      <c r="E247" s="51">
        <f t="shared" si="2"/>
        <v>22906</v>
      </c>
      <c r="F247" s="53">
        <f>IFERROR(SUMIF(contas!G:G, B247, contas!B:B),0)</f>
        <v>0</v>
      </c>
      <c r="G247" s="51">
        <f>SUMIFS(previsoes!D:D, previsoes!E:E, "&lt;=" &amp; EOMONTH(DATEVALUE(B247&amp;"-01"),0), previsoes!F:F, "&gt;=" &amp; DATEVALUE(B247&amp;"-01"))</f>
        <v>0</v>
      </c>
      <c r="H247" s="52">
        <f t="shared" si="5"/>
        <v>160491.8958</v>
      </c>
      <c r="I247" s="49">
        <f t="shared" si="3"/>
        <v>22906</v>
      </c>
      <c r="J247" s="52">
        <f>IF(A247&lt;&gt;"",SUMIFS(metas!N:N, metas!E:E, "&gt;=" &amp; DATEVALUE(B247&amp;"-01"),metas!D:D, "&lt;=" &amp; DATEVALUE(B247&amp;"-01")),"")</f>
        <v>3182.813937</v>
      </c>
      <c r="K247" s="49">
        <f t="shared" si="4"/>
        <v>19723.18606</v>
      </c>
      <c r="L247" s="49">
        <f t="shared" si="6"/>
        <v>4215787.114</v>
      </c>
      <c r="M247" s="49">
        <f>IF(A247&lt;&gt;"",IF(COUNTIF(investimento!F:F, B247) &gt; 0, SUM(investimento!B:B)+I247, M246+I247),"")</f>
        <v>5417534.681</v>
      </c>
    </row>
    <row r="248" ht="22.5" customHeight="1">
      <c r="A248" s="47">
        <v>50297.0</v>
      </c>
      <c r="B248" s="48" t="str">
        <f t="shared" si="1"/>
        <v>2037-09</v>
      </c>
      <c r="C248" s="49">
        <f>SUMIF(despesas_recorrentes!C:C, "&gt;="&amp;A248,despesas_recorrentes!B:B) 
+SUMIF(despesas_recorrentes!C:C, "",despesas_recorrentes!B:B)
-despesas_recorrentes!$B$12
+IF(SUMIF(gasto_cartao!E:E,saldo!B248,gasto_cartao!B:B)&gt;despesas_recorrentes!$B$12, SUMIF(gasto_cartao!E:E,saldo!B248,gasto_cartao!B:B),despesas_recorrentes!$B$12)</f>
        <v>34013</v>
      </c>
      <c r="D248" s="51">
        <f>SUM(receitas_recorrentes!B:B)+SUMIF(receitas_pontuais!E:E,B248,receitas_pontuais!B:B)</f>
        <v>56919</v>
      </c>
      <c r="E248" s="51">
        <f t="shared" si="2"/>
        <v>22906</v>
      </c>
      <c r="F248" s="53">
        <f>IFERROR(SUMIF(contas!G:G, B248, contas!B:B),0)</f>
        <v>0</v>
      </c>
      <c r="G248" s="51">
        <f>SUMIFS(previsoes!D:D, previsoes!E:E, "&lt;=" &amp; EOMONTH(DATEVALUE(B248&amp;"-01"),0), previsoes!F:F, "&gt;=" &amp; DATEVALUE(B248&amp;"-01"))</f>
        <v>0</v>
      </c>
      <c r="H248" s="52">
        <f t="shared" si="5"/>
        <v>160491.8958</v>
      </c>
      <c r="I248" s="49">
        <f t="shared" si="3"/>
        <v>22906</v>
      </c>
      <c r="J248" s="52">
        <f>IF(A248&lt;&gt;"",SUMIFS(metas!N:N, metas!E:E, "&gt;=" &amp; DATEVALUE(B248&amp;"-01"),metas!D:D, "&lt;=" &amp; DATEVALUE(B248&amp;"-01")),"")</f>
        <v>3182.813937</v>
      </c>
      <c r="K248" s="49">
        <f t="shared" si="4"/>
        <v>19723.18606</v>
      </c>
      <c r="L248" s="49">
        <f t="shared" si="6"/>
        <v>4235510.3</v>
      </c>
      <c r="M248" s="49">
        <f>IF(A248&lt;&gt;"",IF(COUNTIF(investimento!F:F, B248) &gt; 0, SUM(investimento!B:B)+I248, M247+I248),"")</f>
        <v>5440440.681</v>
      </c>
    </row>
    <row r="249" ht="22.5" customHeight="1">
      <c r="A249" s="47">
        <v>50298.0</v>
      </c>
      <c r="B249" s="48" t="str">
        <f t="shared" si="1"/>
        <v>2037-09</v>
      </c>
      <c r="C249" s="49">
        <f>SUMIF(despesas_recorrentes!C:C, "&gt;="&amp;A249,despesas_recorrentes!B:B) 
+SUMIF(despesas_recorrentes!C:C, "",despesas_recorrentes!B:B)
-despesas_recorrentes!$B$12
+IF(SUMIF(gasto_cartao!E:E,saldo!B249,gasto_cartao!B:B)&gt;despesas_recorrentes!$B$12, SUMIF(gasto_cartao!E:E,saldo!B249,gasto_cartao!B:B),despesas_recorrentes!$B$12)</f>
        <v>34013</v>
      </c>
      <c r="D249" s="51">
        <f>SUM(receitas_recorrentes!B:B)+SUMIF(receitas_pontuais!E:E,B249,receitas_pontuais!B:B)</f>
        <v>56919</v>
      </c>
      <c r="E249" s="51">
        <f t="shared" si="2"/>
        <v>22906</v>
      </c>
      <c r="F249" s="53">
        <f>IFERROR(SUMIF(contas!G:G, B249, contas!B:B),0)</f>
        <v>0</v>
      </c>
      <c r="G249" s="51">
        <f>SUMIFS(previsoes!D:D, previsoes!E:E, "&lt;=" &amp; EOMONTH(DATEVALUE(B249&amp;"-01"),0), previsoes!F:F, "&gt;=" &amp; DATEVALUE(B249&amp;"-01"))</f>
        <v>0</v>
      </c>
      <c r="H249" s="52">
        <f t="shared" si="5"/>
        <v>160491.8958</v>
      </c>
      <c r="I249" s="49">
        <f t="shared" si="3"/>
        <v>22906</v>
      </c>
      <c r="J249" s="52">
        <f>IF(A249&lt;&gt;"",SUMIFS(metas!N:N, metas!E:E, "&gt;=" &amp; DATEVALUE(B249&amp;"-01"),metas!D:D, "&lt;=" &amp; DATEVALUE(B249&amp;"-01")),"")</f>
        <v>3182.813937</v>
      </c>
      <c r="K249" s="49">
        <f t="shared" si="4"/>
        <v>19723.18606</v>
      </c>
      <c r="L249" s="49">
        <f t="shared" si="6"/>
        <v>4255233.486</v>
      </c>
      <c r="M249" s="49">
        <f>IF(A249&lt;&gt;"",IF(COUNTIF(investimento!F:F, B249) &gt; 0, SUM(investimento!B:B)+I249, M248+I249),"")</f>
        <v>5463346.681</v>
      </c>
    </row>
    <row r="250" ht="22.5" customHeight="1">
      <c r="A250" s="47">
        <v>50299.0</v>
      </c>
      <c r="B250" s="48" t="str">
        <f t="shared" si="1"/>
        <v>2037-09</v>
      </c>
      <c r="C250" s="49">
        <f>SUMIF(despesas_recorrentes!C:C, "&gt;="&amp;A250,despesas_recorrentes!B:B) 
+SUMIF(despesas_recorrentes!C:C, "",despesas_recorrentes!B:B)
-despesas_recorrentes!$B$12
+IF(SUMIF(gasto_cartao!E:E,saldo!B250,gasto_cartao!B:B)&gt;despesas_recorrentes!$B$12, SUMIF(gasto_cartao!E:E,saldo!B250,gasto_cartao!B:B),despesas_recorrentes!$B$12)</f>
        <v>34013</v>
      </c>
      <c r="D250" s="51">
        <f>SUM(receitas_recorrentes!B:B)+SUMIF(receitas_pontuais!E:E,B250,receitas_pontuais!B:B)</f>
        <v>56919</v>
      </c>
      <c r="E250" s="51">
        <f t="shared" si="2"/>
        <v>22906</v>
      </c>
      <c r="F250" s="53">
        <f>IFERROR(SUMIF(contas!G:G, B250, contas!B:B),0)</f>
        <v>0</v>
      </c>
      <c r="G250" s="51">
        <f>SUMIFS(previsoes!D:D, previsoes!E:E, "&lt;=" &amp; EOMONTH(DATEVALUE(B250&amp;"-01"),0), previsoes!F:F, "&gt;=" &amp; DATEVALUE(B250&amp;"-01"))</f>
        <v>0</v>
      </c>
      <c r="H250" s="52">
        <f t="shared" si="5"/>
        <v>160491.8958</v>
      </c>
      <c r="I250" s="49">
        <f t="shared" si="3"/>
        <v>22906</v>
      </c>
      <c r="J250" s="52">
        <f>IF(A250&lt;&gt;"",SUMIFS(metas!N:N, metas!E:E, "&gt;=" &amp; DATEVALUE(B250&amp;"-01"),metas!D:D, "&lt;=" &amp; DATEVALUE(B250&amp;"-01")),"")</f>
        <v>3182.813937</v>
      </c>
      <c r="K250" s="49">
        <f t="shared" si="4"/>
        <v>19723.18606</v>
      </c>
      <c r="L250" s="49">
        <f t="shared" si="6"/>
        <v>4274956.672</v>
      </c>
      <c r="M250" s="49">
        <f>IF(A250&lt;&gt;"",IF(COUNTIF(investimento!F:F, B250) &gt; 0, SUM(investimento!B:B)+I250, M249+I250),"")</f>
        <v>5486252.681</v>
      </c>
    </row>
    <row r="251" ht="22.5" customHeight="1">
      <c r="A251" s="47">
        <v>50300.0</v>
      </c>
      <c r="B251" s="48" t="str">
        <f t="shared" si="1"/>
        <v>2037-09</v>
      </c>
      <c r="C251" s="49">
        <f>SUMIF(despesas_recorrentes!C:C, "&gt;="&amp;A251,despesas_recorrentes!B:B) 
+SUMIF(despesas_recorrentes!C:C, "",despesas_recorrentes!B:B)
-despesas_recorrentes!$B$12
+IF(SUMIF(gasto_cartao!E:E,saldo!B251,gasto_cartao!B:B)&gt;despesas_recorrentes!$B$12, SUMIF(gasto_cartao!E:E,saldo!B251,gasto_cartao!B:B),despesas_recorrentes!$B$12)</f>
        <v>34013</v>
      </c>
      <c r="D251" s="51">
        <f>SUM(receitas_recorrentes!B:B)+SUMIF(receitas_pontuais!E:E,B251,receitas_pontuais!B:B)</f>
        <v>56919</v>
      </c>
      <c r="E251" s="51">
        <f t="shared" si="2"/>
        <v>22906</v>
      </c>
      <c r="F251" s="53">
        <f>IFERROR(SUMIF(contas!G:G, B251, contas!B:B),0)</f>
        <v>0</v>
      </c>
      <c r="G251" s="51">
        <f>SUMIFS(previsoes!D:D, previsoes!E:E, "&lt;=" &amp; EOMONTH(DATEVALUE(B251&amp;"-01"),0), previsoes!F:F, "&gt;=" &amp; DATEVALUE(B251&amp;"-01"))</f>
        <v>0</v>
      </c>
      <c r="H251" s="52">
        <f t="shared" si="5"/>
        <v>160491.8958</v>
      </c>
      <c r="I251" s="49">
        <f t="shared" si="3"/>
        <v>22906</v>
      </c>
      <c r="J251" s="52">
        <f>IF(A251&lt;&gt;"",SUMIFS(metas!N:N, metas!E:E, "&gt;=" &amp; DATEVALUE(B251&amp;"-01"),metas!D:D, "&lt;=" &amp; DATEVALUE(B251&amp;"-01")),"")</f>
        <v>3182.813937</v>
      </c>
      <c r="K251" s="49">
        <f t="shared" si="4"/>
        <v>19723.18606</v>
      </c>
      <c r="L251" s="49">
        <f t="shared" si="6"/>
        <v>4294679.858</v>
      </c>
      <c r="M251" s="49">
        <f>IF(A251&lt;&gt;"",IF(COUNTIF(investimento!F:F, B251) &gt; 0, SUM(investimento!B:B)+I251, M250+I251),"")</f>
        <v>5509158.681</v>
      </c>
    </row>
    <row r="252" ht="22.5" customHeight="1">
      <c r="A252" s="47">
        <v>50301.0</v>
      </c>
      <c r="B252" s="48" t="str">
        <f t="shared" si="1"/>
        <v>2037-09</v>
      </c>
      <c r="C252" s="49">
        <f>SUMIF(despesas_recorrentes!C:C, "&gt;="&amp;A252,despesas_recorrentes!B:B) 
+SUMIF(despesas_recorrentes!C:C, "",despesas_recorrentes!B:B)
-despesas_recorrentes!$B$12
+IF(SUMIF(gasto_cartao!E:E,saldo!B252,gasto_cartao!B:B)&gt;despesas_recorrentes!$B$12, SUMIF(gasto_cartao!E:E,saldo!B252,gasto_cartao!B:B),despesas_recorrentes!$B$12)</f>
        <v>34013</v>
      </c>
      <c r="D252" s="51">
        <f>SUM(receitas_recorrentes!B:B)+SUMIF(receitas_pontuais!E:E,B252,receitas_pontuais!B:B)</f>
        <v>56919</v>
      </c>
      <c r="E252" s="51">
        <f t="shared" si="2"/>
        <v>22906</v>
      </c>
      <c r="F252" s="53">
        <f>IFERROR(SUMIF(contas!G:G, B252, contas!B:B),0)</f>
        <v>0</v>
      </c>
      <c r="G252" s="51">
        <f>SUMIFS(previsoes!D:D, previsoes!E:E, "&lt;=" &amp; EOMONTH(DATEVALUE(B252&amp;"-01"),0), previsoes!F:F, "&gt;=" &amp; DATEVALUE(B252&amp;"-01"))</f>
        <v>0</v>
      </c>
      <c r="H252" s="52">
        <f t="shared" si="5"/>
        <v>160491.8958</v>
      </c>
      <c r="I252" s="49">
        <f t="shared" si="3"/>
        <v>22906</v>
      </c>
      <c r="J252" s="52">
        <f>IF(A252&lt;&gt;"",SUMIFS(metas!N:N, metas!E:E, "&gt;=" &amp; DATEVALUE(B252&amp;"-01"),metas!D:D, "&lt;=" &amp; DATEVALUE(B252&amp;"-01")),"")</f>
        <v>3182.813937</v>
      </c>
      <c r="K252" s="49">
        <f t="shared" si="4"/>
        <v>19723.18606</v>
      </c>
      <c r="L252" s="49">
        <f t="shared" si="6"/>
        <v>4314403.044</v>
      </c>
      <c r="M252" s="49">
        <f>IF(A252&lt;&gt;"",IF(COUNTIF(investimento!F:F, B252) &gt; 0, SUM(investimento!B:B)+I252, M251+I252),"")</f>
        <v>5532064.681</v>
      </c>
    </row>
    <row r="253" ht="22.5" customHeight="1">
      <c r="A253" s="47">
        <v>50302.0</v>
      </c>
      <c r="B253" s="48" t="str">
        <f t="shared" si="1"/>
        <v>2037-09</v>
      </c>
      <c r="C253" s="49">
        <f>SUMIF(despesas_recorrentes!C:C, "&gt;="&amp;A253,despesas_recorrentes!B:B) 
+SUMIF(despesas_recorrentes!C:C, "",despesas_recorrentes!B:B)
-despesas_recorrentes!$B$12
+IF(SUMIF(gasto_cartao!E:E,saldo!B253,gasto_cartao!B:B)&gt;despesas_recorrentes!$B$12, SUMIF(gasto_cartao!E:E,saldo!B253,gasto_cartao!B:B),despesas_recorrentes!$B$12)</f>
        <v>34013</v>
      </c>
      <c r="D253" s="51">
        <f>SUM(receitas_recorrentes!B:B)+SUMIF(receitas_pontuais!E:E,B253,receitas_pontuais!B:B)</f>
        <v>56919</v>
      </c>
      <c r="E253" s="51">
        <f t="shared" si="2"/>
        <v>22906</v>
      </c>
      <c r="F253" s="53">
        <f>IFERROR(SUMIF(contas!G:G, B253, contas!B:B),0)</f>
        <v>0</v>
      </c>
      <c r="G253" s="51">
        <f>SUMIFS(previsoes!D:D, previsoes!E:E, "&lt;=" &amp; EOMONTH(DATEVALUE(B253&amp;"-01"),0), previsoes!F:F, "&gt;=" &amp; DATEVALUE(B253&amp;"-01"))</f>
        <v>0</v>
      </c>
      <c r="H253" s="52">
        <f t="shared" si="5"/>
        <v>160491.8958</v>
      </c>
      <c r="I253" s="49">
        <f t="shared" si="3"/>
        <v>22906</v>
      </c>
      <c r="J253" s="52">
        <f>IF(A253&lt;&gt;"",SUMIFS(metas!N:N, metas!E:E, "&gt;=" &amp; DATEVALUE(B253&amp;"-01"),metas!D:D, "&lt;=" &amp; DATEVALUE(B253&amp;"-01")),"")</f>
        <v>3182.813937</v>
      </c>
      <c r="K253" s="49">
        <f t="shared" si="4"/>
        <v>19723.18606</v>
      </c>
      <c r="L253" s="49">
        <f t="shared" si="6"/>
        <v>4334126.23</v>
      </c>
      <c r="M253" s="49">
        <f>IF(A253&lt;&gt;"",IF(COUNTIF(investimento!F:F, B253) &gt; 0, SUM(investimento!B:B)+I253, M252+I253),"")</f>
        <v>5554970.681</v>
      </c>
    </row>
    <row r="254" ht="22.5" customHeight="1">
      <c r="A254" s="47">
        <v>50303.0</v>
      </c>
      <c r="B254" s="48" t="str">
        <f t="shared" si="1"/>
        <v>2037-09</v>
      </c>
      <c r="C254" s="49">
        <f>SUMIF(despesas_recorrentes!C:C, "&gt;="&amp;A254,despesas_recorrentes!B:B) 
+SUMIF(despesas_recorrentes!C:C, "",despesas_recorrentes!B:B)
-despesas_recorrentes!$B$12
+IF(SUMIF(gasto_cartao!E:E,saldo!B254,gasto_cartao!B:B)&gt;despesas_recorrentes!$B$12, SUMIF(gasto_cartao!E:E,saldo!B254,gasto_cartao!B:B),despesas_recorrentes!$B$12)</f>
        <v>34013</v>
      </c>
      <c r="D254" s="51">
        <f>SUM(receitas_recorrentes!B:B)+SUMIF(receitas_pontuais!E:E,B254,receitas_pontuais!B:B)</f>
        <v>56919</v>
      </c>
      <c r="E254" s="51">
        <f t="shared" si="2"/>
        <v>22906</v>
      </c>
      <c r="F254" s="53">
        <f>IFERROR(SUMIF(contas!G:G, B254, contas!B:B),0)</f>
        <v>0</v>
      </c>
      <c r="G254" s="51">
        <f>SUMIFS(previsoes!D:D, previsoes!E:E, "&lt;=" &amp; EOMONTH(DATEVALUE(B254&amp;"-01"),0), previsoes!F:F, "&gt;=" &amp; DATEVALUE(B254&amp;"-01"))</f>
        <v>0</v>
      </c>
      <c r="H254" s="52">
        <f t="shared" si="5"/>
        <v>160491.8958</v>
      </c>
      <c r="I254" s="49">
        <f t="shared" si="3"/>
        <v>22906</v>
      </c>
      <c r="J254" s="52">
        <f>IF(A254&lt;&gt;"",SUMIFS(metas!N:N, metas!E:E, "&gt;=" &amp; DATEVALUE(B254&amp;"-01"),metas!D:D, "&lt;=" &amp; DATEVALUE(B254&amp;"-01")),"")</f>
        <v>3182.813937</v>
      </c>
      <c r="K254" s="49">
        <f t="shared" si="4"/>
        <v>19723.18606</v>
      </c>
      <c r="L254" s="49">
        <f t="shared" si="6"/>
        <v>4353849.416</v>
      </c>
      <c r="M254" s="49">
        <f>IF(A254&lt;&gt;"",IF(COUNTIF(investimento!F:F, B254) &gt; 0, SUM(investimento!B:B)+I254, M253+I254),"")</f>
        <v>5577876.681</v>
      </c>
    </row>
    <row r="255" ht="22.5" customHeight="1">
      <c r="A255" s="47">
        <v>50304.0</v>
      </c>
      <c r="B255" s="48" t="str">
        <f t="shared" si="1"/>
        <v>2037-09</v>
      </c>
      <c r="C255" s="49">
        <f>SUMIF(despesas_recorrentes!C:C, "&gt;="&amp;A255,despesas_recorrentes!B:B) 
+SUMIF(despesas_recorrentes!C:C, "",despesas_recorrentes!B:B)
-despesas_recorrentes!$B$12
+IF(SUMIF(gasto_cartao!E:E,saldo!B255,gasto_cartao!B:B)&gt;despesas_recorrentes!$B$12, SUMIF(gasto_cartao!E:E,saldo!B255,gasto_cartao!B:B),despesas_recorrentes!$B$12)</f>
        <v>34013</v>
      </c>
      <c r="D255" s="51">
        <f>SUM(receitas_recorrentes!B:B)+SUMIF(receitas_pontuais!E:E,B255,receitas_pontuais!B:B)</f>
        <v>56919</v>
      </c>
      <c r="E255" s="51">
        <f t="shared" si="2"/>
        <v>22906</v>
      </c>
      <c r="F255" s="53">
        <f>IFERROR(SUMIF(contas!G:G, B255, contas!B:B),0)</f>
        <v>0</v>
      </c>
      <c r="G255" s="51">
        <f>SUMIFS(previsoes!D:D, previsoes!E:E, "&lt;=" &amp; EOMONTH(DATEVALUE(B255&amp;"-01"),0), previsoes!F:F, "&gt;=" &amp; DATEVALUE(B255&amp;"-01"))</f>
        <v>0</v>
      </c>
      <c r="H255" s="52">
        <f t="shared" si="5"/>
        <v>160491.8958</v>
      </c>
      <c r="I255" s="49">
        <f t="shared" si="3"/>
        <v>22906</v>
      </c>
      <c r="J255" s="52">
        <f>IF(A255&lt;&gt;"",SUMIFS(metas!N:N, metas!E:E, "&gt;=" &amp; DATEVALUE(B255&amp;"-01"),metas!D:D, "&lt;=" &amp; DATEVALUE(B255&amp;"-01")),"")</f>
        <v>3182.813937</v>
      </c>
      <c r="K255" s="49">
        <f t="shared" si="4"/>
        <v>19723.18606</v>
      </c>
      <c r="L255" s="49">
        <f t="shared" si="6"/>
        <v>4373572.602</v>
      </c>
      <c r="M255" s="49">
        <f>IF(A255&lt;&gt;"",IF(COUNTIF(investimento!F:F, B255) &gt; 0, SUM(investimento!B:B)+I255, M254+I255),"")</f>
        <v>5600782.681</v>
      </c>
    </row>
    <row r="256" ht="22.5" customHeight="1">
      <c r="A256" s="47">
        <v>50305.0</v>
      </c>
      <c r="B256" s="48" t="str">
        <f t="shared" si="1"/>
        <v>2037-09</v>
      </c>
      <c r="C256" s="49">
        <f>SUMIF(despesas_recorrentes!C:C, "&gt;="&amp;A256,despesas_recorrentes!B:B) 
+SUMIF(despesas_recorrentes!C:C, "",despesas_recorrentes!B:B)
-despesas_recorrentes!$B$12
+IF(SUMIF(gasto_cartao!E:E,saldo!B256,gasto_cartao!B:B)&gt;despesas_recorrentes!$B$12, SUMIF(gasto_cartao!E:E,saldo!B256,gasto_cartao!B:B),despesas_recorrentes!$B$12)</f>
        <v>34013</v>
      </c>
      <c r="D256" s="51">
        <f>SUM(receitas_recorrentes!B:B)+SUMIF(receitas_pontuais!E:E,B256,receitas_pontuais!B:B)</f>
        <v>56919</v>
      </c>
      <c r="E256" s="51">
        <f t="shared" si="2"/>
        <v>22906</v>
      </c>
      <c r="F256" s="53">
        <f>IFERROR(SUMIF(contas!G:G, B256, contas!B:B),0)</f>
        <v>0</v>
      </c>
      <c r="G256" s="51">
        <f>SUMIFS(previsoes!D:D, previsoes!E:E, "&lt;=" &amp; EOMONTH(DATEVALUE(B256&amp;"-01"),0), previsoes!F:F, "&gt;=" &amp; DATEVALUE(B256&amp;"-01"))</f>
        <v>0</v>
      </c>
      <c r="H256" s="52">
        <f t="shared" si="5"/>
        <v>160491.8958</v>
      </c>
      <c r="I256" s="49">
        <f t="shared" si="3"/>
        <v>22906</v>
      </c>
      <c r="J256" s="52">
        <f>IF(A256&lt;&gt;"",SUMIFS(metas!N:N, metas!E:E, "&gt;=" &amp; DATEVALUE(B256&amp;"-01"),metas!D:D, "&lt;=" &amp; DATEVALUE(B256&amp;"-01")),"")</f>
        <v>3182.813937</v>
      </c>
      <c r="K256" s="49">
        <f t="shared" si="4"/>
        <v>19723.18606</v>
      </c>
      <c r="L256" s="49">
        <f t="shared" si="6"/>
        <v>4393295.789</v>
      </c>
      <c r="M256" s="49">
        <f>IF(A256&lt;&gt;"",IF(COUNTIF(investimento!F:F, B256) &gt; 0, SUM(investimento!B:B)+I256, M255+I256),"")</f>
        <v>5623688.681</v>
      </c>
    </row>
    <row r="257" ht="22.5" customHeight="1">
      <c r="A257" s="47">
        <v>50306.0</v>
      </c>
      <c r="B257" s="48" t="str">
        <f t="shared" si="1"/>
        <v>2037-09</v>
      </c>
      <c r="C257" s="49">
        <f>SUMIF(despesas_recorrentes!C:C, "&gt;="&amp;A257,despesas_recorrentes!B:B) 
+SUMIF(despesas_recorrentes!C:C, "",despesas_recorrentes!B:B)
-despesas_recorrentes!$B$12
+IF(SUMIF(gasto_cartao!E:E,saldo!B257,gasto_cartao!B:B)&gt;despesas_recorrentes!$B$12, SUMIF(gasto_cartao!E:E,saldo!B257,gasto_cartao!B:B),despesas_recorrentes!$B$12)</f>
        <v>34013</v>
      </c>
      <c r="D257" s="51">
        <f>SUM(receitas_recorrentes!B:B)+SUMIF(receitas_pontuais!E:E,B257,receitas_pontuais!B:B)</f>
        <v>56919</v>
      </c>
      <c r="E257" s="51">
        <f t="shared" si="2"/>
        <v>22906</v>
      </c>
      <c r="F257" s="53">
        <f>IFERROR(SUMIF(contas!G:G, B257, contas!B:B),0)</f>
        <v>0</v>
      </c>
      <c r="G257" s="51">
        <f>SUMIFS(previsoes!D:D, previsoes!E:E, "&lt;=" &amp; EOMONTH(DATEVALUE(B257&amp;"-01"),0), previsoes!F:F, "&gt;=" &amp; DATEVALUE(B257&amp;"-01"))</f>
        <v>0</v>
      </c>
      <c r="H257" s="52">
        <f t="shared" si="5"/>
        <v>160491.8958</v>
      </c>
      <c r="I257" s="49">
        <f t="shared" si="3"/>
        <v>22906</v>
      </c>
      <c r="J257" s="52">
        <f>IF(A257&lt;&gt;"",SUMIFS(metas!N:N, metas!E:E, "&gt;=" &amp; DATEVALUE(B257&amp;"-01"),metas!D:D, "&lt;=" &amp; DATEVALUE(B257&amp;"-01")),"")</f>
        <v>3182.813937</v>
      </c>
      <c r="K257" s="49">
        <f t="shared" si="4"/>
        <v>19723.18606</v>
      </c>
      <c r="L257" s="49">
        <f t="shared" si="6"/>
        <v>4413018.975</v>
      </c>
      <c r="M257" s="49">
        <f>IF(A257&lt;&gt;"",IF(COUNTIF(investimento!F:F, B257) &gt; 0, SUM(investimento!B:B)+I257, M256+I257),"")</f>
        <v>5646594.681</v>
      </c>
    </row>
    <row r="258" ht="22.5" customHeight="1">
      <c r="A258" s="47">
        <v>50307.0</v>
      </c>
      <c r="B258" s="48" t="str">
        <f t="shared" si="1"/>
        <v>2037-09</v>
      </c>
      <c r="C258" s="49">
        <f>SUMIF(despesas_recorrentes!C:C, "&gt;="&amp;A258,despesas_recorrentes!B:B) 
+SUMIF(despesas_recorrentes!C:C, "",despesas_recorrentes!B:B)
-despesas_recorrentes!$B$12
+IF(SUMIF(gasto_cartao!E:E,saldo!B258,gasto_cartao!B:B)&gt;despesas_recorrentes!$B$12, SUMIF(gasto_cartao!E:E,saldo!B258,gasto_cartao!B:B),despesas_recorrentes!$B$12)</f>
        <v>34013</v>
      </c>
      <c r="D258" s="51">
        <f>SUM(receitas_recorrentes!B:B)+SUMIF(receitas_pontuais!E:E,B258,receitas_pontuais!B:B)</f>
        <v>56919</v>
      </c>
      <c r="E258" s="51">
        <f t="shared" si="2"/>
        <v>22906</v>
      </c>
      <c r="F258" s="53">
        <f>IFERROR(SUMIF(contas!G:G, B258, contas!B:B),0)</f>
        <v>0</v>
      </c>
      <c r="G258" s="51">
        <f>SUMIFS(previsoes!D:D, previsoes!E:E, "&lt;=" &amp; EOMONTH(DATEVALUE(B258&amp;"-01"),0), previsoes!F:F, "&gt;=" &amp; DATEVALUE(B258&amp;"-01"))</f>
        <v>0</v>
      </c>
      <c r="H258" s="52">
        <f t="shared" si="5"/>
        <v>160491.8958</v>
      </c>
      <c r="I258" s="49">
        <f t="shared" si="3"/>
        <v>22906</v>
      </c>
      <c r="J258" s="52">
        <f>IF(A258&lt;&gt;"",SUMIFS(metas!N:N, metas!E:E, "&gt;=" &amp; DATEVALUE(B258&amp;"-01"),metas!D:D, "&lt;=" &amp; DATEVALUE(B258&amp;"-01")),"")</f>
        <v>3182.813937</v>
      </c>
      <c r="K258" s="49">
        <f t="shared" si="4"/>
        <v>19723.18606</v>
      </c>
      <c r="L258" s="49">
        <f t="shared" si="6"/>
        <v>4432742.161</v>
      </c>
      <c r="M258" s="49">
        <f>IF(A258&lt;&gt;"",IF(COUNTIF(investimento!F:F, B258) &gt; 0, SUM(investimento!B:B)+I258, M257+I258),"")</f>
        <v>5669500.681</v>
      </c>
    </row>
    <row r="259" ht="22.5" customHeight="1">
      <c r="A259" s="47">
        <v>50308.0</v>
      </c>
      <c r="B259" s="48" t="str">
        <f t="shared" si="1"/>
        <v>2037-09</v>
      </c>
      <c r="C259" s="49">
        <f>SUMIF(despesas_recorrentes!C:C, "&gt;="&amp;A259,despesas_recorrentes!B:B) 
+SUMIF(despesas_recorrentes!C:C, "",despesas_recorrentes!B:B)
-despesas_recorrentes!$B$12
+IF(SUMIF(gasto_cartao!E:E,saldo!B259,gasto_cartao!B:B)&gt;despesas_recorrentes!$B$12, SUMIF(gasto_cartao!E:E,saldo!B259,gasto_cartao!B:B),despesas_recorrentes!$B$12)</f>
        <v>34013</v>
      </c>
      <c r="D259" s="51">
        <f>SUM(receitas_recorrentes!B:B)+SUMIF(receitas_pontuais!E:E,B259,receitas_pontuais!B:B)</f>
        <v>56919</v>
      </c>
      <c r="E259" s="51">
        <f t="shared" si="2"/>
        <v>22906</v>
      </c>
      <c r="F259" s="53">
        <f>IFERROR(SUMIF(contas!G:G, B259, contas!B:B),0)</f>
        <v>0</v>
      </c>
      <c r="G259" s="51">
        <f>SUMIFS(previsoes!D:D, previsoes!E:E, "&lt;=" &amp; EOMONTH(DATEVALUE(B259&amp;"-01"),0), previsoes!F:F, "&gt;=" &amp; DATEVALUE(B259&amp;"-01"))</f>
        <v>0</v>
      </c>
      <c r="H259" s="52">
        <f t="shared" si="5"/>
        <v>160491.8958</v>
      </c>
      <c r="I259" s="49">
        <f t="shared" si="3"/>
        <v>22906</v>
      </c>
      <c r="J259" s="52">
        <f>IF(A259&lt;&gt;"",SUMIFS(metas!N:N, metas!E:E, "&gt;=" &amp; DATEVALUE(B259&amp;"-01"),metas!D:D, "&lt;=" &amp; DATEVALUE(B259&amp;"-01")),"")</f>
        <v>3182.813937</v>
      </c>
      <c r="K259" s="49">
        <f t="shared" si="4"/>
        <v>19723.18606</v>
      </c>
      <c r="L259" s="49">
        <f t="shared" si="6"/>
        <v>4452465.347</v>
      </c>
      <c r="M259" s="49">
        <f>IF(A259&lt;&gt;"",IF(COUNTIF(investimento!F:F, B259) &gt; 0, SUM(investimento!B:B)+I259, M258+I259),"")</f>
        <v>5692406.681</v>
      </c>
    </row>
    <row r="260" ht="22.5" customHeight="1">
      <c r="A260" s="47">
        <v>50309.0</v>
      </c>
      <c r="B260" s="48" t="str">
        <f t="shared" si="1"/>
        <v>2037-09</v>
      </c>
      <c r="C260" s="49">
        <f>SUMIF(despesas_recorrentes!C:C, "&gt;="&amp;A260,despesas_recorrentes!B:B) 
+SUMIF(despesas_recorrentes!C:C, "",despesas_recorrentes!B:B)
-despesas_recorrentes!$B$12
+IF(SUMIF(gasto_cartao!E:E,saldo!B260,gasto_cartao!B:B)&gt;despesas_recorrentes!$B$12, SUMIF(gasto_cartao!E:E,saldo!B260,gasto_cartao!B:B),despesas_recorrentes!$B$12)</f>
        <v>34013</v>
      </c>
      <c r="D260" s="51">
        <f>SUM(receitas_recorrentes!B:B)+SUMIF(receitas_pontuais!E:E,B260,receitas_pontuais!B:B)</f>
        <v>56919</v>
      </c>
      <c r="E260" s="51">
        <f t="shared" si="2"/>
        <v>22906</v>
      </c>
      <c r="F260" s="53">
        <f>IFERROR(SUMIF(contas!G:G, B260, contas!B:B),0)</f>
        <v>0</v>
      </c>
      <c r="G260" s="51">
        <f>SUMIFS(previsoes!D:D, previsoes!E:E, "&lt;=" &amp; EOMONTH(DATEVALUE(B260&amp;"-01"),0), previsoes!F:F, "&gt;=" &amp; DATEVALUE(B260&amp;"-01"))</f>
        <v>0</v>
      </c>
      <c r="H260" s="52">
        <f t="shared" si="5"/>
        <v>160491.8958</v>
      </c>
      <c r="I260" s="49">
        <f t="shared" si="3"/>
        <v>22906</v>
      </c>
      <c r="J260" s="52">
        <f>IF(A260&lt;&gt;"",SUMIFS(metas!N:N, metas!E:E, "&gt;=" &amp; DATEVALUE(B260&amp;"-01"),metas!D:D, "&lt;=" &amp; DATEVALUE(B260&amp;"-01")),"")</f>
        <v>3182.813937</v>
      </c>
      <c r="K260" s="49">
        <f t="shared" si="4"/>
        <v>19723.18606</v>
      </c>
      <c r="L260" s="49">
        <f t="shared" si="6"/>
        <v>4472188.533</v>
      </c>
      <c r="M260" s="49">
        <f>IF(A260&lt;&gt;"",IF(COUNTIF(investimento!F:F, B260) &gt; 0, SUM(investimento!B:B)+I260, M259+I260),"")</f>
        <v>5715312.681</v>
      </c>
    </row>
    <row r="261" ht="22.5" customHeight="1">
      <c r="A261" s="47">
        <v>50310.0</v>
      </c>
      <c r="B261" s="48" t="str">
        <f t="shared" si="1"/>
        <v>2037-09</v>
      </c>
      <c r="C261" s="49">
        <f>SUMIF(despesas_recorrentes!C:C, "&gt;="&amp;A261,despesas_recorrentes!B:B) 
+SUMIF(despesas_recorrentes!C:C, "",despesas_recorrentes!B:B)
-despesas_recorrentes!$B$12
+IF(SUMIF(gasto_cartao!E:E,saldo!B261,gasto_cartao!B:B)&gt;despesas_recorrentes!$B$12, SUMIF(gasto_cartao!E:E,saldo!B261,gasto_cartao!B:B),despesas_recorrentes!$B$12)</f>
        <v>34013</v>
      </c>
      <c r="D261" s="51">
        <f>SUM(receitas_recorrentes!B:B)+SUMIF(receitas_pontuais!E:E,B261,receitas_pontuais!B:B)</f>
        <v>56919</v>
      </c>
      <c r="E261" s="51">
        <f t="shared" si="2"/>
        <v>22906</v>
      </c>
      <c r="F261" s="53">
        <f>IFERROR(SUMIF(contas!G:G, B261, contas!B:B),0)</f>
        <v>0</v>
      </c>
      <c r="G261" s="51">
        <f>SUMIFS(previsoes!D:D, previsoes!E:E, "&lt;=" &amp; EOMONTH(DATEVALUE(B261&amp;"-01"),0), previsoes!F:F, "&gt;=" &amp; DATEVALUE(B261&amp;"-01"))</f>
        <v>0</v>
      </c>
      <c r="H261" s="52">
        <f t="shared" si="5"/>
        <v>160491.8958</v>
      </c>
      <c r="I261" s="49">
        <f t="shared" si="3"/>
        <v>22906</v>
      </c>
      <c r="J261" s="52">
        <f>IF(A261&lt;&gt;"",SUMIFS(metas!N:N, metas!E:E, "&gt;=" &amp; DATEVALUE(B261&amp;"-01"),metas!D:D, "&lt;=" &amp; DATEVALUE(B261&amp;"-01")),"")</f>
        <v>3182.813937</v>
      </c>
      <c r="K261" s="49">
        <f t="shared" si="4"/>
        <v>19723.18606</v>
      </c>
      <c r="L261" s="49">
        <f t="shared" si="6"/>
        <v>4491911.719</v>
      </c>
      <c r="M261" s="49">
        <f>IF(A261&lt;&gt;"",IF(COUNTIF(investimento!F:F, B261) &gt; 0, SUM(investimento!B:B)+I261, M260+I261),"")</f>
        <v>5738218.681</v>
      </c>
    </row>
    <row r="262" ht="22.5" customHeight="1">
      <c r="A262" s="47">
        <v>50311.0</v>
      </c>
      <c r="B262" s="48" t="str">
        <f t="shared" si="1"/>
        <v>2037-09</v>
      </c>
      <c r="C262" s="49">
        <f>SUMIF(despesas_recorrentes!C:C, "&gt;="&amp;A262,despesas_recorrentes!B:B) 
+SUMIF(despesas_recorrentes!C:C, "",despesas_recorrentes!B:B)
-despesas_recorrentes!$B$12
+IF(SUMIF(gasto_cartao!E:E,saldo!B262,gasto_cartao!B:B)&gt;despesas_recorrentes!$B$12, SUMIF(gasto_cartao!E:E,saldo!B262,gasto_cartao!B:B),despesas_recorrentes!$B$12)</f>
        <v>34013</v>
      </c>
      <c r="D262" s="51">
        <f>SUM(receitas_recorrentes!B:B)+SUMIF(receitas_pontuais!E:E,B262,receitas_pontuais!B:B)</f>
        <v>56919</v>
      </c>
      <c r="E262" s="51">
        <f t="shared" si="2"/>
        <v>22906</v>
      </c>
      <c r="F262" s="53">
        <f>IFERROR(SUMIF(contas!G:G, B262, contas!B:B),0)</f>
        <v>0</v>
      </c>
      <c r="G262" s="51">
        <f>SUMIFS(previsoes!D:D, previsoes!E:E, "&lt;=" &amp; EOMONTH(DATEVALUE(B262&amp;"-01"),0), previsoes!F:F, "&gt;=" &amp; DATEVALUE(B262&amp;"-01"))</f>
        <v>0</v>
      </c>
      <c r="H262" s="52">
        <f t="shared" si="5"/>
        <v>160491.8958</v>
      </c>
      <c r="I262" s="49">
        <f t="shared" si="3"/>
        <v>22906</v>
      </c>
      <c r="J262" s="52">
        <f>IF(A262&lt;&gt;"",SUMIFS(metas!N:N, metas!E:E, "&gt;=" &amp; DATEVALUE(B262&amp;"-01"),metas!D:D, "&lt;=" &amp; DATEVALUE(B262&amp;"-01")),"")</f>
        <v>3182.813937</v>
      </c>
      <c r="K262" s="49">
        <f t="shared" si="4"/>
        <v>19723.18606</v>
      </c>
      <c r="L262" s="49">
        <f t="shared" si="6"/>
        <v>4511634.905</v>
      </c>
      <c r="M262" s="49">
        <f>IF(A262&lt;&gt;"",IF(COUNTIF(investimento!F:F, B262) &gt; 0, SUM(investimento!B:B)+I262, M261+I262),"")</f>
        <v>5761124.681</v>
      </c>
    </row>
    <row r="263" ht="22.5" customHeight="1">
      <c r="A263" s="47">
        <v>50312.0</v>
      </c>
      <c r="B263" s="48" t="str">
        <f t="shared" si="1"/>
        <v>2037-09</v>
      </c>
      <c r="C263" s="49">
        <f>SUMIF(despesas_recorrentes!C:C, "&gt;="&amp;A263,despesas_recorrentes!B:B) 
+SUMIF(despesas_recorrentes!C:C, "",despesas_recorrentes!B:B)
-despesas_recorrentes!$B$12
+IF(SUMIF(gasto_cartao!E:E,saldo!B263,gasto_cartao!B:B)&gt;despesas_recorrentes!$B$12, SUMIF(gasto_cartao!E:E,saldo!B263,gasto_cartao!B:B),despesas_recorrentes!$B$12)</f>
        <v>34013</v>
      </c>
      <c r="D263" s="51">
        <f>SUM(receitas_recorrentes!B:B)+SUMIF(receitas_pontuais!E:E,B263,receitas_pontuais!B:B)</f>
        <v>56919</v>
      </c>
      <c r="E263" s="51">
        <f t="shared" si="2"/>
        <v>22906</v>
      </c>
      <c r="F263" s="53">
        <f>IFERROR(SUMIF(contas!G:G, B263, contas!B:B),0)</f>
        <v>0</v>
      </c>
      <c r="G263" s="51">
        <f>SUMIFS(previsoes!D:D, previsoes!E:E, "&lt;=" &amp; EOMONTH(DATEVALUE(B263&amp;"-01"),0), previsoes!F:F, "&gt;=" &amp; DATEVALUE(B263&amp;"-01"))</f>
        <v>0</v>
      </c>
      <c r="H263" s="52">
        <f t="shared" si="5"/>
        <v>160491.8958</v>
      </c>
      <c r="I263" s="49">
        <f t="shared" si="3"/>
        <v>22906</v>
      </c>
      <c r="J263" s="52">
        <f>IF(A263&lt;&gt;"",SUMIFS(metas!N:N, metas!E:E, "&gt;=" &amp; DATEVALUE(B263&amp;"-01"),metas!D:D, "&lt;=" &amp; DATEVALUE(B263&amp;"-01")),"")</f>
        <v>3182.813937</v>
      </c>
      <c r="K263" s="49">
        <f t="shared" si="4"/>
        <v>19723.18606</v>
      </c>
      <c r="L263" s="49">
        <f t="shared" si="6"/>
        <v>4531358.091</v>
      </c>
      <c r="M263" s="49">
        <f>IF(A263&lt;&gt;"",IF(COUNTIF(investimento!F:F, B263) &gt; 0, SUM(investimento!B:B)+I263, M262+I263),"")</f>
        <v>5784030.681</v>
      </c>
    </row>
    <row r="264" ht="22.5" customHeight="1">
      <c r="A264" s="47">
        <v>50313.0</v>
      </c>
      <c r="B264" s="48" t="str">
        <f t="shared" si="1"/>
        <v>2037-09</v>
      </c>
      <c r="C264" s="49">
        <f>SUMIF(despesas_recorrentes!C:C, "&gt;="&amp;A264,despesas_recorrentes!B:B) 
+SUMIF(despesas_recorrentes!C:C, "",despesas_recorrentes!B:B)
-despesas_recorrentes!$B$12
+IF(SUMIF(gasto_cartao!E:E,saldo!B264,gasto_cartao!B:B)&gt;despesas_recorrentes!$B$12, SUMIF(gasto_cartao!E:E,saldo!B264,gasto_cartao!B:B),despesas_recorrentes!$B$12)</f>
        <v>34013</v>
      </c>
      <c r="D264" s="51">
        <f>SUM(receitas_recorrentes!B:B)+SUMIF(receitas_pontuais!E:E,B264,receitas_pontuais!B:B)</f>
        <v>56919</v>
      </c>
      <c r="E264" s="51">
        <f t="shared" si="2"/>
        <v>22906</v>
      </c>
      <c r="F264" s="53">
        <f>IFERROR(SUMIF(contas!G:G, B264, contas!B:B),0)</f>
        <v>0</v>
      </c>
      <c r="G264" s="51">
        <f>SUMIFS(previsoes!D:D, previsoes!E:E, "&lt;=" &amp; EOMONTH(DATEVALUE(B264&amp;"-01"),0), previsoes!F:F, "&gt;=" &amp; DATEVALUE(B264&amp;"-01"))</f>
        <v>0</v>
      </c>
      <c r="H264" s="52">
        <f t="shared" si="5"/>
        <v>160491.8958</v>
      </c>
      <c r="I264" s="49">
        <f t="shared" si="3"/>
        <v>22906</v>
      </c>
      <c r="J264" s="52">
        <f>IF(A264&lt;&gt;"",SUMIFS(metas!N:N, metas!E:E, "&gt;=" &amp; DATEVALUE(B264&amp;"-01"),metas!D:D, "&lt;=" &amp; DATEVALUE(B264&amp;"-01")),"")</f>
        <v>3182.813937</v>
      </c>
      <c r="K264" s="49">
        <f t="shared" si="4"/>
        <v>19723.18606</v>
      </c>
      <c r="L264" s="49">
        <f t="shared" si="6"/>
        <v>4551081.277</v>
      </c>
      <c r="M264" s="49">
        <f>IF(A264&lt;&gt;"",IF(COUNTIF(investimento!F:F, B264) &gt; 0, SUM(investimento!B:B)+I264, M263+I264),"")</f>
        <v>5806936.681</v>
      </c>
    </row>
    <row r="265" ht="22.5" customHeight="1">
      <c r="A265" s="47">
        <v>50314.0</v>
      </c>
      <c r="B265" s="48" t="str">
        <f t="shared" si="1"/>
        <v>2037-10</v>
      </c>
      <c r="C265" s="49">
        <f>SUMIF(despesas_recorrentes!C:C, "&gt;="&amp;A265,despesas_recorrentes!B:B) 
+SUMIF(despesas_recorrentes!C:C, "",despesas_recorrentes!B:B)
-despesas_recorrentes!$B$12
+IF(SUMIF(gasto_cartao!E:E,saldo!B265,gasto_cartao!B:B)&gt;despesas_recorrentes!$B$12, SUMIF(gasto_cartao!E:E,saldo!B265,gasto_cartao!B:B),despesas_recorrentes!$B$12)</f>
        <v>34013</v>
      </c>
      <c r="D265" s="51">
        <f>SUM(receitas_recorrentes!B:B)+SUMIF(receitas_pontuais!E:E,B265,receitas_pontuais!B:B)</f>
        <v>56919</v>
      </c>
      <c r="E265" s="51">
        <f t="shared" si="2"/>
        <v>22906</v>
      </c>
      <c r="F265" s="53">
        <f>IFERROR(SUMIF(contas!G:G, B265, contas!B:B),0)</f>
        <v>0</v>
      </c>
      <c r="G265" s="51">
        <f>SUMIFS(previsoes!D:D, previsoes!E:E, "&lt;=" &amp; EOMONTH(DATEVALUE(B265&amp;"-01"),0), previsoes!F:F, "&gt;=" &amp; DATEVALUE(B265&amp;"-01"))</f>
        <v>0</v>
      </c>
      <c r="H265" s="52">
        <f t="shared" si="5"/>
        <v>160491.8958</v>
      </c>
      <c r="I265" s="49">
        <f t="shared" si="3"/>
        <v>22906</v>
      </c>
      <c r="J265" s="52">
        <f>IF(A265&lt;&gt;"",SUMIFS(metas!N:N, metas!E:E, "&gt;=" &amp; DATEVALUE(B265&amp;"-01"),metas!D:D, "&lt;=" &amp; DATEVALUE(B265&amp;"-01")),"")</f>
        <v>3182.813937</v>
      </c>
      <c r="K265" s="49">
        <f t="shared" si="4"/>
        <v>19723.18606</v>
      </c>
      <c r="L265" s="49">
        <f t="shared" si="6"/>
        <v>4570804.463</v>
      </c>
      <c r="M265" s="49">
        <f>IF(A265&lt;&gt;"",IF(COUNTIF(investimento!F:F, B265) &gt; 0, SUM(investimento!B:B)+I265, M264+I265),"")</f>
        <v>5829842.681</v>
      </c>
    </row>
    <row r="266" ht="22.5" customHeight="1">
      <c r="A266" s="47">
        <v>50315.0</v>
      </c>
      <c r="B266" s="48" t="str">
        <f t="shared" si="1"/>
        <v>2037-10</v>
      </c>
      <c r="C266" s="49">
        <f>SUMIF(despesas_recorrentes!C:C, "&gt;="&amp;A266,despesas_recorrentes!B:B) 
+SUMIF(despesas_recorrentes!C:C, "",despesas_recorrentes!B:B)
-despesas_recorrentes!$B$12
+IF(SUMIF(gasto_cartao!E:E,saldo!B266,gasto_cartao!B:B)&gt;despesas_recorrentes!$B$12, SUMIF(gasto_cartao!E:E,saldo!B266,gasto_cartao!B:B),despesas_recorrentes!$B$12)</f>
        <v>34013</v>
      </c>
      <c r="D266" s="51">
        <f>SUM(receitas_recorrentes!B:B)+SUMIF(receitas_pontuais!E:E,B266,receitas_pontuais!B:B)</f>
        <v>56919</v>
      </c>
      <c r="E266" s="51">
        <f t="shared" si="2"/>
        <v>22906</v>
      </c>
      <c r="F266" s="53">
        <f>IFERROR(SUMIF(contas!G:G, B266, contas!B:B),0)</f>
        <v>0</v>
      </c>
      <c r="G266" s="51">
        <f>SUMIFS(previsoes!D:D, previsoes!E:E, "&lt;=" &amp; EOMONTH(DATEVALUE(B266&amp;"-01"),0), previsoes!F:F, "&gt;=" &amp; DATEVALUE(B266&amp;"-01"))</f>
        <v>0</v>
      </c>
      <c r="H266" s="52">
        <f t="shared" si="5"/>
        <v>160491.8958</v>
      </c>
      <c r="I266" s="49">
        <f t="shared" si="3"/>
        <v>22906</v>
      </c>
      <c r="J266" s="52">
        <f>IF(A266&lt;&gt;"",SUMIFS(metas!N:N, metas!E:E, "&gt;=" &amp; DATEVALUE(B266&amp;"-01"),metas!D:D, "&lt;=" &amp; DATEVALUE(B266&amp;"-01")),"")</f>
        <v>3182.813937</v>
      </c>
      <c r="K266" s="49">
        <f t="shared" si="4"/>
        <v>19723.18606</v>
      </c>
      <c r="L266" s="49">
        <f t="shared" si="6"/>
        <v>4590527.649</v>
      </c>
      <c r="M266" s="49">
        <f>IF(A266&lt;&gt;"",IF(COUNTIF(investimento!F:F, B266) &gt; 0, SUM(investimento!B:B)+I266, M265+I266),"")</f>
        <v>5852748.681</v>
      </c>
    </row>
    <row r="267" ht="22.5" customHeight="1">
      <c r="A267" s="47">
        <v>50316.0</v>
      </c>
      <c r="B267" s="48" t="str">
        <f t="shared" si="1"/>
        <v>2037-10</v>
      </c>
      <c r="C267" s="49">
        <f>SUMIF(despesas_recorrentes!C:C, "&gt;="&amp;A267,despesas_recorrentes!B:B) 
+SUMIF(despesas_recorrentes!C:C, "",despesas_recorrentes!B:B)
-despesas_recorrentes!$B$12
+IF(SUMIF(gasto_cartao!E:E,saldo!B267,gasto_cartao!B:B)&gt;despesas_recorrentes!$B$12, SUMIF(gasto_cartao!E:E,saldo!B267,gasto_cartao!B:B),despesas_recorrentes!$B$12)</f>
        <v>34013</v>
      </c>
      <c r="D267" s="51">
        <f>SUM(receitas_recorrentes!B:B)+SUMIF(receitas_pontuais!E:E,B267,receitas_pontuais!B:B)</f>
        <v>56919</v>
      </c>
      <c r="E267" s="51">
        <f t="shared" si="2"/>
        <v>22906</v>
      </c>
      <c r="F267" s="53">
        <f>IFERROR(SUMIF(contas!G:G, B267, contas!B:B),0)</f>
        <v>0</v>
      </c>
      <c r="G267" s="51">
        <f>SUMIFS(previsoes!D:D, previsoes!E:E, "&lt;=" &amp; EOMONTH(DATEVALUE(B267&amp;"-01"),0), previsoes!F:F, "&gt;=" &amp; DATEVALUE(B267&amp;"-01"))</f>
        <v>0</v>
      </c>
      <c r="H267" s="52">
        <f t="shared" si="5"/>
        <v>160491.8958</v>
      </c>
      <c r="I267" s="49">
        <f t="shared" si="3"/>
        <v>22906</v>
      </c>
      <c r="J267" s="52">
        <f>IF(A267&lt;&gt;"",SUMIFS(metas!N:N, metas!E:E, "&gt;=" &amp; DATEVALUE(B267&amp;"-01"),metas!D:D, "&lt;=" &amp; DATEVALUE(B267&amp;"-01")),"")</f>
        <v>3182.813937</v>
      </c>
      <c r="K267" s="49">
        <f t="shared" si="4"/>
        <v>19723.18606</v>
      </c>
      <c r="L267" s="49">
        <f t="shared" si="6"/>
        <v>4610250.835</v>
      </c>
      <c r="M267" s="49">
        <f>IF(A267&lt;&gt;"",IF(COUNTIF(investimento!F:F, B267) &gt; 0, SUM(investimento!B:B)+I267, M266+I267),"")</f>
        <v>5875654.681</v>
      </c>
    </row>
    <row r="268" ht="22.5" customHeight="1">
      <c r="A268" s="47">
        <v>50317.0</v>
      </c>
      <c r="B268" s="48" t="str">
        <f t="shared" si="1"/>
        <v>2037-10</v>
      </c>
      <c r="C268" s="49">
        <f>SUMIF(despesas_recorrentes!C:C, "&gt;="&amp;A268,despesas_recorrentes!B:B) 
+SUMIF(despesas_recorrentes!C:C, "",despesas_recorrentes!B:B)
-despesas_recorrentes!$B$12
+IF(SUMIF(gasto_cartao!E:E,saldo!B268,gasto_cartao!B:B)&gt;despesas_recorrentes!$B$12, SUMIF(gasto_cartao!E:E,saldo!B268,gasto_cartao!B:B),despesas_recorrentes!$B$12)</f>
        <v>34013</v>
      </c>
      <c r="D268" s="51">
        <f>SUM(receitas_recorrentes!B:B)+SUMIF(receitas_pontuais!E:E,B268,receitas_pontuais!B:B)</f>
        <v>56919</v>
      </c>
      <c r="E268" s="51">
        <f t="shared" si="2"/>
        <v>22906</v>
      </c>
      <c r="F268" s="53">
        <f>IFERROR(SUMIF(contas!G:G, B268, contas!B:B),0)</f>
        <v>0</v>
      </c>
      <c r="G268" s="51">
        <f>SUMIFS(previsoes!D:D, previsoes!E:E, "&lt;=" &amp; EOMONTH(DATEVALUE(B268&amp;"-01"),0), previsoes!F:F, "&gt;=" &amp; DATEVALUE(B268&amp;"-01"))</f>
        <v>0</v>
      </c>
      <c r="H268" s="52">
        <f t="shared" si="5"/>
        <v>160491.8958</v>
      </c>
      <c r="I268" s="49">
        <f t="shared" si="3"/>
        <v>22906</v>
      </c>
      <c r="J268" s="52">
        <f>IF(A268&lt;&gt;"",SUMIFS(metas!N:N, metas!E:E, "&gt;=" &amp; DATEVALUE(B268&amp;"-01"),metas!D:D, "&lt;=" &amp; DATEVALUE(B268&amp;"-01")),"")</f>
        <v>3182.813937</v>
      </c>
      <c r="K268" s="49">
        <f t="shared" si="4"/>
        <v>19723.18606</v>
      </c>
      <c r="L268" s="49">
        <f t="shared" si="6"/>
        <v>4629974.021</v>
      </c>
      <c r="M268" s="49">
        <f>IF(A268&lt;&gt;"",IF(COUNTIF(investimento!F:F, B268) &gt; 0, SUM(investimento!B:B)+I268, M267+I268),"")</f>
        <v>5898560.681</v>
      </c>
    </row>
    <row r="269" ht="22.5" customHeight="1">
      <c r="A269" s="47">
        <v>50318.0</v>
      </c>
      <c r="B269" s="48" t="str">
        <f t="shared" si="1"/>
        <v>2037-10</v>
      </c>
      <c r="C269" s="49">
        <f>SUMIF(despesas_recorrentes!C:C, "&gt;="&amp;A269,despesas_recorrentes!B:B) 
+SUMIF(despesas_recorrentes!C:C, "",despesas_recorrentes!B:B)
-despesas_recorrentes!$B$12
+IF(SUMIF(gasto_cartao!E:E,saldo!B269,gasto_cartao!B:B)&gt;despesas_recorrentes!$B$12, SUMIF(gasto_cartao!E:E,saldo!B269,gasto_cartao!B:B),despesas_recorrentes!$B$12)</f>
        <v>34013</v>
      </c>
      <c r="D269" s="51">
        <f>SUM(receitas_recorrentes!B:B)+SUMIF(receitas_pontuais!E:E,B269,receitas_pontuais!B:B)</f>
        <v>56919</v>
      </c>
      <c r="E269" s="51">
        <f t="shared" si="2"/>
        <v>22906</v>
      </c>
      <c r="F269" s="53">
        <f>IFERROR(SUMIF(contas!G:G, B269, contas!B:B),0)</f>
        <v>0</v>
      </c>
      <c r="G269" s="51">
        <f>SUMIFS(previsoes!D:D, previsoes!E:E, "&lt;=" &amp; EOMONTH(DATEVALUE(B269&amp;"-01"),0), previsoes!F:F, "&gt;=" &amp; DATEVALUE(B269&amp;"-01"))</f>
        <v>0</v>
      </c>
      <c r="H269" s="52">
        <f t="shared" si="5"/>
        <v>160491.8958</v>
      </c>
      <c r="I269" s="49">
        <f t="shared" si="3"/>
        <v>22906</v>
      </c>
      <c r="J269" s="52">
        <f>IF(A269&lt;&gt;"",SUMIFS(metas!N:N, metas!E:E, "&gt;=" &amp; DATEVALUE(B269&amp;"-01"),metas!D:D, "&lt;=" &amp; DATEVALUE(B269&amp;"-01")),"")</f>
        <v>3182.813937</v>
      </c>
      <c r="K269" s="49">
        <f t="shared" si="4"/>
        <v>19723.18606</v>
      </c>
      <c r="L269" s="49">
        <f t="shared" si="6"/>
        <v>4649697.207</v>
      </c>
      <c r="M269" s="49">
        <f>IF(A269&lt;&gt;"",IF(COUNTIF(investimento!F:F, B269) &gt; 0, SUM(investimento!B:B)+I269, M268+I269),"")</f>
        <v>5921466.681</v>
      </c>
    </row>
    <row r="270" ht="22.5" customHeight="1">
      <c r="A270" s="47">
        <v>50319.0</v>
      </c>
      <c r="B270" s="48" t="str">
        <f t="shared" si="1"/>
        <v>2037-10</v>
      </c>
      <c r="C270" s="49">
        <f>SUMIF(despesas_recorrentes!C:C, "&gt;="&amp;A270,despesas_recorrentes!B:B) 
+SUMIF(despesas_recorrentes!C:C, "",despesas_recorrentes!B:B)
-despesas_recorrentes!$B$12
+IF(SUMIF(gasto_cartao!E:E,saldo!B270,gasto_cartao!B:B)&gt;despesas_recorrentes!$B$12, SUMIF(gasto_cartao!E:E,saldo!B270,gasto_cartao!B:B),despesas_recorrentes!$B$12)</f>
        <v>34013</v>
      </c>
      <c r="D270" s="51">
        <f>SUM(receitas_recorrentes!B:B)+SUMIF(receitas_pontuais!E:E,B270,receitas_pontuais!B:B)</f>
        <v>56919</v>
      </c>
      <c r="E270" s="51">
        <f t="shared" si="2"/>
        <v>22906</v>
      </c>
      <c r="F270" s="53">
        <f>IFERROR(SUMIF(contas!G:G, B270, contas!B:B),0)</f>
        <v>0</v>
      </c>
      <c r="G270" s="51">
        <f>SUMIFS(previsoes!D:D, previsoes!E:E, "&lt;=" &amp; EOMONTH(DATEVALUE(B270&amp;"-01"),0), previsoes!F:F, "&gt;=" &amp; DATEVALUE(B270&amp;"-01"))</f>
        <v>0</v>
      </c>
      <c r="H270" s="52">
        <f t="shared" si="5"/>
        <v>160491.8958</v>
      </c>
      <c r="I270" s="49">
        <f t="shared" si="3"/>
        <v>22906</v>
      </c>
      <c r="J270" s="52">
        <f>IF(A270&lt;&gt;"",SUMIFS(metas!N:N, metas!E:E, "&gt;=" &amp; DATEVALUE(B270&amp;"-01"),metas!D:D, "&lt;=" &amp; DATEVALUE(B270&amp;"-01")),"")</f>
        <v>3182.813937</v>
      </c>
      <c r="K270" s="49">
        <f t="shared" si="4"/>
        <v>19723.18606</v>
      </c>
      <c r="L270" s="49">
        <f t="shared" si="6"/>
        <v>4669420.393</v>
      </c>
      <c r="M270" s="49">
        <f>IF(A270&lt;&gt;"",IF(COUNTIF(investimento!F:F, B270) &gt; 0, SUM(investimento!B:B)+I270, M269+I270),"")</f>
        <v>5944372.681</v>
      </c>
    </row>
    <row r="271" ht="22.5" customHeight="1">
      <c r="A271" s="47">
        <v>50320.0</v>
      </c>
      <c r="B271" s="48" t="str">
        <f t="shared" si="1"/>
        <v>2037-10</v>
      </c>
      <c r="C271" s="49">
        <f>SUMIF(despesas_recorrentes!C:C, "&gt;="&amp;A271,despesas_recorrentes!B:B) 
+SUMIF(despesas_recorrentes!C:C, "",despesas_recorrentes!B:B)
-despesas_recorrentes!$B$12
+IF(SUMIF(gasto_cartao!E:E,saldo!B271,gasto_cartao!B:B)&gt;despesas_recorrentes!$B$12, SUMIF(gasto_cartao!E:E,saldo!B271,gasto_cartao!B:B),despesas_recorrentes!$B$12)</f>
        <v>34013</v>
      </c>
      <c r="D271" s="51">
        <f>SUM(receitas_recorrentes!B:B)+SUMIF(receitas_pontuais!E:E,B271,receitas_pontuais!B:B)</f>
        <v>56919</v>
      </c>
      <c r="E271" s="51">
        <f t="shared" si="2"/>
        <v>22906</v>
      </c>
      <c r="F271" s="53">
        <f>IFERROR(SUMIF(contas!G:G, B271, contas!B:B),0)</f>
        <v>0</v>
      </c>
      <c r="G271" s="51">
        <f>SUMIFS(previsoes!D:D, previsoes!E:E, "&lt;=" &amp; EOMONTH(DATEVALUE(B271&amp;"-01"),0), previsoes!F:F, "&gt;=" &amp; DATEVALUE(B271&amp;"-01"))</f>
        <v>0</v>
      </c>
      <c r="H271" s="52">
        <f t="shared" si="5"/>
        <v>160491.8958</v>
      </c>
      <c r="I271" s="49">
        <f t="shared" si="3"/>
        <v>22906</v>
      </c>
      <c r="J271" s="52">
        <f>IF(A271&lt;&gt;"",SUMIFS(metas!N:N, metas!E:E, "&gt;=" &amp; DATEVALUE(B271&amp;"-01"),metas!D:D, "&lt;=" &amp; DATEVALUE(B271&amp;"-01")),"")</f>
        <v>3182.813937</v>
      </c>
      <c r="K271" s="49">
        <f t="shared" si="4"/>
        <v>19723.18606</v>
      </c>
      <c r="L271" s="49">
        <f t="shared" si="6"/>
        <v>4689143.579</v>
      </c>
      <c r="M271" s="49">
        <f>IF(A271&lt;&gt;"",IF(COUNTIF(investimento!F:F, B271) &gt; 0, SUM(investimento!B:B)+I271, M270+I271),"")</f>
        <v>5967278.681</v>
      </c>
    </row>
    <row r="272" ht="22.5" customHeight="1">
      <c r="A272" s="47">
        <v>50321.0</v>
      </c>
      <c r="B272" s="48" t="str">
        <f t="shared" si="1"/>
        <v>2037-10</v>
      </c>
      <c r="C272" s="49">
        <f>SUMIF(despesas_recorrentes!C:C, "&gt;="&amp;A272,despesas_recorrentes!B:B) 
+SUMIF(despesas_recorrentes!C:C, "",despesas_recorrentes!B:B)
-despesas_recorrentes!$B$12
+IF(SUMIF(gasto_cartao!E:E,saldo!B272,gasto_cartao!B:B)&gt;despesas_recorrentes!$B$12, SUMIF(gasto_cartao!E:E,saldo!B272,gasto_cartao!B:B),despesas_recorrentes!$B$12)</f>
        <v>34013</v>
      </c>
      <c r="D272" s="51">
        <f>SUM(receitas_recorrentes!B:B)+SUMIF(receitas_pontuais!E:E,B272,receitas_pontuais!B:B)</f>
        <v>56919</v>
      </c>
      <c r="E272" s="51">
        <f t="shared" si="2"/>
        <v>22906</v>
      </c>
      <c r="F272" s="53">
        <f>IFERROR(SUMIF(contas!G:G, B272, contas!B:B),0)</f>
        <v>0</v>
      </c>
      <c r="G272" s="51">
        <f>SUMIFS(previsoes!D:D, previsoes!E:E, "&lt;=" &amp; EOMONTH(DATEVALUE(B272&amp;"-01"),0), previsoes!F:F, "&gt;=" &amp; DATEVALUE(B272&amp;"-01"))</f>
        <v>0</v>
      </c>
      <c r="H272" s="52">
        <f t="shared" si="5"/>
        <v>160491.8958</v>
      </c>
      <c r="I272" s="49">
        <f t="shared" si="3"/>
        <v>22906</v>
      </c>
      <c r="J272" s="52">
        <f>IF(A272&lt;&gt;"",SUMIFS(metas!N:N, metas!E:E, "&gt;=" &amp; DATEVALUE(B272&amp;"-01"),metas!D:D, "&lt;=" &amp; DATEVALUE(B272&amp;"-01")),"")</f>
        <v>3182.813937</v>
      </c>
      <c r="K272" s="49">
        <f t="shared" si="4"/>
        <v>19723.18606</v>
      </c>
      <c r="L272" s="49">
        <f t="shared" si="6"/>
        <v>4708866.766</v>
      </c>
      <c r="M272" s="49">
        <f>IF(A272&lt;&gt;"",IF(COUNTIF(investimento!F:F, B272) &gt; 0, SUM(investimento!B:B)+I272, M271+I272),"")</f>
        <v>5990184.681</v>
      </c>
    </row>
    <row r="273" ht="22.5" customHeight="1">
      <c r="A273" s="47">
        <v>50322.0</v>
      </c>
      <c r="B273" s="48" t="str">
        <f t="shared" si="1"/>
        <v>2037-10</v>
      </c>
      <c r="C273" s="49">
        <f>SUMIF(despesas_recorrentes!C:C, "&gt;="&amp;A273,despesas_recorrentes!B:B) 
+SUMIF(despesas_recorrentes!C:C, "",despesas_recorrentes!B:B)
-despesas_recorrentes!$B$12
+IF(SUMIF(gasto_cartao!E:E,saldo!B273,gasto_cartao!B:B)&gt;despesas_recorrentes!$B$12, SUMIF(gasto_cartao!E:E,saldo!B273,gasto_cartao!B:B),despesas_recorrentes!$B$12)</f>
        <v>34013</v>
      </c>
      <c r="D273" s="51">
        <f>SUM(receitas_recorrentes!B:B)+SUMIF(receitas_pontuais!E:E,B273,receitas_pontuais!B:B)</f>
        <v>56919</v>
      </c>
      <c r="E273" s="51">
        <f t="shared" si="2"/>
        <v>22906</v>
      </c>
      <c r="F273" s="53">
        <f>IFERROR(SUMIF(contas!G:G, B273, contas!B:B),0)</f>
        <v>0</v>
      </c>
      <c r="G273" s="51">
        <f>SUMIFS(previsoes!D:D, previsoes!E:E, "&lt;=" &amp; EOMONTH(DATEVALUE(B273&amp;"-01"),0), previsoes!F:F, "&gt;=" &amp; DATEVALUE(B273&amp;"-01"))</f>
        <v>0</v>
      </c>
      <c r="H273" s="52">
        <f t="shared" si="5"/>
        <v>160491.8958</v>
      </c>
      <c r="I273" s="49">
        <f t="shared" si="3"/>
        <v>22906</v>
      </c>
      <c r="J273" s="52">
        <f>IF(A273&lt;&gt;"",SUMIFS(metas!N:N, metas!E:E, "&gt;=" &amp; DATEVALUE(B273&amp;"-01"),metas!D:D, "&lt;=" &amp; DATEVALUE(B273&amp;"-01")),"")</f>
        <v>3182.813937</v>
      </c>
      <c r="K273" s="49">
        <f t="shared" si="4"/>
        <v>19723.18606</v>
      </c>
      <c r="L273" s="49">
        <f t="shared" si="6"/>
        <v>4728589.952</v>
      </c>
      <c r="M273" s="49">
        <f>IF(A273&lt;&gt;"",IF(COUNTIF(investimento!F:F, B273) &gt; 0, SUM(investimento!B:B)+I273, M272+I273),"")</f>
        <v>6013090.681</v>
      </c>
    </row>
    <row r="274" ht="22.5" customHeight="1">
      <c r="A274" s="47">
        <v>50323.0</v>
      </c>
      <c r="B274" s="48" t="str">
        <f t="shared" si="1"/>
        <v>2037-10</v>
      </c>
      <c r="C274" s="49">
        <f>SUMIF(despesas_recorrentes!C:C, "&gt;="&amp;A274,despesas_recorrentes!B:B) 
+SUMIF(despesas_recorrentes!C:C, "",despesas_recorrentes!B:B)
-despesas_recorrentes!$B$12
+IF(SUMIF(gasto_cartao!E:E,saldo!B274,gasto_cartao!B:B)&gt;despesas_recorrentes!$B$12, SUMIF(gasto_cartao!E:E,saldo!B274,gasto_cartao!B:B),despesas_recorrentes!$B$12)</f>
        <v>34013</v>
      </c>
      <c r="D274" s="51">
        <f>SUM(receitas_recorrentes!B:B)+SUMIF(receitas_pontuais!E:E,B274,receitas_pontuais!B:B)</f>
        <v>56919</v>
      </c>
      <c r="E274" s="51">
        <f t="shared" si="2"/>
        <v>22906</v>
      </c>
      <c r="F274" s="53">
        <f>IFERROR(SUMIF(contas!G:G, B274, contas!B:B),0)</f>
        <v>0</v>
      </c>
      <c r="G274" s="51">
        <f>SUMIFS(previsoes!D:D, previsoes!E:E, "&lt;=" &amp; EOMONTH(DATEVALUE(B274&amp;"-01"),0), previsoes!F:F, "&gt;=" &amp; DATEVALUE(B274&amp;"-01"))</f>
        <v>0</v>
      </c>
      <c r="H274" s="52">
        <f t="shared" si="5"/>
        <v>160491.8958</v>
      </c>
      <c r="I274" s="49">
        <f t="shared" si="3"/>
        <v>22906</v>
      </c>
      <c r="J274" s="52">
        <f>IF(A274&lt;&gt;"",SUMIFS(metas!N:N, metas!E:E, "&gt;=" &amp; DATEVALUE(B274&amp;"-01"),metas!D:D, "&lt;=" &amp; DATEVALUE(B274&amp;"-01")),"")</f>
        <v>3182.813937</v>
      </c>
      <c r="K274" s="49">
        <f t="shared" si="4"/>
        <v>19723.18606</v>
      </c>
      <c r="L274" s="49">
        <f t="shared" si="6"/>
        <v>4748313.138</v>
      </c>
      <c r="M274" s="49">
        <f>IF(A274&lt;&gt;"",IF(COUNTIF(investimento!F:F, B274) &gt; 0, SUM(investimento!B:B)+I274, M273+I274),"")</f>
        <v>6035996.681</v>
      </c>
    </row>
    <row r="275" ht="22.5" customHeight="1">
      <c r="A275" s="47">
        <v>50324.0</v>
      </c>
      <c r="B275" s="48" t="str">
        <f t="shared" si="1"/>
        <v>2037-10</v>
      </c>
      <c r="C275" s="49">
        <f>SUMIF(despesas_recorrentes!C:C, "&gt;="&amp;A275,despesas_recorrentes!B:B) 
+SUMIF(despesas_recorrentes!C:C, "",despesas_recorrentes!B:B)
-despesas_recorrentes!$B$12
+IF(SUMIF(gasto_cartao!E:E,saldo!B275,gasto_cartao!B:B)&gt;despesas_recorrentes!$B$12, SUMIF(gasto_cartao!E:E,saldo!B275,gasto_cartao!B:B),despesas_recorrentes!$B$12)</f>
        <v>34013</v>
      </c>
      <c r="D275" s="51">
        <f>SUM(receitas_recorrentes!B:B)+SUMIF(receitas_pontuais!E:E,B275,receitas_pontuais!B:B)</f>
        <v>56919</v>
      </c>
      <c r="E275" s="51">
        <f t="shared" si="2"/>
        <v>22906</v>
      </c>
      <c r="F275" s="53">
        <f>IFERROR(SUMIF(contas!G:G, B275, contas!B:B),0)</f>
        <v>0</v>
      </c>
      <c r="G275" s="51">
        <f>SUMIFS(previsoes!D:D, previsoes!E:E, "&lt;=" &amp; EOMONTH(DATEVALUE(B275&amp;"-01"),0), previsoes!F:F, "&gt;=" &amp; DATEVALUE(B275&amp;"-01"))</f>
        <v>0</v>
      </c>
      <c r="H275" s="52">
        <f t="shared" si="5"/>
        <v>160491.8958</v>
      </c>
      <c r="I275" s="49">
        <f t="shared" si="3"/>
        <v>22906</v>
      </c>
      <c r="J275" s="52">
        <f>IF(A275&lt;&gt;"",SUMIFS(metas!N:N, metas!E:E, "&gt;=" &amp; DATEVALUE(B275&amp;"-01"),metas!D:D, "&lt;=" &amp; DATEVALUE(B275&amp;"-01")),"")</f>
        <v>3182.813937</v>
      </c>
      <c r="K275" s="49">
        <f t="shared" si="4"/>
        <v>19723.18606</v>
      </c>
      <c r="L275" s="49">
        <f t="shared" si="6"/>
        <v>4768036.324</v>
      </c>
      <c r="M275" s="49">
        <f>IF(A275&lt;&gt;"",IF(COUNTIF(investimento!F:F, B275) &gt; 0, SUM(investimento!B:B)+I275, M274+I275),"")</f>
        <v>6058902.681</v>
      </c>
    </row>
    <row r="276" ht="22.5" customHeight="1">
      <c r="A276" s="47">
        <v>50325.0</v>
      </c>
      <c r="B276" s="48" t="str">
        <f t="shared" si="1"/>
        <v>2037-10</v>
      </c>
      <c r="C276" s="49">
        <f>SUMIF(despesas_recorrentes!C:C, "&gt;="&amp;A276,despesas_recorrentes!B:B) 
+SUMIF(despesas_recorrentes!C:C, "",despesas_recorrentes!B:B)
-despesas_recorrentes!$B$12
+IF(SUMIF(gasto_cartao!E:E,saldo!B276,gasto_cartao!B:B)&gt;despesas_recorrentes!$B$12, SUMIF(gasto_cartao!E:E,saldo!B276,gasto_cartao!B:B),despesas_recorrentes!$B$12)</f>
        <v>34013</v>
      </c>
      <c r="D276" s="51">
        <f>SUM(receitas_recorrentes!B:B)+SUMIF(receitas_pontuais!E:E,B276,receitas_pontuais!B:B)</f>
        <v>56919</v>
      </c>
      <c r="E276" s="51">
        <f t="shared" si="2"/>
        <v>22906</v>
      </c>
      <c r="F276" s="53">
        <f>IFERROR(SUMIF(contas!G:G, B276, contas!B:B),0)</f>
        <v>0</v>
      </c>
      <c r="G276" s="51">
        <f>SUMIFS(previsoes!D:D, previsoes!E:E, "&lt;=" &amp; EOMONTH(DATEVALUE(B276&amp;"-01"),0), previsoes!F:F, "&gt;=" &amp; DATEVALUE(B276&amp;"-01"))</f>
        <v>0</v>
      </c>
      <c r="H276" s="52">
        <f t="shared" si="5"/>
        <v>160491.8958</v>
      </c>
      <c r="I276" s="49">
        <f t="shared" si="3"/>
        <v>22906</v>
      </c>
      <c r="J276" s="52">
        <f>IF(A276&lt;&gt;"",SUMIFS(metas!N:N, metas!E:E, "&gt;=" &amp; DATEVALUE(B276&amp;"-01"),metas!D:D, "&lt;=" &amp; DATEVALUE(B276&amp;"-01")),"")</f>
        <v>3182.813937</v>
      </c>
      <c r="K276" s="49">
        <f t="shared" si="4"/>
        <v>19723.18606</v>
      </c>
      <c r="L276" s="49">
        <f t="shared" si="6"/>
        <v>4787759.51</v>
      </c>
      <c r="M276" s="49">
        <f>IF(A276&lt;&gt;"",IF(COUNTIF(investimento!F:F, B276) &gt; 0, SUM(investimento!B:B)+I276, M275+I276),"")</f>
        <v>6081808.681</v>
      </c>
    </row>
    <row r="277" ht="22.5" customHeight="1">
      <c r="A277" s="47">
        <v>50326.0</v>
      </c>
      <c r="B277" s="48" t="str">
        <f t="shared" si="1"/>
        <v>2037-10</v>
      </c>
      <c r="C277" s="49">
        <f>SUMIF(despesas_recorrentes!C:C, "&gt;="&amp;A277,despesas_recorrentes!B:B) 
+SUMIF(despesas_recorrentes!C:C, "",despesas_recorrentes!B:B)
-despesas_recorrentes!$B$12
+IF(SUMIF(gasto_cartao!E:E,saldo!B277,gasto_cartao!B:B)&gt;despesas_recorrentes!$B$12, SUMIF(gasto_cartao!E:E,saldo!B277,gasto_cartao!B:B),despesas_recorrentes!$B$12)</f>
        <v>34013</v>
      </c>
      <c r="D277" s="51">
        <f>SUM(receitas_recorrentes!B:B)+SUMIF(receitas_pontuais!E:E,B277,receitas_pontuais!B:B)</f>
        <v>56919</v>
      </c>
      <c r="E277" s="51">
        <f t="shared" si="2"/>
        <v>22906</v>
      </c>
      <c r="F277" s="53">
        <f>IFERROR(SUMIF(contas!G:G, B277, contas!B:B),0)</f>
        <v>0</v>
      </c>
      <c r="G277" s="51">
        <f>SUMIFS(previsoes!D:D, previsoes!E:E, "&lt;=" &amp; EOMONTH(DATEVALUE(B277&amp;"-01"),0), previsoes!F:F, "&gt;=" &amp; DATEVALUE(B277&amp;"-01"))</f>
        <v>0</v>
      </c>
      <c r="H277" s="52">
        <f t="shared" si="5"/>
        <v>160491.8958</v>
      </c>
      <c r="I277" s="49">
        <f t="shared" si="3"/>
        <v>22906</v>
      </c>
      <c r="J277" s="52">
        <f>IF(A277&lt;&gt;"",SUMIFS(metas!N:N, metas!E:E, "&gt;=" &amp; DATEVALUE(B277&amp;"-01"),metas!D:D, "&lt;=" &amp; DATEVALUE(B277&amp;"-01")),"")</f>
        <v>3182.813937</v>
      </c>
      <c r="K277" s="49">
        <f t="shared" si="4"/>
        <v>19723.18606</v>
      </c>
      <c r="L277" s="49">
        <f t="shared" si="6"/>
        <v>4807482.696</v>
      </c>
      <c r="M277" s="49">
        <f>IF(A277&lt;&gt;"",IF(COUNTIF(investimento!F:F, B277) &gt; 0, SUM(investimento!B:B)+I277, M276+I277),"")</f>
        <v>6104714.681</v>
      </c>
    </row>
    <row r="278" ht="22.5" customHeight="1">
      <c r="A278" s="47">
        <v>50327.0</v>
      </c>
      <c r="B278" s="48" t="str">
        <f t="shared" si="1"/>
        <v>2037-10</v>
      </c>
      <c r="C278" s="49">
        <f>SUMIF(despesas_recorrentes!C:C, "&gt;="&amp;A278,despesas_recorrentes!B:B) 
+SUMIF(despesas_recorrentes!C:C, "",despesas_recorrentes!B:B)
-despesas_recorrentes!$B$12
+IF(SUMIF(gasto_cartao!E:E,saldo!B278,gasto_cartao!B:B)&gt;despesas_recorrentes!$B$12, SUMIF(gasto_cartao!E:E,saldo!B278,gasto_cartao!B:B),despesas_recorrentes!$B$12)</f>
        <v>34013</v>
      </c>
      <c r="D278" s="51">
        <f>SUM(receitas_recorrentes!B:B)+SUMIF(receitas_pontuais!E:E,B278,receitas_pontuais!B:B)</f>
        <v>56919</v>
      </c>
      <c r="E278" s="51">
        <f t="shared" si="2"/>
        <v>22906</v>
      </c>
      <c r="F278" s="53">
        <f>IFERROR(SUMIF(contas!G:G, B278, contas!B:B),0)</f>
        <v>0</v>
      </c>
      <c r="G278" s="51">
        <f>SUMIFS(previsoes!D:D, previsoes!E:E, "&lt;=" &amp; EOMONTH(DATEVALUE(B278&amp;"-01"),0), previsoes!F:F, "&gt;=" &amp; DATEVALUE(B278&amp;"-01"))</f>
        <v>0</v>
      </c>
      <c r="H278" s="52">
        <f t="shared" si="5"/>
        <v>160491.8958</v>
      </c>
      <c r="I278" s="49">
        <f t="shared" si="3"/>
        <v>22906</v>
      </c>
      <c r="J278" s="52">
        <f>IF(A278&lt;&gt;"",SUMIFS(metas!N:N, metas!E:E, "&gt;=" &amp; DATEVALUE(B278&amp;"-01"),metas!D:D, "&lt;=" &amp; DATEVALUE(B278&amp;"-01")),"")</f>
        <v>3182.813937</v>
      </c>
      <c r="K278" s="49">
        <f t="shared" si="4"/>
        <v>19723.18606</v>
      </c>
      <c r="L278" s="49">
        <f t="shared" si="6"/>
        <v>4827205.882</v>
      </c>
      <c r="M278" s="49">
        <f>IF(A278&lt;&gt;"",IF(COUNTIF(investimento!F:F, B278) &gt; 0, SUM(investimento!B:B)+I278, M277+I278),"")</f>
        <v>6127620.681</v>
      </c>
    </row>
    <row r="279" ht="22.5" customHeight="1">
      <c r="A279" s="47">
        <v>50328.0</v>
      </c>
      <c r="B279" s="48" t="str">
        <f t="shared" si="1"/>
        <v>2037-10</v>
      </c>
      <c r="C279" s="49">
        <f>SUMIF(despesas_recorrentes!C:C, "&gt;="&amp;A279,despesas_recorrentes!B:B) 
+SUMIF(despesas_recorrentes!C:C, "",despesas_recorrentes!B:B)
-despesas_recorrentes!$B$12
+IF(SUMIF(gasto_cartao!E:E,saldo!B279,gasto_cartao!B:B)&gt;despesas_recorrentes!$B$12, SUMIF(gasto_cartao!E:E,saldo!B279,gasto_cartao!B:B),despesas_recorrentes!$B$12)</f>
        <v>34013</v>
      </c>
      <c r="D279" s="51">
        <f>SUM(receitas_recorrentes!B:B)+SUMIF(receitas_pontuais!E:E,B279,receitas_pontuais!B:B)</f>
        <v>56919</v>
      </c>
      <c r="E279" s="51">
        <f t="shared" si="2"/>
        <v>22906</v>
      </c>
      <c r="F279" s="53">
        <f>IFERROR(SUMIF(contas!G:G, B279, contas!B:B),0)</f>
        <v>0</v>
      </c>
      <c r="G279" s="51">
        <f>SUMIFS(previsoes!D:D, previsoes!E:E, "&lt;=" &amp; EOMONTH(DATEVALUE(B279&amp;"-01"),0), previsoes!F:F, "&gt;=" &amp; DATEVALUE(B279&amp;"-01"))</f>
        <v>0</v>
      </c>
      <c r="H279" s="52">
        <f t="shared" si="5"/>
        <v>160491.8958</v>
      </c>
      <c r="I279" s="49">
        <f t="shared" si="3"/>
        <v>22906</v>
      </c>
      <c r="J279" s="52">
        <f>IF(A279&lt;&gt;"",SUMIFS(metas!N:N, metas!E:E, "&gt;=" &amp; DATEVALUE(B279&amp;"-01"),metas!D:D, "&lt;=" &amp; DATEVALUE(B279&amp;"-01")),"")</f>
        <v>3182.813937</v>
      </c>
      <c r="K279" s="49">
        <f t="shared" si="4"/>
        <v>19723.18606</v>
      </c>
      <c r="L279" s="49">
        <f t="shared" si="6"/>
        <v>4846929.068</v>
      </c>
      <c r="M279" s="49">
        <f>IF(A279&lt;&gt;"",IF(COUNTIF(investimento!F:F, B279) &gt; 0, SUM(investimento!B:B)+I279, M278+I279),"")</f>
        <v>6150526.681</v>
      </c>
    </row>
    <row r="280" ht="22.5" customHeight="1">
      <c r="A280" s="47">
        <v>50329.0</v>
      </c>
      <c r="B280" s="48" t="str">
        <f t="shared" si="1"/>
        <v>2037-10</v>
      </c>
      <c r="C280" s="49">
        <f>SUMIF(despesas_recorrentes!C:C, "&gt;="&amp;A280,despesas_recorrentes!B:B) 
+SUMIF(despesas_recorrentes!C:C, "",despesas_recorrentes!B:B)
-despesas_recorrentes!$B$12
+IF(SUMIF(gasto_cartao!E:E,saldo!B280,gasto_cartao!B:B)&gt;despesas_recorrentes!$B$12, SUMIF(gasto_cartao!E:E,saldo!B280,gasto_cartao!B:B),despesas_recorrentes!$B$12)</f>
        <v>34013</v>
      </c>
      <c r="D280" s="51">
        <f>SUM(receitas_recorrentes!B:B)+SUMIF(receitas_pontuais!E:E,B280,receitas_pontuais!B:B)</f>
        <v>56919</v>
      </c>
      <c r="E280" s="51">
        <f t="shared" si="2"/>
        <v>22906</v>
      </c>
      <c r="F280" s="53">
        <f>IFERROR(SUMIF(contas!G:G, B280, contas!B:B),0)</f>
        <v>0</v>
      </c>
      <c r="G280" s="51">
        <f>SUMIFS(previsoes!D:D, previsoes!E:E, "&lt;=" &amp; EOMONTH(DATEVALUE(B280&amp;"-01"),0), previsoes!F:F, "&gt;=" &amp; DATEVALUE(B280&amp;"-01"))</f>
        <v>0</v>
      </c>
      <c r="H280" s="52">
        <f t="shared" si="5"/>
        <v>160491.8958</v>
      </c>
      <c r="I280" s="49">
        <f t="shared" si="3"/>
        <v>22906</v>
      </c>
      <c r="J280" s="52">
        <f>IF(A280&lt;&gt;"",SUMIFS(metas!N:N, metas!E:E, "&gt;=" &amp; DATEVALUE(B280&amp;"-01"),metas!D:D, "&lt;=" &amp; DATEVALUE(B280&amp;"-01")),"")</f>
        <v>3182.813937</v>
      </c>
      <c r="K280" s="49">
        <f t="shared" si="4"/>
        <v>19723.18606</v>
      </c>
      <c r="L280" s="49">
        <f t="shared" si="6"/>
        <v>4866652.254</v>
      </c>
      <c r="M280" s="49">
        <f>IF(A280&lt;&gt;"",IF(COUNTIF(investimento!F:F, B280) &gt; 0, SUM(investimento!B:B)+I280, M279+I280),"")</f>
        <v>6173432.681</v>
      </c>
    </row>
    <row r="281" ht="22.5" customHeight="1">
      <c r="A281" s="47">
        <v>50330.0</v>
      </c>
      <c r="B281" s="48" t="str">
        <f t="shared" si="1"/>
        <v>2037-10</v>
      </c>
      <c r="C281" s="49">
        <f>SUMIF(despesas_recorrentes!C:C, "&gt;="&amp;A281,despesas_recorrentes!B:B) 
+SUMIF(despesas_recorrentes!C:C, "",despesas_recorrentes!B:B)
-despesas_recorrentes!$B$12
+IF(SUMIF(gasto_cartao!E:E,saldo!B281,gasto_cartao!B:B)&gt;despesas_recorrentes!$B$12, SUMIF(gasto_cartao!E:E,saldo!B281,gasto_cartao!B:B),despesas_recorrentes!$B$12)</f>
        <v>34013</v>
      </c>
      <c r="D281" s="51">
        <f>SUM(receitas_recorrentes!B:B)+SUMIF(receitas_pontuais!E:E,B281,receitas_pontuais!B:B)</f>
        <v>56919</v>
      </c>
      <c r="E281" s="51">
        <f t="shared" si="2"/>
        <v>22906</v>
      </c>
      <c r="F281" s="53">
        <f>IFERROR(SUMIF(contas!G:G, B281, contas!B:B),0)</f>
        <v>0</v>
      </c>
      <c r="G281" s="51">
        <f>SUMIFS(previsoes!D:D, previsoes!E:E, "&lt;=" &amp; EOMONTH(DATEVALUE(B281&amp;"-01"),0), previsoes!F:F, "&gt;=" &amp; DATEVALUE(B281&amp;"-01"))</f>
        <v>0</v>
      </c>
      <c r="H281" s="52">
        <f t="shared" si="5"/>
        <v>160491.8958</v>
      </c>
      <c r="I281" s="49">
        <f t="shared" si="3"/>
        <v>22906</v>
      </c>
      <c r="J281" s="52">
        <f>IF(A281&lt;&gt;"",SUMIFS(metas!N:N, metas!E:E, "&gt;=" &amp; DATEVALUE(B281&amp;"-01"),metas!D:D, "&lt;=" &amp; DATEVALUE(B281&amp;"-01")),"")</f>
        <v>3182.813937</v>
      </c>
      <c r="K281" s="49">
        <f t="shared" si="4"/>
        <v>19723.18606</v>
      </c>
      <c r="L281" s="49">
        <f t="shared" si="6"/>
        <v>4886375.44</v>
      </c>
      <c r="M281" s="49">
        <f>IF(A281&lt;&gt;"",IF(COUNTIF(investimento!F:F, B281) &gt; 0, SUM(investimento!B:B)+I281, M280+I281),"")</f>
        <v>6196338.681</v>
      </c>
    </row>
    <row r="282" ht="22.5" customHeight="1">
      <c r="A282" s="47">
        <v>50331.0</v>
      </c>
      <c r="B282" s="48" t="str">
        <f t="shared" si="1"/>
        <v>2037-10</v>
      </c>
      <c r="C282" s="49">
        <f>SUMIF(despesas_recorrentes!C:C, "&gt;="&amp;A282,despesas_recorrentes!B:B) 
+SUMIF(despesas_recorrentes!C:C, "",despesas_recorrentes!B:B)
-despesas_recorrentes!$B$12
+IF(SUMIF(gasto_cartao!E:E,saldo!B282,gasto_cartao!B:B)&gt;despesas_recorrentes!$B$12, SUMIF(gasto_cartao!E:E,saldo!B282,gasto_cartao!B:B),despesas_recorrentes!$B$12)</f>
        <v>34013</v>
      </c>
      <c r="D282" s="51">
        <f>SUM(receitas_recorrentes!B:B)+SUMIF(receitas_pontuais!E:E,B282,receitas_pontuais!B:B)</f>
        <v>56919</v>
      </c>
      <c r="E282" s="51">
        <f t="shared" si="2"/>
        <v>22906</v>
      </c>
      <c r="F282" s="53">
        <f>IFERROR(SUMIF(contas!G:G, B282, contas!B:B),0)</f>
        <v>0</v>
      </c>
      <c r="G282" s="51">
        <f>SUMIFS(previsoes!D:D, previsoes!E:E, "&lt;=" &amp; EOMONTH(DATEVALUE(B282&amp;"-01"),0), previsoes!F:F, "&gt;=" &amp; DATEVALUE(B282&amp;"-01"))</f>
        <v>0</v>
      </c>
      <c r="H282" s="52">
        <f t="shared" si="5"/>
        <v>160491.8958</v>
      </c>
      <c r="I282" s="49">
        <f t="shared" si="3"/>
        <v>22906</v>
      </c>
      <c r="J282" s="52">
        <f>IF(A282&lt;&gt;"",SUMIFS(metas!N:N, metas!E:E, "&gt;=" &amp; DATEVALUE(B282&amp;"-01"),metas!D:D, "&lt;=" &amp; DATEVALUE(B282&amp;"-01")),"")</f>
        <v>3182.813937</v>
      </c>
      <c r="K282" s="49">
        <f t="shared" si="4"/>
        <v>19723.18606</v>
      </c>
      <c r="L282" s="49">
        <f t="shared" si="6"/>
        <v>4906098.626</v>
      </c>
      <c r="M282" s="49">
        <f>IF(A282&lt;&gt;"",IF(COUNTIF(investimento!F:F, B282) &gt; 0, SUM(investimento!B:B)+I282, M281+I282),"")</f>
        <v>6219244.681</v>
      </c>
    </row>
    <row r="283" ht="22.5" customHeight="1">
      <c r="A283" s="47">
        <v>50332.0</v>
      </c>
      <c r="B283" s="48" t="str">
        <f t="shared" si="1"/>
        <v>2037-10</v>
      </c>
      <c r="C283" s="49">
        <f>SUMIF(despesas_recorrentes!C:C, "&gt;="&amp;A283,despesas_recorrentes!B:B) 
+SUMIF(despesas_recorrentes!C:C, "",despesas_recorrentes!B:B)
-despesas_recorrentes!$B$12
+IF(SUMIF(gasto_cartao!E:E,saldo!B283,gasto_cartao!B:B)&gt;despesas_recorrentes!$B$12, SUMIF(gasto_cartao!E:E,saldo!B283,gasto_cartao!B:B),despesas_recorrentes!$B$12)</f>
        <v>34013</v>
      </c>
      <c r="D283" s="51">
        <f>SUM(receitas_recorrentes!B:B)+SUMIF(receitas_pontuais!E:E,B283,receitas_pontuais!B:B)</f>
        <v>56919</v>
      </c>
      <c r="E283" s="51">
        <f t="shared" si="2"/>
        <v>22906</v>
      </c>
      <c r="F283" s="53">
        <f>IFERROR(SUMIF(contas!G:G, B283, contas!B:B),0)</f>
        <v>0</v>
      </c>
      <c r="G283" s="51">
        <f>SUMIFS(previsoes!D:D, previsoes!E:E, "&lt;=" &amp; EOMONTH(DATEVALUE(B283&amp;"-01"),0), previsoes!F:F, "&gt;=" &amp; DATEVALUE(B283&amp;"-01"))</f>
        <v>0</v>
      </c>
      <c r="H283" s="52">
        <f t="shared" si="5"/>
        <v>160491.8958</v>
      </c>
      <c r="I283" s="49">
        <f t="shared" si="3"/>
        <v>22906</v>
      </c>
      <c r="J283" s="52">
        <f>IF(A283&lt;&gt;"",SUMIFS(metas!N:N, metas!E:E, "&gt;=" &amp; DATEVALUE(B283&amp;"-01"),metas!D:D, "&lt;=" &amp; DATEVALUE(B283&amp;"-01")),"")</f>
        <v>3182.813937</v>
      </c>
      <c r="K283" s="49">
        <f t="shared" si="4"/>
        <v>19723.18606</v>
      </c>
      <c r="L283" s="49">
        <f t="shared" si="6"/>
        <v>4925821.812</v>
      </c>
      <c r="M283" s="49">
        <f>IF(A283&lt;&gt;"",IF(COUNTIF(investimento!F:F, B283) &gt; 0, SUM(investimento!B:B)+I283, M282+I283),"")</f>
        <v>6242150.681</v>
      </c>
    </row>
    <row r="284" ht="22.5" customHeight="1">
      <c r="A284" s="47">
        <v>50333.0</v>
      </c>
      <c r="B284" s="48" t="str">
        <f t="shared" si="1"/>
        <v>2037-10</v>
      </c>
      <c r="C284" s="49">
        <f>SUMIF(despesas_recorrentes!C:C, "&gt;="&amp;A284,despesas_recorrentes!B:B) 
+SUMIF(despesas_recorrentes!C:C, "",despesas_recorrentes!B:B)
-despesas_recorrentes!$B$12
+IF(SUMIF(gasto_cartao!E:E,saldo!B284,gasto_cartao!B:B)&gt;despesas_recorrentes!$B$12, SUMIF(gasto_cartao!E:E,saldo!B284,gasto_cartao!B:B),despesas_recorrentes!$B$12)</f>
        <v>34013</v>
      </c>
      <c r="D284" s="51">
        <f>SUM(receitas_recorrentes!B:B)+SUMIF(receitas_pontuais!E:E,B284,receitas_pontuais!B:B)</f>
        <v>56919</v>
      </c>
      <c r="E284" s="51">
        <f t="shared" si="2"/>
        <v>22906</v>
      </c>
      <c r="F284" s="53">
        <f>IFERROR(SUMIF(contas!G:G, B284, contas!B:B),0)</f>
        <v>0</v>
      </c>
      <c r="G284" s="51">
        <f>SUMIFS(previsoes!D:D, previsoes!E:E, "&lt;=" &amp; EOMONTH(DATEVALUE(B284&amp;"-01"),0), previsoes!F:F, "&gt;=" &amp; DATEVALUE(B284&amp;"-01"))</f>
        <v>0</v>
      </c>
      <c r="H284" s="52">
        <f t="shared" si="5"/>
        <v>160491.8958</v>
      </c>
      <c r="I284" s="49">
        <f t="shared" si="3"/>
        <v>22906</v>
      </c>
      <c r="J284" s="52">
        <f>IF(A284&lt;&gt;"",SUMIFS(metas!N:N, metas!E:E, "&gt;=" &amp; DATEVALUE(B284&amp;"-01"),metas!D:D, "&lt;=" &amp; DATEVALUE(B284&amp;"-01")),"")</f>
        <v>3182.813937</v>
      </c>
      <c r="K284" s="49">
        <f t="shared" si="4"/>
        <v>19723.18606</v>
      </c>
      <c r="L284" s="49">
        <f t="shared" si="6"/>
        <v>4945544.998</v>
      </c>
      <c r="M284" s="49">
        <f>IF(A284&lt;&gt;"",IF(COUNTIF(investimento!F:F, B284) &gt; 0, SUM(investimento!B:B)+I284, M283+I284),"")</f>
        <v>6265056.681</v>
      </c>
    </row>
    <row r="285" ht="22.5" customHeight="1">
      <c r="A285" s="47">
        <v>50334.0</v>
      </c>
      <c r="B285" s="48" t="str">
        <f t="shared" si="1"/>
        <v>2037-10</v>
      </c>
      <c r="C285" s="49">
        <f>SUMIF(despesas_recorrentes!C:C, "&gt;="&amp;A285,despesas_recorrentes!B:B) 
+SUMIF(despesas_recorrentes!C:C, "",despesas_recorrentes!B:B)
-despesas_recorrentes!$B$12
+IF(SUMIF(gasto_cartao!E:E,saldo!B285,gasto_cartao!B:B)&gt;despesas_recorrentes!$B$12, SUMIF(gasto_cartao!E:E,saldo!B285,gasto_cartao!B:B),despesas_recorrentes!$B$12)</f>
        <v>34013</v>
      </c>
      <c r="D285" s="51">
        <f>SUM(receitas_recorrentes!B:B)+SUMIF(receitas_pontuais!E:E,B285,receitas_pontuais!B:B)</f>
        <v>56919</v>
      </c>
      <c r="E285" s="51">
        <f t="shared" si="2"/>
        <v>22906</v>
      </c>
      <c r="F285" s="53">
        <f>IFERROR(SUMIF(contas!G:G, B285, contas!B:B),0)</f>
        <v>0</v>
      </c>
      <c r="G285" s="51">
        <f>SUMIFS(previsoes!D:D, previsoes!E:E, "&lt;=" &amp; EOMONTH(DATEVALUE(B285&amp;"-01"),0), previsoes!F:F, "&gt;=" &amp; DATEVALUE(B285&amp;"-01"))</f>
        <v>0</v>
      </c>
      <c r="H285" s="52">
        <f t="shared" si="5"/>
        <v>160491.8958</v>
      </c>
      <c r="I285" s="49">
        <f t="shared" si="3"/>
        <v>22906</v>
      </c>
      <c r="J285" s="52">
        <f>IF(A285&lt;&gt;"",SUMIFS(metas!N:N, metas!E:E, "&gt;=" &amp; DATEVALUE(B285&amp;"-01"),metas!D:D, "&lt;=" &amp; DATEVALUE(B285&amp;"-01")),"")</f>
        <v>3182.813937</v>
      </c>
      <c r="K285" s="49">
        <f t="shared" si="4"/>
        <v>19723.18606</v>
      </c>
      <c r="L285" s="49">
        <f t="shared" si="6"/>
        <v>4965268.184</v>
      </c>
      <c r="M285" s="49">
        <f>IF(A285&lt;&gt;"",IF(COUNTIF(investimento!F:F, B285) &gt; 0, SUM(investimento!B:B)+I285, M284+I285),"")</f>
        <v>6287962.681</v>
      </c>
    </row>
    <row r="286" ht="22.5" customHeight="1">
      <c r="A286" s="47">
        <v>50335.0</v>
      </c>
      <c r="B286" s="48" t="str">
        <f t="shared" si="1"/>
        <v>2037-10</v>
      </c>
      <c r="C286" s="49">
        <f>SUMIF(despesas_recorrentes!C:C, "&gt;="&amp;A286,despesas_recorrentes!B:B) 
+SUMIF(despesas_recorrentes!C:C, "",despesas_recorrentes!B:B)
-despesas_recorrentes!$B$12
+IF(SUMIF(gasto_cartao!E:E,saldo!B286,gasto_cartao!B:B)&gt;despesas_recorrentes!$B$12, SUMIF(gasto_cartao!E:E,saldo!B286,gasto_cartao!B:B),despesas_recorrentes!$B$12)</f>
        <v>34013</v>
      </c>
      <c r="D286" s="51">
        <f>SUM(receitas_recorrentes!B:B)+SUMIF(receitas_pontuais!E:E,B286,receitas_pontuais!B:B)</f>
        <v>56919</v>
      </c>
      <c r="E286" s="51">
        <f t="shared" si="2"/>
        <v>22906</v>
      </c>
      <c r="F286" s="53">
        <f>IFERROR(SUMIF(contas!G:G, B286, contas!B:B),0)</f>
        <v>0</v>
      </c>
      <c r="G286" s="51">
        <f>SUMIFS(previsoes!D:D, previsoes!E:E, "&lt;=" &amp; EOMONTH(DATEVALUE(B286&amp;"-01"),0), previsoes!F:F, "&gt;=" &amp; DATEVALUE(B286&amp;"-01"))</f>
        <v>0</v>
      </c>
      <c r="H286" s="52">
        <f t="shared" si="5"/>
        <v>160491.8958</v>
      </c>
      <c r="I286" s="49">
        <f t="shared" si="3"/>
        <v>22906</v>
      </c>
      <c r="J286" s="52">
        <f>IF(A286&lt;&gt;"",SUMIFS(metas!N:N, metas!E:E, "&gt;=" &amp; DATEVALUE(B286&amp;"-01"),metas!D:D, "&lt;=" &amp; DATEVALUE(B286&amp;"-01")),"")</f>
        <v>3182.813937</v>
      </c>
      <c r="K286" s="49">
        <f t="shared" si="4"/>
        <v>19723.18606</v>
      </c>
      <c r="L286" s="49">
        <f t="shared" si="6"/>
        <v>4984991.37</v>
      </c>
      <c r="M286" s="49">
        <f>IF(A286&lt;&gt;"",IF(COUNTIF(investimento!F:F, B286) &gt; 0, SUM(investimento!B:B)+I286, M285+I286),"")</f>
        <v>6310868.681</v>
      </c>
    </row>
    <row r="287" ht="22.5" customHeight="1">
      <c r="A287" s="47">
        <v>50336.0</v>
      </c>
      <c r="B287" s="48" t="str">
        <f t="shared" si="1"/>
        <v>2037-10</v>
      </c>
      <c r="C287" s="49">
        <f>SUMIF(despesas_recorrentes!C:C, "&gt;="&amp;A287,despesas_recorrentes!B:B) 
+SUMIF(despesas_recorrentes!C:C, "",despesas_recorrentes!B:B)
-despesas_recorrentes!$B$12
+IF(SUMIF(gasto_cartao!E:E,saldo!B287,gasto_cartao!B:B)&gt;despesas_recorrentes!$B$12, SUMIF(gasto_cartao!E:E,saldo!B287,gasto_cartao!B:B),despesas_recorrentes!$B$12)</f>
        <v>34013</v>
      </c>
      <c r="D287" s="51">
        <f>SUM(receitas_recorrentes!B:B)+SUMIF(receitas_pontuais!E:E,B287,receitas_pontuais!B:B)</f>
        <v>56919</v>
      </c>
      <c r="E287" s="51">
        <f t="shared" si="2"/>
        <v>22906</v>
      </c>
      <c r="F287" s="53">
        <f>IFERROR(SUMIF(contas!G:G, B287, contas!B:B),0)</f>
        <v>0</v>
      </c>
      <c r="G287" s="51">
        <f>SUMIFS(previsoes!D:D, previsoes!E:E, "&lt;=" &amp; EOMONTH(DATEVALUE(B287&amp;"-01"),0), previsoes!F:F, "&gt;=" &amp; DATEVALUE(B287&amp;"-01"))</f>
        <v>0</v>
      </c>
      <c r="H287" s="52">
        <f t="shared" si="5"/>
        <v>160491.8958</v>
      </c>
      <c r="I287" s="49">
        <f t="shared" si="3"/>
        <v>22906</v>
      </c>
      <c r="J287" s="52">
        <f>IF(A287&lt;&gt;"",SUMIFS(metas!N:N, metas!E:E, "&gt;=" &amp; DATEVALUE(B287&amp;"-01"),metas!D:D, "&lt;=" &amp; DATEVALUE(B287&amp;"-01")),"")</f>
        <v>3182.813937</v>
      </c>
      <c r="K287" s="49">
        <f t="shared" si="4"/>
        <v>19723.18606</v>
      </c>
      <c r="L287" s="49">
        <f t="shared" si="6"/>
        <v>5004714.557</v>
      </c>
      <c r="M287" s="49">
        <f>IF(A287&lt;&gt;"",IF(COUNTIF(investimento!F:F, B287) &gt; 0, SUM(investimento!B:B)+I287, M286+I287),"")</f>
        <v>6333774.681</v>
      </c>
    </row>
    <row r="288" ht="22.5" customHeight="1">
      <c r="A288" s="47">
        <v>50337.0</v>
      </c>
      <c r="B288" s="48" t="str">
        <f t="shared" si="1"/>
        <v>2037-10</v>
      </c>
      <c r="C288" s="49">
        <f>SUMIF(despesas_recorrentes!C:C, "&gt;="&amp;A288,despesas_recorrentes!B:B) 
+SUMIF(despesas_recorrentes!C:C, "",despesas_recorrentes!B:B)
-despesas_recorrentes!$B$12
+IF(SUMIF(gasto_cartao!E:E,saldo!B288,gasto_cartao!B:B)&gt;despesas_recorrentes!$B$12, SUMIF(gasto_cartao!E:E,saldo!B288,gasto_cartao!B:B),despesas_recorrentes!$B$12)</f>
        <v>34013</v>
      </c>
      <c r="D288" s="51">
        <f>SUM(receitas_recorrentes!B:B)+SUMIF(receitas_pontuais!E:E,B288,receitas_pontuais!B:B)</f>
        <v>56919</v>
      </c>
      <c r="E288" s="51">
        <f t="shared" si="2"/>
        <v>22906</v>
      </c>
      <c r="F288" s="53">
        <f>IFERROR(SUMIF(contas!G:G, B288, contas!B:B),0)</f>
        <v>0</v>
      </c>
      <c r="G288" s="51">
        <f>SUMIFS(previsoes!D:D, previsoes!E:E, "&lt;=" &amp; EOMONTH(DATEVALUE(B288&amp;"-01"),0), previsoes!F:F, "&gt;=" &amp; DATEVALUE(B288&amp;"-01"))</f>
        <v>0</v>
      </c>
      <c r="H288" s="52">
        <f t="shared" si="5"/>
        <v>160491.8958</v>
      </c>
      <c r="I288" s="49">
        <f t="shared" si="3"/>
        <v>22906</v>
      </c>
      <c r="J288" s="52">
        <f>IF(A288&lt;&gt;"",SUMIFS(metas!N:N, metas!E:E, "&gt;=" &amp; DATEVALUE(B288&amp;"-01"),metas!D:D, "&lt;=" &amp; DATEVALUE(B288&amp;"-01")),"")</f>
        <v>3182.813937</v>
      </c>
      <c r="K288" s="49">
        <f t="shared" si="4"/>
        <v>19723.18606</v>
      </c>
      <c r="L288" s="49">
        <f t="shared" si="6"/>
        <v>5024437.743</v>
      </c>
      <c r="M288" s="49">
        <f>IF(A288&lt;&gt;"",IF(COUNTIF(investimento!F:F, B288) &gt; 0, SUM(investimento!B:B)+I288, M287+I288),"")</f>
        <v>6356680.681</v>
      </c>
    </row>
    <row r="289" ht="22.5" customHeight="1">
      <c r="A289" s="47">
        <v>50338.0</v>
      </c>
      <c r="B289" s="48" t="str">
        <f t="shared" si="1"/>
        <v>2037-10</v>
      </c>
      <c r="C289" s="49">
        <f>SUMIF(despesas_recorrentes!C:C, "&gt;="&amp;A289,despesas_recorrentes!B:B) 
+SUMIF(despesas_recorrentes!C:C, "",despesas_recorrentes!B:B)
-despesas_recorrentes!$B$12
+IF(SUMIF(gasto_cartao!E:E,saldo!B289,gasto_cartao!B:B)&gt;despesas_recorrentes!$B$12, SUMIF(gasto_cartao!E:E,saldo!B289,gasto_cartao!B:B),despesas_recorrentes!$B$12)</f>
        <v>34013</v>
      </c>
      <c r="D289" s="51">
        <f>SUM(receitas_recorrentes!B:B)+SUMIF(receitas_pontuais!E:E,B289,receitas_pontuais!B:B)</f>
        <v>56919</v>
      </c>
      <c r="E289" s="51">
        <f t="shared" si="2"/>
        <v>22906</v>
      </c>
      <c r="F289" s="53">
        <f>IFERROR(SUMIF(contas!G:G, B289, contas!B:B),0)</f>
        <v>0</v>
      </c>
      <c r="G289" s="51">
        <f>SUMIFS(previsoes!D:D, previsoes!E:E, "&lt;=" &amp; EOMONTH(DATEVALUE(B289&amp;"-01"),0), previsoes!F:F, "&gt;=" &amp; DATEVALUE(B289&amp;"-01"))</f>
        <v>0</v>
      </c>
      <c r="H289" s="52">
        <f t="shared" si="5"/>
        <v>160491.8958</v>
      </c>
      <c r="I289" s="49">
        <f t="shared" si="3"/>
        <v>22906</v>
      </c>
      <c r="J289" s="52">
        <f>IF(A289&lt;&gt;"",SUMIFS(metas!N:N, metas!E:E, "&gt;=" &amp; DATEVALUE(B289&amp;"-01"),metas!D:D, "&lt;=" &amp; DATEVALUE(B289&amp;"-01")),"")</f>
        <v>3182.813937</v>
      </c>
      <c r="K289" s="49">
        <f t="shared" si="4"/>
        <v>19723.18606</v>
      </c>
      <c r="L289" s="49">
        <f t="shared" si="6"/>
        <v>5044160.929</v>
      </c>
      <c r="M289" s="49">
        <f>IF(A289&lt;&gt;"",IF(COUNTIF(investimento!F:F, B289) &gt; 0, SUM(investimento!B:B)+I289, M288+I289),"")</f>
        <v>6379586.681</v>
      </c>
    </row>
    <row r="290" ht="22.5" customHeight="1">
      <c r="A290" s="47">
        <v>50339.0</v>
      </c>
      <c r="B290" s="48" t="str">
        <f t="shared" si="1"/>
        <v>2037-10</v>
      </c>
      <c r="C290" s="49">
        <f>SUMIF(despesas_recorrentes!C:C, "&gt;="&amp;A290,despesas_recorrentes!B:B) 
+SUMIF(despesas_recorrentes!C:C, "",despesas_recorrentes!B:B)
-despesas_recorrentes!$B$12
+IF(SUMIF(gasto_cartao!E:E,saldo!B290,gasto_cartao!B:B)&gt;despesas_recorrentes!$B$12, SUMIF(gasto_cartao!E:E,saldo!B290,gasto_cartao!B:B),despesas_recorrentes!$B$12)</f>
        <v>34013</v>
      </c>
      <c r="D290" s="51">
        <f>SUM(receitas_recorrentes!B:B)+SUMIF(receitas_pontuais!E:E,B290,receitas_pontuais!B:B)</f>
        <v>56919</v>
      </c>
      <c r="E290" s="51">
        <f t="shared" si="2"/>
        <v>22906</v>
      </c>
      <c r="F290" s="53">
        <f>IFERROR(SUMIF(contas!G:G, B290, contas!B:B),0)</f>
        <v>0</v>
      </c>
      <c r="G290" s="51">
        <f>SUMIFS(previsoes!D:D, previsoes!E:E, "&lt;=" &amp; EOMONTH(DATEVALUE(B290&amp;"-01"),0), previsoes!F:F, "&gt;=" &amp; DATEVALUE(B290&amp;"-01"))</f>
        <v>0</v>
      </c>
      <c r="H290" s="52">
        <f t="shared" si="5"/>
        <v>160491.8958</v>
      </c>
      <c r="I290" s="49">
        <f t="shared" si="3"/>
        <v>22906</v>
      </c>
      <c r="J290" s="52">
        <f>IF(A290&lt;&gt;"",SUMIFS(metas!N:N, metas!E:E, "&gt;=" &amp; DATEVALUE(B290&amp;"-01"),metas!D:D, "&lt;=" &amp; DATEVALUE(B290&amp;"-01")),"")</f>
        <v>3182.813937</v>
      </c>
      <c r="K290" s="49">
        <f t="shared" si="4"/>
        <v>19723.18606</v>
      </c>
      <c r="L290" s="49">
        <f t="shared" si="6"/>
        <v>5063884.115</v>
      </c>
      <c r="M290" s="49">
        <f>IF(A290&lt;&gt;"",IF(COUNTIF(investimento!F:F, B290) &gt; 0, SUM(investimento!B:B)+I290, M289+I290),"")</f>
        <v>6402492.681</v>
      </c>
    </row>
    <row r="291" ht="22.5" customHeight="1">
      <c r="A291" s="47">
        <v>50340.0</v>
      </c>
      <c r="B291" s="48" t="str">
        <f t="shared" si="1"/>
        <v>2037-10</v>
      </c>
      <c r="C291" s="49">
        <f>SUMIF(despesas_recorrentes!C:C, "&gt;="&amp;A291,despesas_recorrentes!B:B) 
+SUMIF(despesas_recorrentes!C:C, "",despesas_recorrentes!B:B)
-despesas_recorrentes!$B$12
+IF(SUMIF(gasto_cartao!E:E,saldo!B291,gasto_cartao!B:B)&gt;despesas_recorrentes!$B$12, SUMIF(gasto_cartao!E:E,saldo!B291,gasto_cartao!B:B),despesas_recorrentes!$B$12)</f>
        <v>34013</v>
      </c>
      <c r="D291" s="51">
        <f>SUM(receitas_recorrentes!B:B)+SUMIF(receitas_pontuais!E:E,B291,receitas_pontuais!B:B)</f>
        <v>56919</v>
      </c>
      <c r="E291" s="51">
        <f t="shared" si="2"/>
        <v>22906</v>
      </c>
      <c r="F291" s="53">
        <f>IFERROR(SUMIF(contas!G:G, B291, contas!B:B),0)</f>
        <v>0</v>
      </c>
      <c r="G291" s="51">
        <f>SUMIFS(previsoes!D:D, previsoes!E:E, "&lt;=" &amp; EOMONTH(DATEVALUE(B291&amp;"-01"),0), previsoes!F:F, "&gt;=" &amp; DATEVALUE(B291&amp;"-01"))</f>
        <v>0</v>
      </c>
      <c r="H291" s="52">
        <f t="shared" si="5"/>
        <v>160491.8958</v>
      </c>
      <c r="I291" s="49">
        <f t="shared" si="3"/>
        <v>22906</v>
      </c>
      <c r="J291" s="52">
        <f>IF(A291&lt;&gt;"",SUMIFS(metas!N:N, metas!E:E, "&gt;=" &amp; DATEVALUE(B291&amp;"-01"),metas!D:D, "&lt;=" &amp; DATEVALUE(B291&amp;"-01")),"")</f>
        <v>3182.813937</v>
      </c>
      <c r="K291" s="49">
        <f t="shared" si="4"/>
        <v>19723.18606</v>
      </c>
      <c r="L291" s="49">
        <f t="shared" si="6"/>
        <v>5083607.301</v>
      </c>
      <c r="M291" s="49">
        <f>IF(A291&lt;&gt;"",IF(COUNTIF(investimento!F:F, B291) &gt; 0, SUM(investimento!B:B)+I291, M290+I291),"")</f>
        <v>6425398.681</v>
      </c>
    </row>
    <row r="292" ht="22.5" customHeight="1">
      <c r="A292" s="47">
        <v>50341.0</v>
      </c>
      <c r="B292" s="48" t="str">
        <f t="shared" si="1"/>
        <v>2037-10</v>
      </c>
      <c r="C292" s="49">
        <f>SUMIF(despesas_recorrentes!C:C, "&gt;="&amp;A292,despesas_recorrentes!B:B) 
+SUMIF(despesas_recorrentes!C:C, "",despesas_recorrentes!B:B)
-despesas_recorrentes!$B$12
+IF(SUMIF(gasto_cartao!E:E,saldo!B292,gasto_cartao!B:B)&gt;despesas_recorrentes!$B$12, SUMIF(gasto_cartao!E:E,saldo!B292,gasto_cartao!B:B),despesas_recorrentes!$B$12)</f>
        <v>34013</v>
      </c>
      <c r="D292" s="51">
        <f>SUM(receitas_recorrentes!B:B)+SUMIF(receitas_pontuais!E:E,B292,receitas_pontuais!B:B)</f>
        <v>56919</v>
      </c>
      <c r="E292" s="51">
        <f t="shared" si="2"/>
        <v>22906</v>
      </c>
      <c r="F292" s="53">
        <f>IFERROR(SUMIF(contas!G:G, B292, contas!B:B),0)</f>
        <v>0</v>
      </c>
      <c r="G292" s="51">
        <f>SUMIFS(previsoes!D:D, previsoes!E:E, "&lt;=" &amp; EOMONTH(DATEVALUE(B292&amp;"-01"),0), previsoes!F:F, "&gt;=" &amp; DATEVALUE(B292&amp;"-01"))</f>
        <v>0</v>
      </c>
      <c r="H292" s="52">
        <f t="shared" si="5"/>
        <v>160491.8958</v>
      </c>
      <c r="I292" s="49">
        <f t="shared" si="3"/>
        <v>22906</v>
      </c>
      <c r="J292" s="52">
        <f>IF(A292&lt;&gt;"",SUMIFS(metas!N:N, metas!E:E, "&gt;=" &amp; DATEVALUE(B292&amp;"-01"),metas!D:D, "&lt;=" &amp; DATEVALUE(B292&amp;"-01")),"")</f>
        <v>3182.813937</v>
      </c>
      <c r="K292" s="49">
        <f t="shared" si="4"/>
        <v>19723.18606</v>
      </c>
      <c r="L292" s="49">
        <f t="shared" si="6"/>
        <v>5103330.487</v>
      </c>
      <c r="M292" s="49">
        <f>IF(A292&lt;&gt;"",IF(COUNTIF(investimento!F:F, B292) &gt; 0, SUM(investimento!B:B)+I292, M291+I292),"")</f>
        <v>6448304.681</v>
      </c>
    </row>
    <row r="293" ht="22.5" customHeight="1">
      <c r="A293" s="47">
        <v>50342.0</v>
      </c>
      <c r="B293" s="48" t="str">
        <f t="shared" si="1"/>
        <v>2037-10</v>
      </c>
      <c r="C293" s="49">
        <f>SUMIF(despesas_recorrentes!C:C, "&gt;="&amp;A293,despesas_recorrentes!B:B) 
+SUMIF(despesas_recorrentes!C:C, "",despesas_recorrentes!B:B)
-despesas_recorrentes!$B$12
+IF(SUMIF(gasto_cartao!E:E,saldo!B293,gasto_cartao!B:B)&gt;despesas_recorrentes!$B$12, SUMIF(gasto_cartao!E:E,saldo!B293,gasto_cartao!B:B),despesas_recorrentes!$B$12)</f>
        <v>34013</v>
      </c>
      <c r="D293" s="51">
        <f>SUM(receitas_recorrentes!B:B)+SUMIF(receitas_pontuais!E:E,B293,receitas_pontuais!B:B)</f>
        <v>56919</v>
      </c>
      <c r="E293" s="51">
        <f t="shared" si="2"/>
        <v>22906</v>
      </c>
      <c r="F293" s="53">
        <f>IFERROR(SUMIF(contas!G:G, B293, contas!B:B),0)</f>
        <v>0</v>
      </c>
      <c r="G293" s="51">
        <f>SUMIFS(previsoes!D:D, previsoes!E:E, "&lt;=" &amp; EOMONTH(DATEVALUE(B293&amp;"-01"),0), previsoes!F:F, "&gt;=" &amp; DATEVALUE(B293&amp;"-01"))</f>
        <v>0</v>
      </c>
      <c r="H293" s="52">
        <f t="shared" si="5"/>
        <v>160491.8958</v>
      </c>
      <c r="I293" s="49">
        <f t="shared" si="3"/>
        <v>22906</v>
      </c>
      <c r="J293" s="52">
        <f>IF(A293&lt;&gt;"",SUMIFS(metas!N:N, metas!E:E, "&gt;=" &amp; DATEVALUE(B293&amp;"-01"),metas!D:D, "&lt;=" &amp; DATEVALUE(B293&amp;"-01")),"")</f>
        <v>3182.813937</v>
      </c>
      <c r="K293" s="49">
        <f t="shared" si="4"/>
        <v>19723.18606</v>
      </c>
      <c r="L293" s="49">
        <f t="shared" si="6"/>
        <v>5123053.673</v>
      </c>
      <c r="M293" s="49">
        <f>IF(A293&lt;&gt;"",IF(COUNTIF(investimento!F:F, B293) &gt; 0, SUM(investimento!B:B)+I293, M292+I293),"")</f>
        <v>6471210.681</v>
      </c>
    </row>
    <row r="294" ht="22.5" customHeight="1">
      <c r="A294" s="47">
        <v>50343.0</v>
      </c>
      <c r="B294" s="48" t="str">
        <f t="shared" si="1"/>
        <v>2037-10</v>
      </c>
      <c r="C294" s="49">
        <f>SUMIF(despesas_recorrentes!C:C, "&gt;="&amp;A294,despesas_recorrentes!B:B) 
+SUMIF(despesas_recorrentes!C:C, "",despesas_recorrentes!B:B)
-despesas_recorrentes!$B$12
+IF(SUMIF(gasto_cartao!E:E,saldo!B294,gasto_cartao!B:B)&gt;despesas_recorrentes!$B$12, SUMIF(gasto_cartao!E:E,saldo!B294,gasto_cartao!B:B),despesas_recorrentes!$B$12)</f>
        <v>34013</v>
      </c>
      <c r="D294" s="51">
        <f>SUM(receitas_recorrentes!B:B)+SUMIF(receitas_pontuais!E:E,B294,receitas_pontuais!B:B)</f>
        <v>56919</v>
      </c>
      <c r="E294" s="51">
        <f t="shared" si="2"/>
        <v>22906</v>
      </c>
      <c r="F294" s="53">
        <f>IFERROR(SUMIF(contas!G:G, B294, contas!B:B),0)</f>
        <v>0</v>
      </c>
      <c r="G294" s="51">
        <f>SUMIFS(previsoes!D:D, previsoes!E:E, "&lt;=" &amp; EOMONTH(DATEVALUE(B294&amp;"-01"),0), previsoes!F:F, "&gt;=" &amp; DATEVALUE(B294&amp;"-01"))</f>
        <v>0</v>
      </c>
      <c r="H294" s="52">
        <f t="shared" si="5"/>
        <v>160491.8958</v>
      </c>
      <c r="I294" s="49">
        <f t="shared" si="3"/>
        <v>22906</v>
      </c>
      <c r="J294" s="52">
        <f>IF(A294&lt;&gt;"",SUMIFS(metas!N:N, metas!E:E, "&gt;=" &amp; DATEVALUE(B294&amp;"-01"),metas!D:D, "&lt;=" &amp; DATEVALUE(B294&amp;"-01")),"")</f>
        <v>3182.813937</v>
      </c>
      <c r="K294" s="49">
        <f t="shared" si="4"/>
        <v>19723.18606</v>
      </c>
      <c r="L294" s="49">
        <f t="shared" si="6"/>
        <v>5142776.859</v>
      </c>
      <c r="M294" s="49">
        <f>IF(A294&lt;&gt;"",IF(COUNTIF(investimento!F:F, B294) &gt; 0, SUM(investimento!B:B)+I294, M293+I294),"")</f>
        <v>6494116.681</v>
      </c>
    </row>
    <row r="295" ht="22.5" customHeight="1">
      <c r="A295" s="47">
        <v>50344.0</v>
      </c>
      <c r="B295" s="48" t="str">
        <f t="shared" si="1"/>
        <v>2037-10</v>
      </c>
      <c r="C295" s="49">
        <f>SUMIF(despesas_recorrentes!C:C, "&gt;="&amp;A295,despesas_recorrentes!B:B) 
+SUMIF(despesas_recorrentes!C:C, "",despesas_recorrentes!B:B)
-despesas_recorrentes!$B$12
+IF(SUMIF(gasto_cartao!E:E,saldo!B295,gasto_cartao!B:B)&gt;despesas_recorrentes!$B$12, SUMIF(gasto_cartao!E:E,saldo!B295,gasto_cartao!B:B),despesas_recorrentes!$B$12)</f>
        <v>34013</v>
      </c>
      <c r="D295" s="51">
        <f>SUM(receitas_recorrentes!B:B)+SUMIF(receitas_pontuais!E:E,B295,receitas_pontuais!B:B)</f>
        <v>56919</v>
      </c>
      <c r="E295" s="51">
        <f t="shared" si="2"/>
        <v>22906</v>
      </c>
      <c r="F295" s="53">
        <f>IFERROR(SUMIF(contas!G:G, B295, contas!B:B),0)</f>
        <v>0</v>
      </c>
      <c r="G295" s="51">
        <f>SUMIFS(previsoes!D:D, previsoes!E:E, "&lt;=" &amp; EOMONTH(DATEVALUE(B295&amp;"-01"),0), previsoes!F:F, "&gt;=" &amp; DATEVALUE(B295&amp;"-01"))</f>
        <v>0</v>
      </c>
      <c r="H295" s="52">
        <f t="shared" si="5"/>
        <v>160491.8958</v>
      </c>
      <c r="I295" s="49">
        <f t="shared" si="3"/>
        <v>22906</v>
      </c>
      <c r="J295" s="52">
        <f>IF(A295&lt;&gt;"",SUMIFS(metas!N:N, metas!E:E, "&gt;=" &amp; DATEVALUE(B295&amp;"-01"),metas!D:D, "&lt;=" &amp; DATEVALUE(B295&amp;"-01")),"")</f>
        <v>3182.813937</v>
      </c>
      <c r="K295" s="49">
        <f t="shared" si="4"/>
        <v>19723.18606</v>
      </c>
      <c r="L295" s="49">
        <f t="shared" si="6"/>
        <v>5162500.045</v>
      </c>
      <c r="M295" s="49">
        <f>IF(A295&lt;&gt;"",IF(COUNTIF(investimento!F:F, B295) &gt; 0, SUM(investimento!B:B)+I295, M294+I295),"")</f>
        <v>6517022.681</v>
      </c>
    </row>
    <row r="296" ht="22.5" customHeight="1">
      <c r="A296" s="47">
        <v>50345.0</v>
      </c>
      <c r="B296" s="48" t="str">
        <f t="shared" si="1"/>
        <v>2037-11</v>
      </c>
      <c r="C296" s="49">
        <f>SUMIF(despesas_recorrentes!C:C, "&gt;="&amp;A296,despesas_recorrentes!B:B) 
+SUMIF(despesas_recorrentes!C:C, "",despesas_recorrentes!B:B)
-despesas_recorrentes!$B$12
+IF(SUMIF(gasto_cartao!E:E,saldo!B296,gasto_cartao!B:B)&gt;despesas_recorrentes!$B$12, SUMIF(gasto_cartao!E:E,saldo!B296,gasto_cartao!B:B),despesas_recorrentes!$B$12)</f>
        <v>34013</v>
      </c>
      <c r="D296" s="51">
        <f>SUM(receitas_recorrentes!B:B)+SUMIF(receitas_pontuais!E:E,B296,receitas_pontuais!B:B)</f>
        <v>56919</v>
      </c>
      <c r="E296" s="51">
        <f t="shared" si="2"/>
        <v>22906</v>
      </c>
      <c r="F296" s="53">
        <f>IFERROR(SUMIF(contas!G:G, B296, contas!B:B),0)</f>
        <v>0</v>
      </c>
      <c r="G296" s="51">
        <f>SUMIFS(previsoes!D:D, previsoes!E:E, "&lt;=" &amp; EOMONTH(DATEVALUE(B296&amp;"-01"),0), previsoes!F:F, "&gt;=" &amp; DATEVALUE(B296&amp;"-01"))</f>
        <v>0</v>
      </c>
      <c r="H296" s="52">
        <f t="shared" si="5"/>
        <v>160491.8958</v>
      </c>
      <c r="I296" s="49">
        <f t="shared" si="3"/>
        <v>22906</v>
      </c>
      <c r="J296" s="52">
        <f>IF(A296&lt;&gt;"",SUMIFS(metas!N:N, metas!E:E, "&gt;=" &amp; DATEVALUE(B296&amp;"-01"),metas!D:D, "&lt;=" &amp; DATEVALUE(B296&amp;"-01")),"")</f>
        <v>3182.813937</v>
      </c>
      <c r="K296" s="49">
        <f t="shared" si="4"/>
        <v>19723.18606</v>
      </c>
      <c r="L296" s="49">
        <f t="shared" si="6"/>
        <v>5182223.231</v>
      </c>
      <c r="M296" s="49">
        <f>IF(A296&lt;&gt;"",IF(COUNTIF(investimento!F:F, B296) &gt; 0, SUM(investimento!B:B)+I296, M295+I296),"")</f>
        <v>6539928.681</v>
      </c>
    </row>
    <row r="297" ht="22.5" customHeight="1">
      <c r="A297" s="47">
        <v>50346.0</v>
      </c>
      <c r="B297" s="48" t="str">
        <f t="shared" si="1"/>
        <v>2037-11</v>
      </c>
      <c r="C297" s="49">
        <f>SUMIF(despesas_recorrentes!C:C, "&gt;="&amp;A297,despesas_recorrentes!B:B) 
+SUMIF(despesas_recorrentes!C:C, "",despesas_recorrentes!B:B)
-despesas_recorrentes!$B$12
+IF(SUMIF(gasto_cartao!E:E,saldo!B297,gasto_cartao!B:B)&gt;despesas_recorrentes!$B$12, SUMIF(gasto_cartao!E:E,saldo!B297,gasto_cartao!B:B),despesas_recorrentes!$B$12)</f>
        <v>34013</v>
      </c>
      <c r="D297" s="51">
        <f>SUM(receitas_recorrentes!B:B)+SUMIF(receitas_pontuais!E:E,B297,receitas_pontuais!B:B)</f>
        <v>56919</v>
      </c>
      <c r="E297" s="51">
        <f t="shared" si="2"/>
        <v>22906</v>
      </c>
      <c r="F297" s="53">
        <f>IFERROR(SUMIF(contas!G:G, B297, contas!B:B),0)</f>
        <v>0</v>
      </c>
      <c r="G297" s="51">
        <f>SUMIFS(previsoes!D:D, previsoes!E:E, "&lt;=" &amp; EOMONTH(DATEVALUE(B297&amp;"-01"),0), previsoes!F:F, "&gt;=" &amp; DATEVALUE(B297&amp;"-01"))</f>
        <v>0</v>
      </c>
      <c r="H297" s="52">
        <f t="shared" si="5"/>
        <v>160491.8958</v>
      </c>
      <c r="I297" s="49">
        <f t="shared" si="3"/>
        <v>22906</v>
      </c>
      <c r="J297" s="52">
        <f>IF(A297&lt;&gt;"",SUMIFS(metas!N:N, metas!E:E, "&gt;=" &amp; DATEVALUE(B297&amp;"-01"),metas!D:D, "&lt;=" &amp; DATEVALUE(B297&amp;"-01")),"")</f>
        <v>3182.813937</v>
      </c>
      <c r="K297" s="49">
        <f t="shared" si="4"/>
        <v>19723.18606</v>
      </c>
      <c r="L297" s="49">
        <f t="shared" si="6"/>
        <v>5201946.417</v>
      </c>
      <c r="M297" s="49">
        <f>IF(A297&lt;&gt;"",IF(COUNTIF(investimento!F:F, B297) &gt; 0, SUM(investimento!B:B)+I297, M296+I297),"")</f>
        <v>6562834.681</v>
      </c>
    </row>
    <row r="298" ht="22.5" customHeight="1">
      <c r="A298" s="47">
        <v>50347.0</v>
      </c>
      <c r="B298" s="48" t="str">
        <f t="shared" si="1"/>
        <v>2037-11</v>
      </c>
      <c r="C298" s="49">
        <f>SUMIF(despesas_recorrentes!C:C, "&gt;="&amp;A298,despesas_recorrentes!B:B) 
+SUMIF(despesas_recorrentes!C:C, "",despesas_recorrentes!B:B)
-despesas_recorrentes!$B$12
+IF(SUMIF(gasto_cartao!E:E,saldo!B298,gasto_cartao!B:B)&gt;despesas_recorrentes!$B$12, SUMIF(gasto_cartao!E:E,saldo!B298,gasto_cartao!B:B),despesas_recorrentes!$B$12)</f>
        <v>34013</v>
      </c>
      <c r="D298" s="51">
        <f>SUM(receitas_recorrentes!B:B)+SUMIF(receitas_pontuais!E:E,B298,receitas_pontuais!B:B)</f>
        <v>56919</v>
      </c>
      <c r="E298" s="51">
        <f t="shared" si="2"/>
        <v>22906</v>
      </c>
      <c r="F298" s="53">
        <f>IFERROR(SUMIF(contas!G:G, B298, contas!B:B),0)</f>
        <v>0</v>
      </c>
      <c r="G298" s="51">
        <f>SUMIFS(previsoes!D:D, previsoes!E:E, "&lt;=" &amp; EOMONTH(DATEVALUE(B298&amp;"-01"),0), previsoes!F:F, "&gt;=" &amp; DATEVALUE(B298&amp;"-01"))</f>
        <v>0</v>
      </c>
      <c r="H298" s="52">
        <f t="shared" si="5"/>
        <v>160491.8958</v>
      </c>
      <c r="I298" s="49">
        <f t="shared" si="3"/>
        <v>22906</v>
      </c>
      <c r="J298" s="52">
        <f>IF(A298&lt;&gt;"",SUMIFS(metas!N:N, metas!E:E, "&gt;=" &amp; DATEVALUE(B298&amp;"-01"),metas!D:D, "&lt;=" &amp; DATEVALUE(B298&amp;"-01")),"")</f>
        <v>3182.813937</v>
      </c>
      <c r="K298" s="49">
        <f t="shared" si="4"/>
        <v>19723.18606</v>
      </c>
      <c r="L298" s="49">
        <f t="shared" si="6"/>
        <v>5221669.603</v>
      </c>
      <c r="M298" s="49">
        <f>IF(A298&lt;&gt;"",IF(COUNTIF(investimento!F:F, B298) &gt; 0, SUM(investimento!B:B)+I298, M297+I298),"")</f>
        <v>6585740.681</v>
      </c>
    </row>
    <row r="299" ht="22.5" customHeight="1">
      <c r="A299" s="47">
        <v>50348.0</v>
      </c>
      <c r="B299" s="48" t="str">
        <f t="shared" si="1"/>
        <v>2037-11</v>
      </c>
      <c r="C299" s="49">
        <f>SUMIF(despesas_recorrentes!C:C, "&gt;="&amp;A299,despesas_recorrentes!B:B) 
+SUMIF(despesas_recorrentes!C:C, "",despesas_recorrentes!B:B)
-despesas_recorrentes!$B$12
+IF(SUMIF(gasto_cartao!E:E,saldo!B299,gasto_cartao!B:B)&gt;despesas_recorrentes!$B$12, SUMIF(gasto_cartao!E:E,saldo!B299,gasto_cartao!B:B),despesas_recorrentes!$B$12)</f>
        <v>34013</v>
      </c>
      <c r="D299" s="51">
        <f>SUM(receitas_recorrentes!B:B)+SUMIF(receitas_pontuais!E:E,B299,receitas_pontuais!B:B)</f>
        <v>56919</v>
      </c>
      <c r="E299" s="51">
        <f t="shared" si="2"/>
        <v>22906</v>
      </c>
      <c r="F299" s="53">
        <f>IFERROR(SUMIF(contas!G:G, B299, contas!B:B),0)</f>
        <v>0</v>
      </c>
      <c r="G299" s="51">
        <f>SUMIFS(previsoes!D:D, previsoes!E:E, "&lt;=" &amp; EOMONTH(DATEVALUE(B299&amp;"-01"),0), previsoes!F:F, "&gt;=" &amp; DATEVALUE(B299&amp;"-01"))</f>
        <v>0</v>
      </c>
      <c r="H299" s="52">
        <f t="shared" si="5"/>
        <v>160491.8958</v>
      </c>
      <c r="I299" s="49">
        <f t="shared" si="3"/>
        <v>22906</v>
      </c>
      <c r="J299" s="52">
        <f>IF(A299&lt;&gt;"",SUMIFS(metas!N:N, metas!E:E, "&gt;=" &amp; DATEVALUE(B299&amp;"-01"),metas!D:D, "&lt;=" &amp; DATEVALUE(B299&amp;"-01")),"")</f>
        <v>3182.813937</v>
      </c>
      <c r="K299" s="49">
        <f t="shared" si="4"/>
        <v>19723.18606</v>
      </c>
      <c r="L299" s="49">
        <f t="shared" si="6"/>
        <v>5241392.789</v>
      </c>
      <c r="M299" s="49">
        <f>IF(A299&lt;&gt;"",IF(COUNTIF(investimento!F:F, B299) &gt; 0, SUM(investimento!B:B)+I299, M298+I299),"")</f>
        <v>6608646.681</v>
      </c>
    </row>
    <row r="300" ht="22.5" customHeight="1">
      <c r="A300" s="47">
        <v>50349.0</v>
      </c>
      <c r="B300" s="48" t="str">
        <f t="shared" si="1"/>
        <v>2037-11</v>
      </c>
      <c r="C300" s="49">
        <f>SUMIF(despesas_recorrentes!C:C, "&gt;="&amp;A300,despesas_recorrentes!B:B) 
+SUMIF(despesas_recorrentes!C:C, "",despesas_recorrentes!B:B)
-despesas_recorrentes!$B$12
+IF(SUMIF(gasto_cartao!E:E,saldo!B300,gasto_cartao!B:B)&gt;despesas_recorrentes!$B$12, SUMIF(gasto_cartao!E:E,saldo!B300,gasto_cartao!B:B),despesas_recorrentes!$B$12)</f>
        <v>34013</v>
      </c>
      <c r="D300" s="51">
        <f>SUM(receitas_recorrentes!B:B)+SUMIF(receitas_pontuais!E:E,B300,receitas_pontuais!B:B)</f>
        <v>56919</v>
      </c>
      <c r="E300" s="51">
        <f t="shared" si="2"/>
        <v>22906</v>
      </c>
      <c r="F300" s="53">
        <f>IFERROR(SUMIF(contas!G:G, B300, contas!B:B),0)</f>
        <v>0</v>
      </c>
      <c r="G300" s="51">
        <f>SUMIFS(previsoes!D:D, previsoes!E:E, "&lt;=" &amp; EOMONTH(DATEVALUE(B300&amp;"-01"),0), previsoes!F:F, "&gt;=" &amp; DATEVALUE(B300&amp;"-01"))</f>
        <v>0</v>
      </c>
      <c r="H300" s="52">
        <f t="shared" si="5"/>
        <v>160491.8958</v>
      </c>
      <c r="I300" s="49">
        <f t="shared" si="3"/>
        <v>22906</v>
      </c>
      <c r="J300" s="52">
        <f>IF(A300&lt;&gt;"",SUMIFS(metas!N:N, metas!E:E, "&gt;=" &amp; DATEVALUE(B300&amp;"-01"),metas!D:D, "&lt;=" &amp; DATEVALUE(B300&amp;"-01")),"")</f>
        <v>3182.813937</v>
      </c>
      <c r="K300" s="49">
        <f t="shared" si="4"/>
        <v>19723.18606</v>
      </c>
      <c r="L300" s="49">
        <f t="shared" si="6"/>
        <v>5261115.975</v>
      </c>
      <c r="M300" s="49">
        <f>IF(A300&lt;&gt;"",IF(COUNTIF(investimento!F:F, B300) &gt; 0, SUM(investimento!B:B)+I300, M299+I300),"")</f>
        <v>6631552.681</v>
      </c>
    </row>
    <row r="301" ht="22.5" customHeight="1">
      <c r="A301" s="47">
        <v>50350.0</v>
      </c>
      <c r="B301" s="48" t="str">
        <f t="shared" si="1"/>
        <v>2037-11</v>
      </c>
      <c r="C301" s="49">
        <f>SUMIF(despesas_recorrentes!C:C, "&gt;="&amp;A301,despesas_recorrentes!B:B) 
+SUMIF(despesas_recorrentes!C:C, "",despesas_recorrentes!B:B)
-despesas_recorrentes!$B$12
+IF(SUMIF(gasto_cartao!E:E,saldo!B301,gasto_cartao!B:B)&gt;despesas_recorrentes!$B$12, SUMIF(gasto_cartao!E:E,saldo!B301,gasto_cartao!B:B),despesas_recorrentes!$B$12)</f>
        <v>34013</v>
      </c>
      <c r="D301" s="51">
        <f>SUM(receitas_recorrentes!B:B)+SUMIF(receitas_pontuais!E:E,B301,receitas_pontuais!B:B)</f>
        <v>56919</v>
      </c>
      <c r="E301" s="51">
        <f t="shared" si="2"/>
        <v>22906</v>
      </c>
      <c r="F301" s="53">
        <f>IFERROR(SUMIF(contas!G:G, B301, contas!B:B),0)</f>
        <v>0</v>
      </c>
      <c r="G301" s="51">
        <f>SUMIFS(previsoes!D:D, previsoes!E:E, "&lt;=" &amp; EOMONTH(DATEVALUE(B301&amp;"-01"),0), previsoes!F:F, "&gt;=" &amp; DATEVALUE(B301&amp;"-01"))</f>
        <v>0</v>
      </c>
      <c r="H301" s="52">
        <f t="shared" si="5"/>
        <v>160491.8958</v>
      </c>
      <c r="I301" s="49">
        <f t="shared" si="3"/>
        <v>22906</v>
      </c>
      <c r="J301" s="52">
        <f>IF(A301&lt;&gt;"",SUMIFS(metas!N:N, metas!E:E, "&gt;=" &amp; DATEVALUE(B301&amp;"-01"),metas!D:D, "&lt;=" &amp; DATEVALUE(B301&amp;"-01")),"")</f>
        <v>3182.813937</v>
      </c>
      <c r="K301" s="49">
        <f t="shared" si="4"/>
        <v>19723.18606</v>
      </c>
      <c r="L301" s="49">
        <f t="shared" si="6"/>
        <v>5280839.161</v>
      </c>
      <c r="M301" s="49">
        <f>IF(A301&lt;&gt;"",IF(COUNTIF(investimento!F:F, B301) &gt; 0, SUM(investimento!B:B)+I301, M300+I301),"")</f>
        <v>6654458.681</v>
      </c>
    </row>
    <row r="302" ht="22.5" customHeight="1">
      <c r="A302" s="47">
        <v>50351.0</v>
      </c>
      <c r="B302" s="48" t="str">
        <f t="shared" si="1"/>
        <v>2037-11</v>
      </c>
      <c r="C302" s="49">
        <f>SUMIF(despesas_recorrentes!C:C, "&gt;="&amp;A302,despesas_recorrentes!B:B) 
+SUMIF(despesas_recorrentes!C:C, "",despesas_recorrentes!B:B)
-despesas_recorrentes!$B$12
+IF(SUMIF(gasto_cartao!E:E,saldo!B302,gasto_cartao!B:B)&gt;despesas_recorrentes!$B$12, SUMIF(gasto_cartao!E:E,saldo!B302,gasto_cartao!B:B),despesas_recorrentes!$B$12)</f>
        <v>34013</v>
      </c>
      <c r="D302" s="51">
        <f>SUM(receitas_recorrentes!B:B)+SUMIF(receitas_pontuais!E:E,B302,receitas_pontuais!B:B)</f>
        <v>56919</v>
      </c>
      <c r="E302" s="51">
        <f t="shared" si="2"/>
        <v>22906</v>
      </c>
      <c r="F302" s="53">
        <f>IFERROR(SUMIF(contas!G:G, B302, contas!B:B),0)</f>
        <v>0</v>
      </c>
      <c r="G302" s="51">
        <f>SUMIFS(previsoes!D:D, previsoes!E:E, "&lt;=" &amp; EOMONTH(DATEVALUE(B302&amp;"-01"),0), previsoes!F:F, "&gt;=" &amp; DATEVALUE(B302&amp;"-01"))</f>
        <v>0</v>
      </c>
      <c r="H302" s="52">
        <f t="shared" si="5"/>
        <v>160491.8958</v>
      </c>
      <c r="I302" s="49">
        <f t="shared" si="3"/>
        <v>22906</v>
      </c>
      <c r="J302" s="52">
        <f>IF(A302&lt;&gt;"",SUMIFS(metas!N:N, metas!E:E, "&gt;=" &amp; DATEVALUE(B302&amp;"-01"),metas!D:D, "&lt;=" &amp; DATEVALUE(B302&amp;"-01")),"")</f>
        <v>3182.813937</v>
      </c>
      <c r="K302" s="49">
        <f t="shared" si="4"/>
        <v>19723.18606</v>
      </c>
      <c r="L302" s="49">
        <f t="shared" si="6"/>
        <v>5300562.347</v>
      </c>
      <c r="M302" s="49">
        <f>IF(A302&lt;&gt;"",IF(COUNTIF(investimento!F:F, B302) &gt; 0, SUM(investimento!B:B)+I302, M301+I302),"")</f>
        <v>6677364.681</v>
      </c>
    </row>
    <row r="303" ht="22.5" customHeight="1">
      <c r="A303" s="47">
        <v>50352.0</v>
      </c>
      <c r="B303" s="48" t="str">
        <f t="shared" si="1"/>
        <v>2037-11</v>
      </c>
      <c r="C303" s="49">
        <f>SUMIF(despesas_recorrentes!C:C, "&gt;="&amp;A303,despesas_recorrentes!B:B) 
+SUMIF(despesas_recorrentes!C:C, "",despesas_recorrentes!B:B)
-despesas_recorrentes!$B$12
+IF(SUMIF(gasto_cartao!E:E,saldo!B303,gasto_cartao!B:B)&gt;despesas_recorrentes!$B$12, SUMIF(gasto_cartao!E:E,saldo!B303,gasto_cartao!B:B),despesas_recorrentes!$B$12)</f>
        <v>34013</v>
      </c>
      <c r="D303" s="51">
        <f>SUM(receitas_recorrentes!B:B)+SUMIF(receitas_pontuais!E:E,B303,receitas_pontuais!B:B)</f>
        <v>56919</v>
      </c>
      <c r="E303" s="51">
        <f t="shared" si="2"/>
        <v>22906</v>
      </c>
      <c r="F303" s="53">
        <f>IFERROR(SUMIF(contas!G:G, B303, contas!B:B),0)</f>
        <v>0</v>
      </c>
      <c r="G303" s="51">
        <f>SUMIFS(previsoes!D:D, previsoes!E:E, "&lt;=" &amp; EOMONTH(DATEVALUE(B303&amp;"-01"),0), previsoes!F:F, "&gt;=" &amp; DATEVALUE(B303&amp;"-01"))</f>
        <v>0</v>
      </c>
      <c r="H303" s="52">
        <f t="shared" si="5"/>
        <v>160491.8958</v>
      </c>
      <c r="I303" s="49">
        <f t="shared" si="3"/>
        <v>22906</v>
      </c>
      <c r="J303" s="52">
        <f>IF(A303&lt;&gt;"",SUMIFS(metas!N:N, metas!E:E, "&gt;=" &amp; DATEVALUE(B303&amp;"-01"),metas!D:D, "&lt;=" &amp; DATEVALUE(B303&amp;"-01")),"")</f>
        <v>3182.813937</v>
      </c>
      <c r="K303" s="49">
        <f t="shared" si="4"/>
        <v>19723.18606</v>
      </c>
      <c r="L303" s="49">
        <f t="shared" si="6"/>
        <v>5320285.534</v>
      </c>
      <c r="M303" s="49">
        <f>IF(A303&lt;&gt;"",IF(COUNTIF(investimento!F:F, B303) &gt; 0, SUM(investimento!B:B)+I303, M302+I303),"")</f>
        <v>6700270.681</v>
      </c>
    </row>
    <row r="304" ht="22.5" customHeight="1">
      <c r="A304" s="47">
        <v>50353.0</v>
      </c>
      <c r="B304" s="48" t="str">
        <f t="shared" si="1"/>
        <v>2037-11</v>
      </c>
      <c r="C304" s="49">
        <f>SUMIF(despesas_recorrentes!C:C, "&gt;="&amp;A304,despesas_recorrentes!B:B) 
+SUMIF(despesas_recorrentes!C:C, "",despesas_recorrentes!B:B)
-despesas_recorrentes!$B$12
+IF(SUMIF(gasto_cartao!E:E,saldo!B304,gasto_cartao!B:B)&gt;despesas_recorrentes!$B$12, SUMIF(gasto_cartao!E:E,saldo!B304,gasto_cartao!B:B),despesas_recorrentes!$B$12)</f>
        <v>34013</v>
      </c>
      <c r="D304" s="51">
        <f>SUM(receitas_recorrentes!B:B)+SUMIF(receitas_pontuais!E:E,B304,receitas_pontuais!B:B)</f>
        <v>56919</v>
      </c>
      <c r="E304" s="51">
        <f t="shared" si="2"/>
        <v>22906</v>
      </c>
      <c r="F304" s="53">
        <f>IFERROR(SUMIF(contas!G:G, B304, contas!B:B),0)</f>
        <v>0</v>
      </c>
      <c r="G304" s="51">
        <f>SUMIFS(previsoes!D:D, previsoes!E:E, "&lt;=" &amp; EOMONTH(DATEVALUE(B304&amp;"-01"),0), previsoes!F:F, "&gt;=" &amp; DATEVALUE(B304&amp;"-01"))</f>
        <v>0</v>
      </c>
      <c r="H304" s="52">
        <f t="shared" si="5"/>
        <v>160491.8958</v>
      </c>
      <c r="I304" s="49">
        <f t="shared" si="3"/>
        <v>22906</v>
      </c>
      <c r="J304" s="52">
        <f>IF(A304&lt;&gt;"",SUMIFS(metas!N:N, metas!E:E, "&gt;=" &amp; DATEVALUE(B304&amp;"-01"),metas!D:D, "&lt;=" &amp; DATEVALUE(B304&amp;"-01")),"")</f>
        <v>3182.813937</v>
      </c>
      <c r="K304" s="49">
        <f t="shared" si="4"/>
        <v>19723.18606</v>
      </c>
      <c r="L304" s="49">
        <f t="shared" si="6"/>
        <v>5340008.72</v>
      </c>
      <c r="M304" s="49">
        <f>IF(A304&lt;&gt;"",IF(COUNTIF(investimento!F:F, B304) &gt; 0, SUM(investimento!B:B)+I304, M303+I304),"")</f>
        <v>6723176.681</v>
      </c>
    </row>
    <row r="305" ht="22.5" customHeight="1">
      <c r="A305" s="47">
        <v>50354.0</v>
      </c>
      <c r="B305" s="48" t="str">
        <f t="shared" si="1"/>
        <v>2037-11</v>
      </c>
      <c r="C305" s="49">
        <f>SUMIF(despesas_recorrentes!C:C, "&gt;="&amp;A305,despesas_recorrentes!B:B) 
+SUMIF(despesas_recorrentes!C:C, "",despesas_recorrentes!B:B)
-despesas_recorrentes!$B$12
+IF(SUMIF(gasto_cartao!E:E,saldo!B305,gasto_cartao!B:B)&gt;despesas_recorrentes!$B$12, SUMIF(gasto_cartao!E:E,saldo!B305,gasto_cartao!B:B),despesas_recorrentes!$B$12)</f>
        <v>34013</v>
      </c>
      <c r="D305" s="51">
        <f>SUM(receitas_recorrentes!B:B)+SUMIF(receitas_pontuais!E:E,B305,receitas_pontuais!B:B)</f>
        <v>56919</v>
      </c>
      <c r="E305" s="51">
        <f t="shared" si="2"/>
        <v>22906</v>
      </c>
      <c r="F305" s="53">
        <f>IFERROR(SUMIF(contas!G:G, B305, contas!B:B),0)</f>
        <v>0</v>
      </c>
      <c r="G305" s="51">
        <f>SUMIFS(previsoes!D:D, previsoes!E:E, "&lt;=" &amp; EOMONTH(DATEVALUE(B305&amp;"-01"),0), previsoes!F:F, "&gt;=" &amp; DATEVALUE(B305&amp;"-01"))</f>
        <v>0</v>
      </c>
      <c r="H305" s="52">
        <f t="shared" si="5"/>
        <v>160491.8958</v>
      </c>
      <c r="I305" s="49">
        <f t="shared" si="3"/>
        <v>22906</v>
      </c>
      <c r="J305" s="52">
        <f>IF(A305&lt;&gt;"",SUMIFS(metas!N:N, metas!E:E, "&gt;=" &amp; DATEVALUE(B305&amp;"-01"),metas!D:D, "&lt;=" &amp; DATEVALUE(B305&amp;"-01")),"")</f>
        <v>3182.813937</v>
      </c>
      <c r="K305" s="49">
        <f t="shared" si="4"/>
        <v>19723.18606</v>
      </c>
      <c r="L305" s="49">
        <f t="shared" si="6"/>
        <v>5359731.906</v>
      </c>
      <c r="M305" s="49">
        <f>IF(A305&lt;&gt;"",IF(COUNTIF(investimento!F:F, B305) &gt; 0, SUM(investimento!B:B)+I305, M304+I305),"")</f>
        <v>6746082.681</v>
      </c>
    </row>
    <row r="306" ht="22.5" customHeight="1">
      <c r="A306" s="47">
        <v>50355.0</v>
      </c>
      <c r="B306" s="48" t="str">
        <f t="shared" si="1"/>
        <v>2037-11</v>
      </c>
      <c r="C306" s="49">
        <f>SUMIF(despesas_recorrentes!C:C, "&gt;="&amp;A306,despesas_recorrentes!B:B) 
+SUMIF(despesas_recorrentes!C:C, "",despesas_recorrentes!B:B)
-despesas_recorrentes!$B$12
+IF(SUMIF(gasto_cartao!E:E,saldo!B306,gasto_cartao!B:B)&gt;despesas_recorrentes!$B$12, SUMIF(gasto_cartao!E:E,saldo!B306,gasto_cartao!B:B),despesas_recorrentes!$B$12)</f>
        <v>34013</v>
      </c>
      <c r="D306" s="51">
        <f>SUM(receitas_recorrentes!B:B)+SUMIF(receitas_pontuais!E:E,B306,receitas_pontuais!B:B)</f>
        <v>56919</v>
      </c>
      <c r="E306" s="51">
        <f t="shared" si="2"/>
        <v>22906</v>
      </c>
      <c r="F306" s="53">
        <f>IFERROR(SUMIF(contas!G:G, B306, contas!B:B),0)</f>
        <v>0</v>
      </c>
      <c r="G306" s="51">
        <f>SUMIFS(previsoes!D:D, previsoes!E:E, "&lt;=" &amp; EOMONTH(DATEVALUE(B306&amp;"-01"),0), previsoes!F:F, "&gt;=" &amp; DATEVALUE(B306&amp;"-01"))</f>
        <v>0</v>
      </c>
      <c r="H306" s="52">
        <f t="shared" si="5"/>
        <v>160491.8958</v>
      </c>
      <c r="I306" s="49">
        <f t="shared" si="3"/>
        <v>22906</v>
      </c>
      <c r="J306" s="52">
        <f>IF(A306&lt;&gt;"",SUMIFS(metas!N:N, metas!E:E, "&gt;=" &amp; DATEVALUE(B306&amp;"-01"),metas!D:D, "&lt;=" &amp; DATEVALUE(B306&amp;"-01")),"")</f>
        <v>3182.813937</v>
      </c>
      <c r="K306" s="49">
        <f t="shared" si="4"/>
        <v>19723.18606</v>
      </c>
      <c r="L306" s="49">
        <f t="shared" si="6"/>
        <v>5379455.092</v>
      </c>
      <c r="M306" s="49">
        <f>IF(A306&lt;&gt;"",IF(COUNTIF(investimento!F:F, B306) &gt; 0, SUM(investimento!B:B)+I306, M305+I306),"")</f>
        <v>6768988.681</v>
      </c>
    </row>
    <row r="307" ht="22.5" customHeight="1">
      <c r="A307" s="47">
        <v>50356.0</v>
      </c>
      <c r="B307" s="48" t="str">
        <f t="shared" si="1"/>
        <v>2037-11</v>
      </c>
      <c r="C307" s="49">
        <f>SUMIF(despesas_recorrentes!C:C, "&gt;="&amp;A307,despesas_recorrentes!B:B) 
+SUMIF(despesas_recorrentes!C:C, "",despesas_recorrentes!B:B)
-despesas_recorrentes!$B$12
+IF(SUMIF(gasto_cartao!E:E,saldo!B307,gasto_cartao!B:B)&gt;despesas_recorrentes!$B$12, SUMIF(gasto_cartao!E:E,saldo!B307,gasto_cartao!B:B),despesas_recorrentes!$B$12)</f>
        <v>34013</v>
      </c>
      <c r="D307" s="51">
        <f>SUM(receitas_recorrentes!B:B)+SUMIF(receitas_pontuais!E:E,B307,receitas_pontuais!B:B)</f>
        <v>56919</v>
      </c>
      <c r="E307" s="51">
        <f t="shared" si="2"/>
        <v>22906</v>
      </c>
      <c r="F307" s="53">
        <f>IFERROR(SUMIF(contas!G:G, B307, contas!B:B),0)</f>
        <v>0</v>
      </c>
      <c r="G307" s="51">
        <f>SUMIFS(previsoes!D:D, previsoes!E:E, "&lt;=" &amp; EOMONTH(DATEVALUE(B307&amp;"-01"),0), previsoes!F:F, "&gt;=" &amp; DATEVALUE(B307&amp;"-01"))</f>
        <v>0</v>
      </c>
      <c r="H307" s="52">
        <f t="shared" si="5"/>
        <v>160491.8958</v>
      </c>
      <c r="I307" s="49">
        <f t="shared" si="3"/>
        <v>22906</v>
      </c>
      <c r="J307" s="52">
        <f>IF(A307&lt;&gt;"",SUMIFS(metas!N:N, metas!E:E, "&gt;=" &amp; DATEVALUE(B307&amp;"-01"),metas!D:D, "&lt;=" &amp; DATEVALUE(B307&amp;"-01")),"")</f>
        <v>3182.813937</v>
      </c>
      <c r="K307" s="49">
        <f t="shared" si="4"/>
        <v>19723.18606</v>
      </c>
      <c r="L307" s="49">
        <f t="shared" si="6"/>
        <v>5399178.278</v>
      </c>
      <c r="M307" s="49">
        <f>IF(A307&lt;&gt;"",IF(COUNTIF(investimento!F:F, B307) &gt; 0, SUM(investimento!B:B)+I307, M306+I307),"")</f>
        <v>6791894.681</v>
      </c>
    </row>
    <row r="308" ht="22.5" customHeight="1">
      <c r="A308" s="47">
        <v>50357.0</v>
      </c>
      <c r="B308" s="48" t="str">
        <f t="shared" si="1"/>
        <v>2037-11</v>
      </c>
      <c r="C308" s="49">
        <f>SUMIF(despesas_recorrentes!C:C, "&gt;="&amp;A308,despesas_recorrentes!B:B) 
+SUMIF(despesas_recorrentes!C:C, "",despesas_recorrentes!B:B)
-despesas_recorrentes!$B$12
+IF(SUMIF(gasto_cartao!E:E,saldo!B308,gasto_cartao!B:B)&gt;despesas_recorrentes!$B$12, SUMIF(gasto_cartao!E:E,saldo!B308,gasto_cartao!B:B),despesas_recorrentes!$B$12)</f>
        <v>34013</v>
      </c>
      <c r="D308" s="51">
        <f>SUM(receitas_recorrentes!B:B)+SUMIF(receitas_pontuais!E:E,B308,receitas_pontuais!B:B)</f>
        <v>56919</v>
      </c>
      <c r="E308" s="51">
        <f t="shared" si="2"/>
        <v>22906</v>
      </c>
      <c r="F308" s="53">
        <f>IFERROR(SUMIF(contas!G:G, B308, contas!B:B),0)</f>
        <v>0</v>
      </c>
      <c r="G308" s="51">
        <f>SUMIFS(previsoes!D:D, previsoes!E:E, "&lt;=" &amp; EOMONTH(DATEVALUE(B308&amp;"-01"),0), previsoes!F:F, "&gt;=" &amp; DATEVALUE(B308&amp;"-01"))</f>
        <v>0</v>
      </c>
      <c r="H308" s="52">
        <f t="shared" si="5"/>
        <v>160491.8958</v>
      </c>
      <c r="I308" s="49">
        <f t="shared" si="3"/>
        <v>22906</v>
      </c>
      <c r="J308" s="52">
        <f>IF(A308&lt;&gt;"",SUMIFS(metas!N:N, metas!E:E, "&gt;=" &amp; DATEVALUE(B308&amp;"-01"),metas!D:D, "&lt;=" &amp; DATEVALUE(B308&amp;"-01")),"")</f>
        <v>3182.813937</v>
      </c>
      <c r="K308" s="49">
        <f t="shared" si="4"/>
        <v>19723.18606</v>
      </c>
      <c r="L308" s="49">
        <f t="shared" si="6"/>
        <v>5418901.464</v>
      </c>
      <c r="M308" s="49">
        <f>IF(A308&lt;&gt;"",IF(COUNTIF(investimento!F:F, B308) &gt; 0, SUM(investimento!B:B)+I308, M307+I308),"")</f>
        <v>6814800.681</v>
      </c>
    </row>
    <row r="309" ht="22.5" customHeight="1">
      <c r="A309" s="47">
        <v>50358.0</v>
      </c>
      <c r="B309" s="48" t="str">
        <f t="shared" si="1"/>
        <v>2037-11</v>
      </c>
      <c r="C309" s="49">
        <f>SUMIF(despesas_recorrentes!C:C, "&gt;="&amp;A309,despesas_recorrentes!B:B) 
+SUMIF(despesas_recorrentes!C:C, "",despesas_recorrentes!B:B)
-despesas_recorrentes!$B$12
+IF(SUMIF(gasto_cartao!E:E,saldo!B309,gasto_cartao!B:B)&gt;despesas_recorrentes!$B$12, SUMIF(gasto_cartao!E:E,saldo!B309,gasto_cartao!B:B),despesas_recorrentes!$B$12)</f>
        <v>34013</v>
      </c>
      <c r="D309" s="51">
        <f>SUM(receitas_recorrentes!B:B)+SUMIF(receitas_pontuais!E:E,B309,receitas_pontuais!B:B)</f>
        <v>56919</v>
      </c>
      <c r="E309" s="51">
        <f t="shared" si="2"/>
        <v>22906</v>
      </c>
      <c r="F309" s="53">
        <f>IFERROR(SUMIF(contas!G:G, B309, contas!B:B),0)</f>
        <v>0</v>
      </c>
      <c r="G309" s="51">
        <f>SUMIFS(previsoes!D:D, previsoes!E:E, "&lt;=" &amp; EOMONTH(DATEVALUE(B309&amp;"-01"),0), previsoes!F:F, "&gt;=" &amp; DATEVALUE(B309&amp;"-01"))</f>
        <v>0</v>
      </c>
      <c r="H309" s="52">
        <f t="shared" si="5"/>
        <v>160491.8958</v>
      </c>
      <c r="I309" s="49">
        <f t="shared" si="3"/>
        <v>22906</v>
      </c>
      <c r="J309" s="52">
        <f>IF(A309&lt;&gt;"",SUMIFS(metas!N:N, metas!E:E, "&gt;=" &amp; DATEVALUE(B309&amp;"-01"),metas!D:D, "&lt;=" &amp; DATEVALUE(B309&amp;"-01")),"")</f>
        <v>3182.813937</v>
      </c>
      <c r="K309" s="49">
        <f t="shared" si="4"/>
        <v>19723.18606</v>
      </c>
      <c r="L309" s="49">
        <f t="shared" si="6"/>
        <v>5438624.65</v>
      </c>
      <c r="M309" s="49">
        <f>IF(A309&lt;&gt;"",IF(COUNTIF(investimento!F:F, B309) &gt; 0, SUM(investimento!B:B)+I309, M308+I309),"")</f>
        <v>6837706.681</v>
      </c>
    </row>
    <row r="310" ht="22.5" customHeight="1">
      <c r="A310" s="47">
        <v>50359.0</v>
      </c>
      <c r="B310" s="48" t="str">
        <f t="shared" si="1"/>
        <v>2037-11</v>
      </c>
      <c r="C310" s="49">
        <f>SUMIF(despesas_recorrentes!C:C, "&gt;="&amp;A310,despesas_recorrentes!B:B) 
+SUMIF(despesas_recorrentes!C:C, "",despesas_recorrentes!B:B)
-despesas_recorrentes!$B$12
+IF(SUMIF(gasto_cartao!E:E,saldo!B310,gasto_cartao!B:B)&gt;despesas_recorrentes!$B$12, SUMIF(gasto_cartao!E:E,saldo!B310,gasto_cartao!B:B),despesas_recorrentes!$B$12)</f>
        <v>34013</v>
      </c>
      <c r="D310" s="51">
        <f>SUM(receitas_recorrentes!B:B)+SUMIF(receitas_pontuais!E:E,B310,receitas_pontuais!B:B)</f>
        <v>56919</v>
      </c>
      <c r="E310" s="51">
        <f t="shared" si="2"/>
        <v>22906</v>
      </c>
      <c r="F310" s="53">
        <f>IFERROR(SUMIF(contas!G:G, B310, contas!B:B),0)</f>
        <v>0</v>
      </c>
      <c r="G310" s="51">
        <f>SUMIFS(previsoes!D:D, previsoes!E:E, "&lt;=" &amp; EOMONTH(DATEVALUE(B310&amp;"-01"),0), previsoes!F:F, "&gt;=" &amp; DATEVALUE(B310&amp;"-01"))</f>
        <v>0</v>
      </c>
      <c r="H310" s="52">
        <f t="shared" si="5"/>
        <v>160491.8958</v>
      </c>
      <c r="I310" s="49">
        <f t="shared" si="3"/>
        <v>22906</v>
      </c>
      <c r="J310" s="52">
        <f>IF(A310&lt;&gt;"",SUMIFS(metas!N:N, metas!E:E, "&gt;=" &amp; DATEVALUE(B310&amp;"-01"),metas!D:D, "&lt;=" &amp; DATEVALUE(B310&amp;"-01")),"")</f>
        <v>3182.813937</v>
      </c>
      <c r="K310" s="49">
        <f t="shared" si="4"/>
        <v>19723.18606</v>
      </c>
      <c r="L310" s="49">
        <f t="shared" si="6"/>
        <v>5458347.836</v>
      </c>
      <c r="M310" s="49">
        <f>IF(A310&lt;&gt;"",IF(COUNTIF(investimento!F:F, B310) &gt; 0, SUM(investimento!B:B)+I310, M309+I310),"")</f>
        <v>6860612.681</v>
      </c>
    </row>
    <row r="311" ht="22.5" customHeight="1">
      <c r="A311" s="47">
        <v>50360.0</v>
      </c>
      <c r="B311" s="48" t="str">
        <f t="shared" si="1"/>
        <v>2037-11</v>
      </c>
      <c r="C311" s="49">
        <f>SUMIF(despesas_recorrentes!C:C, "&gt;="&amp;A311,despesas_recorrentes!B:B) 
+SUMIF(despesas_recorrentes!C:C, "",despesas_recorrentes!B:B)
-despesas_recorrentes!$B$12
+IF(SUMIF(gasto_cartao!E:E,saldo!B311,gasto_cartao!B:B)&gt;despesas_recorrentes!$B$12, SUMIF(gasto_cartao!E:E,saldo!B311,gasto_cartao!B:B),despesas_recorrentes!$B$12)</f>
        <v>34013</v>
      </c>
      <c r="D311" s="51">
        <f>SUM(receitas_recorrentes!B:B)+SUMIF(receitas_pontuais!E:E,B311,receitas_pontuais!B:B)</f>
        <v>56919</v>
      </c>
      <c r="E311" s="51">
        <f t="shared" si="2"/>
        <v>22906</v>
      </c>
      <c r="F311" s="53">
        <f>IFERROR(SUMIF(contas!G:G, B311, contas!B:B),0)</f>
        <v>0</v>
      </c>
      <c r="G311" s="51">
        <f>SUMIFS(previsoes!D:D, previsoes!E:E, "&lt;=" &amp; EOMONTH(DATEVALUE(B311&amp;"-01"),0), previsoes!F:F, "&gt;=" &amp; DATEVALUE(B311&amp;"-01"))</f>
        <v>0</v>
      </c>
      <c r="H311" s="52">
        <f t="shared" si="5"/>
        <v>160491.8958</v>
      </c>
      <c r="I311" s="49">
        <f t="shared" si="3"/>
        <v>22906</v>
      </c>
      <c r="J311" s="52">
        <f>IF(A311&lt;&gt;"",SUMIFS(metas!N:N, metas!E:E, "&gt;=" &amp; DATEVALUE(B311&amp;"-01"),metas!D:D, "&lt;=" &amp; DATEVALUE(B311&amp;"-01")),"")</f>
        <v>3182.813937</v>
      </c>
      <c r="K311" s="49">
        <f t="shared" si="4"/>
        <v>19723.18606</v>
      </c>
      <c r="L311" s="49">
        <f t="shared" si="6"/>
        <v>5478071.022</v>
      </c>
      <c r="M311" s="49">
        <f>IF(A311&lt;&gt;"",IF(COUNTIF(investimento!F:F, B311) &gt; 0, SUM(investimento!B:B)+I311, M310+I311),"")</f>
        <v>6883518.681</v>
      </c>
    </row>
    <row r="312" ht="22.5" customHeight="1">
      <c r="A312" s="47">
        <v>50361.0</v>
      </c>
      <c r="B312" s="48" t="str">
        <f t="shared" si="1"/>
        <v>2037-11</v>
      </c>
      <c r="C312" s="49">
        <f>SUMIF(despesas_recorrentes!C:C, "&gt;="&amp;A312,despesas_recorrentes!B:B) 
+SUMIF(despesas_recorrentes!C:C, "",despesas_recorrentes!B:B)
-despesas_recorrentes!$B$12
+IF(SUMIF(gasto_cartao!E:E,saldo!B312,gasto_cartao!B:B)&gt;despesas_recorrentes!$B$12, SUMIF(gasto_cartao!E:E,saldo!B312,gasto_cartao!B:B),despesas_recorrentes!$B$12)</f>
        <v>34013</v>
      </c>
      <c r="D312" s="51">
        <f>SUM(receitas_recorrentes!B:B)+SUMIF(receitas_pontuais!E:E,B312,receitas_pontuais!B:B)</f>
        <v>56919</v>
      </c>
      <c r="E312" s="51">
        <f t="shared" si="2"/>
        <v>22906</v>
      </c>
      <c r="F312" s="53">
        <f>IFERROR(SUMIF(contas!G:G, B312, contas!B:B),0)</f>
        <v>0</v>
      </c>
      <c r="G312" s="51">
        <f>SUMIFS(previsoes!D:D, previsoes!E:E, "&lt;=" &amp; EOMONTH(DATEVALUE(B312&amp;"-01"),0), previsoes!F:F, "&gt;=" &amp; DATEVALUE(B312&amp;"-01"))</f>
        <v>0</v>
      </c>
      <c r="H312" s="52">
        <f t="shared" si="5"/>
        <v>160491.8958</v>
      </c>
      <c r="I312" s="49">
        <f t="shared" si="3"/>
        <v>22906</v>
      </c>
      <c r="J312" s="52">
        <f>IF(A312&lt;&gt;"",SUMIFS(metas!N:N, metas!E:E, "&gt;=" &amp; DATEVALUE(B312&amp;"-01"),metas!D:D, "&lt;=" &amp; DATEVALUE(B312&amp;"-01")),"")</f>
        <v>3182.813937</v>
      </c>
      <c r="K312" s="49">
        <f t="shared" si="4"/>
        <v>19723.18606</v>
      </c>
      <c r="L312" s="49">
        <f t="shared" si="6"/>
        <v>5497794.208</v>
      </c>
      <c r="M312" s="49">
        <f>IF(A312&lt;&gt;"",IF(COUNTIF(investimento!F:F, B312) &gt; 0, SUM(investimento!B:B)+I312, M311+I312),"")</f>
        <v>6906424.681</v>
      </c>
    </row>
    <row r="313" ht="22.5" customHeight="1">
      <c r="A313" s="47">
        <v>50362.0</v>
      </c>
      <c r="B313" s="48" t="str">
        <f t="shared" si="1"/>
        <v>2037-11</v>
      </c>
      <c r="C313" s="49">
        <f>SUMIF(despesas_recorrentes!C:C, "&gt;="&amp;A313,despesas_recorrentes!B:B) 
+SUMIF(despesas_recorrentes!C:C, "",despesas_recorrentes!B:B)
-despesas_recorrentes!$B$12
+IF(SUMIF(gasto_cartao!E:E,saldo!B313,gasto_cartao!B:B)&gt;despesas_recorrentes!$B$12, SUMIF(gasto_cartao!E:E,saldo!B313,gasto_cartao!B:B),despesas_recorrentes!$B$12)</f>
        <v>34013</v>
      </c>
      <c r="D313" s="51">
        <f>SUM(receitas_recorrentes!B:B)+SUMIF(receitas_pontuais!E:E,B313,receitas_pontuais!B:B)</f>
        <v>56919</v>
      </c>
      <c r="E313" s="51">
        <f t="shared" si="2"/>
        <v>22906</v>
      </c>
      <c r="F313" s="53">
        <f>IFERROR(SUMIF(contas!G:G, B313, contas!B:B),0)</f>
        <v>0</v>
      </c>
      <c r="G313" s="51">
        <f>SUMIFS(previsoes!D:D, previsoes!E:E, "&lt;=" &amp; EOMONTH(DATEVALUE(B313&amp;"-01"),0), previsoes!F:F, "&gt;=" &amp; DATEVALUE(B313&amp;"-01"))</f>
        <v>0</v>
      </c>
      <c r="H313" s="52">
        <f t="shared" si="5"/>
        <v>160491.8958</v>
      </c>
      <c r="I313" s="49">
        <f t="shared" si="3"/>
        <v>22906</v>
      </c>
      <c r="J313" s="52">
        <f>IF(A313&lt;&gt;"",SUMIFS(metas!N:N, metas!E:E, "&gt;=" &amp; DATEVALUE(B313&amp;"-01"),metas!D:D, "&lt;=" &amp; DATEVALUE(B313&amp;"-01")),"")</f>
        <v>3182.813937</v>
      </c>
      <c r="K313" s="49">
        <f t="shared" si="4"/>
        <v>19723.18606</v>
      </c>
      <c r="L313" s="49">
        <f t="shared" si="6"/>
        <v>5517517.394</v>
      </c>
      <c r="M313" s="49">
        <f>IF(A313&lt;&gt;"",IF(COUNTIF(investimento!F:F, B313) &gt; 0, SUM(investimento!B:B)+I313, M312+I313),"")</f>
        <v>6929330.681</v>
      </c>
    </row>
    <row r="314" ht="22.5" customHeight="1">
      <c r="A314" s="47">
        <v>50363.0</v>
      </c>
      <c r="B314" s="48" t="str">
        <f t="shared" si="1"/>
        <v>2037-11</v>
      </c>
      <c r="C314" s="49">
        <f>SUMIF(despesas_recorrentes!C:C, "&gt;="&amp;A314,despesas_recorrentes!B:B) 
+SUMIF(despesas_recorrentes!C:C, "",despesas_recorrentes!B:B)
-despesas_recorrentes!$B$12
+IF(SUMIF(gasto_cartao!E:E,saldo!B314,gasto_cartao!B:B)&gt;despesas_recorrentes!$B$12, SUMIF(gasto_cartao!E:E,saldo!B314,gasto_cartao!B:B),despesas_recorrentes!$B$12)</f>
        <v>34013</v>
      </c>
      <c r="D314" s="51">
        <f>SUM(receitas_recorrentes!B:B)+SUMIF(receitas_pontuais!E:E,B314,receitas_pontuais!B:B)</f>
        <v>56919</v>
      </c>
      <c r="E314" s="51">
        <f t="shared" si="2"/>
        <v>22906</v>
      </c>
      <c r="F314" s="53">
        <f>IFERROR(SUMIF(contas!G:G, B314, contas!B:B),0)</f>
        <v>0</v>
      </c>
      <c r="G314" s="51">
        <f>SUMIFS(previsoes!D:D, previsoes!E:E, "&lt;=" &amp; EOMONTH(DATEVALUE(B314&amp;"-01"),0), previsoes!F:F, "&gt;=" &amp; DATEVALUE(B314&amp;"-01"))</f>
        <v>0</v>
      </c>
      <c r="H314" s="52">
        <f t="shared" si="5"/>
        <v>160491.8958</v>
      </c>
      <c r="I314" s="49">
        <f t="shared" si="3"/>
        <v>22906</v>
      </c>
      <c r="J314" s="52">
        <f>IF(A314&lt;&gt;"",SUMIFS(metas!N:N, metas!E:E, "&gt;=" &amp; DATEVALUE(B314&amp;"-01"),metas!D:D, "&lt;=" &amp; DATEVALUE(B314&amp;"-01")),"")</f>
        <v>3182.813937</v>
      </c>
      <c r="K314" s="49">
        <f t="shared" si="4"/>
        <v>19723.18606</v>
      </c>
      <c r="L314" s="49">
        <f t="shared" si="6"/>
        <v>5537240.58</v>
      </c>
      <c r="M314" s="49">
        <f>IF(A314&lt;&gt;"",IF(COUNTIF(investimento!F:F, B314) &gt; 0, SUM(investimento!B:B)+I314, M313+I314),"")</f>
        <v>6952236.681</v>
      </c>
    </row>
    <row r="315" ht="22.5" customHeight="1">
      <c r="A315" s="47">
        <v>50364.0</v>
      </c>
      <c r="B315" s="48" t="str">
        <f t="shared" si="1"/>
        <v>2037-11</v>
      </c>
      <c r="C315" s="49">
        <f>SUMIF(despesas_recorrentes!C:C, "&gt;="&amp;A315,despesas_recorrentes!B:B) 
+SUMIF(despesas_recorrentes!C:C, "",despesas_recorrentes!B:B)
-despesas_recorrentes!$B$12
+IF(SUMIF(gasto_cartao!E:E,saldo!B315,gasto_cartao!B:B)&gt;despesas_recorrentes!$B$12, SUMIF(gasto_cartao!E:E,saldo!B315,gasto_cartao!B:B),despesas_recorrentes!$B$12)</f>
        <v>34013</v>
      </c>
      <c r="D315" s="51">
        <f>SUM(receitas_recorrentes!B:B)+SUMIF(receitas_pontuais!E:E,B315,receitas_pontuais!B:B)</f>
        <v>56919</v>
      </c>
      <c r="E315" s="51">
        <f t="shared" si="2"/>
        <v>22906</v>
      </c>
      <c r="F315" s="53">
        <f>IFERROR(SUMIF(contas!G:G, B315, contas!B:B),0)</f>
        <v>0</v>
      </c>
      <c r="G315" s="51">
        <f>SUMIFS(previsoes!D:D, previsoes!E:E, "&lt;=" &amp; EOMONTH(DATEVALUE(B315&amp;"-01"),0), previsoes!F:F, "&gt;=" &amp; DATEVALUE(B315&amp;"-01"))</f>
        <v>0</v>
      </c>
      <c r="H315" s="52">
        <f t="shared" si="5"/>
        <v>160491.8958</v>
      </c>
      <c r="I315" s="49">
        <f t="shared" si="3"/>
        <v>22906</v>
      </c>
      <c r="J315" s="52">
        <f>IF(A315&lt;&gt;"",SUMIFS(metas!N:N, metas!E:E, "&gt;=" &amp; DATEVALUE(B315&amp;"-01"),metas!D:D, "&lt;=" &amp; DATEVALUE(B315&amp;"-01")),"")</f>
        <v>3182.813937</v>
      </c>
      <c r="K315" s="49">
        <f t="shared" si="4"/>
        <v>19723.18606</v>
      </c>
      <c r="L315" s="49">
        <f t="shared" si="6"/>
        <v>5556963.766</v>
      </c>
      <c r="M315" s="49">
        <f>IF(A315&lt;&gt;"",IF(COUNTIF(investimento!F:F, B315) &gt; 0, SUM(investimento!B:B)+I315, M314+I315),"")</f>
        <v>6975142.681</v>
      </c>
    </row>
    <row r="316" ht="22.5" customHeight="1">
      <c r="A316" s="47">
        <v>50365.0</v>
      </c>
      <c r="B316" s="48" t="str">
        <f t="shared" si="1"/>
        <v>2037-11</v>
      </c>
      <c r="C316" s="49">
        <f>SUMIF(despesas_recorrentes!C:C, "&gt;="&amp;A316,despesas_recorrentes!B:B) 
+SUMIF(despesas_recorrentes!C:C, "",despesas_recorrentes!B:B)
-despesas_recorrentes!$B$12
+IF(SUMIF(gasto_cartao!E:E,saldo!B316,gasto_cartao!B:B)&gt;despesas_recorrentes!$B$12, SUMIF(gasto_cartao!E:E,saldo!B316,gasto_cartao!B:B),despesas_recorrentes!$B$12)</f>
        <v>34013</v>
      </c>
      <c r="D316" s="51">
        <f>SUM(receitas_recorrentes!B:B)+SUMIF(receitas_pontuais!E:E,B316,receitas_pontuais!B:B)</f>
        <v>56919</v>
      </c>
      <c r="E316" s="51">
        <f t="shared" si="2"/>
        <v>22906</v>
      </c>
      <c r="F316" s="53">
        <f>IFERROR(SUMIF(contas!G:G, B316, contas!B:B),0)</f>
        <v>0</v>
      </c>
      <c r="G316" s="51">
        <f>SUMIFS(previsoes!D:D, previsoes!E:E, "&lt;=" &amp; EOMONTH(DATEVALUE(B316&amp;"-01"),0), previsoes!F:F, "&gt;=" &amp; DATEVALUE(B316&amp;"-01"))</f>
        <v>0</v>
      </c>
      <c r="H316" s="52">
        <f t="shared" si="5"/>
        <v>160491.8958</v>
      </c>
      <c r="I316" s="49">
        <f t="shared" si="3"/>
        <v>22906</v>
      </c>
      <c r="J316" s="52">
        <f>IF(A316&lt;&gt;"",SUMIFS(metas!N:N, metas!E:E, "&gt;=" &amp; DATEVALUE(B316&amp;"-01"),metas!D:D, "&lt;=" &amp; DATEVALUE(B316&amp;"-01")),"")</f>
        <v>3182.813937</v>
      </c>
      <c r="K316" s="49">
        <f t="shared" si="4"/>
        <v>19723.18606</v>
      </c>
      <c r="L316" s="49">
        <f t="shared" si="6"/>
        <v>5576686.952</v>
      </c>
      <c r="M316" s="49">
        <f>IF(A316&lt;&gt;"",IF(COUNTIF(investimento!F:F, B316) &gt; 0, SUM(investimento!B:B)+I316, M315+I316),"")</f>
        <v>6998048.681</v>
      </c>
    </row>
    <row r="317" ht="22.5" customHeight="1">
      <c r="A317" s="47">
        <v>50366.0</v>
      </c>
      <c r="B317" s="48" t="str">
        <f t="shared" si="1"/>
        <v>2037-11</v>
      </c>
      <c r="C317" s="49">
        <f>SUMIF(despesas_recorrentes!C:C, "&gt;="&amp;A317,despesas_recorrentes!B:B) 
+SUMIF(despesas_recorrentes!C:C, "",despesas_recorrentes!B:B)
-despesas_recorrentes!$B$12
+IF(SUMIF(gasto_cartao!E:E,saldo!B317,gasto_cartao!B:B)&gt;despesas_recorrentes!$B$12, SUMIF(gasto_cartao!E:E,saldo!B317,gasto_cartao!B:B),despesas_recorrentes!$B$12)</f>
        <v>34013</v>
      </c>
      <c r="D317" s="51">
        <f>SUM(receitas_recorrentes!B:B)+SUMIF(receitas_pontuais!E:E,B317,receitas_pontuais!B:B)</f>
        <v>56919</v>
      </c>
      <c r="E317" s="51">
        <f t="shared" si="2"/>
        <v>22906</v>
      </c>
      <c r="F317" s="53">
        <f>IFERROR(SUMIF(contas!G:G, B317, contas!B:B),0)</f>
        <v>0</v>
      </c>
      <c r="G317" s="51">
        <f>SUMIFS(previsoes!D:D, previsoes!E:E, "&lt;=" &amp; EOMONTH(DATEVALUE(B317&amp;"-01"),0), previsoes!F:F, "&gt;=" &amp; DATEVALUE(B317&amp;"-01"))</f>
        <v>0</v>
      </c>
      <c r="H317" s="52">
        <f t="shared" si="5"/>
        <v>160491.8958</v>
      </c>
      <c r="I317" s="49">
        <f t="shared" si="3"/>
        <v>22906</v>
      </c>
      <c r="J317" s="52">
        <f>IF(A317&lt;&gt;"",SUMIFS(metas!N:N, metas!E:E, "&gt;=" &amp; DATEVALUE(B317&amp;"-01"),metas!D:D, "&lt;=" &amp; DATEVALUE(B317&amp;"-01")),"")</f>
        <v>3182.813937</v>
      </c>
      <c r="K317" s="49">
        <f t="shared" si="4"/>
        <v>19723.18606</v>
      </c>
      <c r="L317" s="49">
        <f t="shared" si="6"/>
        <v>5596410.138</v>
      </c>
      <c r="M317" s="49">
        <f>IF(A317&lt;&gt;"",IF(COUNTIF(investimento!F:F, B317) &gt; 0, SUM(investimento!B:B)+I317, M316+I317),"")</f>
        <v>7020954.681</v>
      </c>
    </row>
    <row r="318" ht="22.5" customHeight="1">
      <c r="A318" s="47">
        <v>50367.0</v>
      </c>
      <c r="B318" s="48" t="str">
        <f t="shared" si="1"/>
        <v>2037-11</v>
      </c>
      <c r="C318" s="49">
        <f>SUMIF(despesas_recorrentes!C:C, "&gt;="&amp;A318,despesas_recorrentes!B:B) 
+SUMIF(despesas_recorrentes!C:C, "",despesas_recorrentes!B:B)
-despesas_recorrentes!$B$12
+IF(SUMIF(gasto_cartao!E:E,saldo!B318,gasto_cartao!B:B)&gt;despesas_recorrentes!$B$12, SUMIF(gasto_cartao!E:E,saldo!B318,gasto_cartao!B:B),despesas_recorrentes!$B$12)</f>
        <v>34013</v>
      </c>
      <c r="D318" s="51">
        <f>SUM(receitas_recorrentes!B:B)+SUMIF(receitas_pontuais!E:E,B318,receitas_pontuais!B:B)</f>
        <v>56919</v>
      </c>
      <c r="E318" s="51">
        <f t="shared" si="2"/>
        <v>22906</v>
      </c>
      <c r="F318" s="53">
        <f>IFERROR(SUMIF(contas!G:G, B318, contas!B:B),0)</f>
        <v>0</v>
      </c>
      <c r="G318" s="51">
        <f>SUMIFS(previsoes!D:D, previsoes!E:E, "&lt;=" &amp; EOMONTH(DATEVALUE(B318&amp;"-01"),0), previsoes!F:F, "&gt;=" &amp; DATEVALUE(B318&amp;"-01"))</f>
        <v>0</v>
      </c>
      <c r="H318" s="52">
        <f t="shared" si="5"/>
        <v>160491.8958</v>
      </c>
      <c r="I318" s="49">
        <f t="shared" si="3"/>
        <v>22906</v>
      </c>
      <c r="J318" s="52">
        <f>IF(A318&lt;&gt;"",SUMIFS(metas!N:N, metas!E:E, "&gt;=" &amp; DATEVALUE(B318&amp;"-01"),metas!D:D, "&lt;=" &amp; DATEVALUE(B318&amp;"-01")),"")</f>
        <v>3182.813937</v>
      </c>
      <c r="K318" s="49">
        <f t="shared" si="4"/>
        <v>19723.18606</v>
      </c>
      <c r="L318" s="49">
        <f t="shared" si="6"/>
        <v>5616133.324</v>
      </c>
      <c r="M318" s="49">
        <f>IF(A318&lt;&gt;"",IF(COUNTIF(investimento!F:F, B318) &gt; 0, SUM(investimento!B:B)+I318, M317+I318),"")</f>
        <v>7043860.681</v>
      </c>
    </row>
    <row r="319" ht="22.5" customHeight="1">
      <c r="A319" s="47">
        <v>50368.0</v>
      </c>
      <c r="B319" s="48" t="str">
        <f t="shared" si="1"/>
        <v>2037-11</v>
      </c>
      <c r="C319" s="49">
        <f>SUMIF(despesas_recorrentes!C:C, "&gt;="&amp;A319,despesas_recorrentes!B:B) 
+SUMIF(despesas_recorrentes!C:C, "",despesas_recorrentes!B:B)
-despesas_recorrentes!$B$12
+IF(SUMIF(gasto_cartao!E:E,saldo!B319,gasto_cartao!B:B)&gt;despesas_recorrentes!$B$12, SUMIF(gasto_cartao!E:E,saldo!B319,gasto_cartao!B:B),despesas_recorrentes!$B$12)</f>
        <v>34013</v>
      </c>
      <c r="D319" s="51">
        <f>SUM(receitas_recorrentes!B:B)+SUMIF(receitas_pontuais!E:E,B319,receitas_pontuais!B:B)</f>
        <v>56919</v>
      </c>
      <c r="E319" s="51">
        <f t="shared" si="2"/>
        <v>22906</v>
      </c>
      <c r="F319" s="53">
        <f>IFERROR(SUMIF(contas!G:G, B319, contas!B:B),0)</f>
        <v>0</v>
      </c>
      <c r="G319" s="51">
        <f>SUMIFS(previsoes!D:D, previsoes!E:E, "&lt;=" &amp; EOMONTH(DATEVALUE(B319&amp;"-01"),0), previsoes!F:F, "&gt;=" &amp; DATEVALUE(B319&amp;"-01"))</f>
        <v>0</v>
      </c>
      <c r="H319" s="52">
        <f t="shared" si="5"/>
        <v>160491.8958</v>
      </c>
      <c r="I319" s="49">
        <f t="shared" si="3"/>
        <v>22906</v>
      </c>
      <c r="J319" s="52">
        <f>IF(A319&lt;&gt;"",SUMIFS(metas!N:N, metas!E:E, "&gt;=" &amp; DATEVALUE(B319&amp;"-01"),metas!D:D, "&lt;=" &amp; DATEVALUE(B319&amp;"-01")),"")</f>
        <v>3182.813937</v>
      </c>
      <c r="K319" s="49">
        <f t="shared" si="4"/>
        <v>19723.18606</v>
      </c>
      <c r="L319" s="49">
        <f t="shared" si="6"/>
        <v>5635856.511</v>
      </c>
      <c r="M319" s="49">
        <f>IF(A319&lt;&gt;"",IF(COUNTIF(investimento!F:F, B319) &gt; 0, SUM(investimento!B:B)+I319, M318+I319),"")</f>
        <v>7066766.681</v>
      </c>
    </row>
    <row r="320" ht="22.5" customHeight="1">
      <c r="A320" s="47">
        <v>50369.0</v>
      </c>
      <c r="B320" s="48" t="str">
        <f t="shared" si="1"/>
        <v>2037-11</v>
      </c>
      <c r="C320" s="49">
        <f>SUMIF(despesas_recorrentes!C:C, "&gt;="&amp;A320,despesas_recorrentes!B:B) 
+SUMIF(despesas_recorrentes!C:C, "",despesas_recorrentes!B:B)
-despesas_recorrentes!$B$12
+IF(SUMIF(gasto_cartao!E:E,saldo!B320,gasto_cartao!B:B)&gt;despesas_recorrentes!$B$12, SUMIF(gasto_cartao!E:E,saldo!B320,gasto_cartao!B:B),despesas_recorrentes!$B$12)</f>
        <v>34013</v>
      </c>
      <c r="D320" s="51">
        <f>SUM(receitas_recorrentes!B:B)+SUMIF(receitas_pontuais!E:E,B320,receitas_pontuais!B:B)</f>
        <v>56919</v>
      </c>
      <c r="E320" s="51">
        <f t="shared" si="2"/>
        <v>22906</v>
      </c>
      <c r="F320" s="53">
        <f>IFERROR(SUMIF(contas!G:G, B320, contas!B:B),0)</f>
        <v>0</v>
      </c>
      <c r="G320" s="51">
        <f>SUMIFS(previsoes!D:D, previsoes!E:E, "&lt;=" &amp; EOMONTH(DATEVALUE(B320&amp;"-01"),0), previsoes!F:F, "&gt;=" &amp; DATEVALUE(B320&amp;"-01"))</f>
        <v>0</v>
      </c>
      <c r="H320" s="52">
        <f t="shared" si="5"/>
        <v>160491.8958</v>
      </c>
      <c r="I320" s="49">
        <f t="shared" si="3"/>
        <v>22906</v>
      </c>
      <c r="J320" s="52">
        <f>IF(A320&lt;&gt;"",SUMIFS(metas!N:N, metas!E:E, "&gt;=" &amp; DATEVALUE(B320&amp;"-01"),metas!D:D, "&lt;=" &amp; DATEVALUE(B320&amp;"-01")),"")</f>
        <v>3182.813937</v>
      </c>
      <c r="K320" s="49">
        <f t="shared" si="4"/>
        <v>19723.18606</v>
      </c>
      <c r="L320" s="49">
        <f t="shared" si="6"/>
        <v>5655579.697</v>
      </c>
      <c r="M320" s="49">
        <f>IF(A320&lt;&gt;"",IF(COUNTIF(investimento!F:F, B320) &gt; 0, SUM(investimento!B:B)+I320, M319+I320),"")</f>
        <v>7089672.681</v>
      </c>
    </row>
    <row r="321" ht="22.5" customHeight="1">
      <c r="A321" s="47">
        <v>50370.0</v>
      </c>
      <c r="B321" s="48" t="str">
        <f t="shared" si="1"/>
        <v>2037-11</v>
      </c>
      <c r="C321" s="49">
        <f>SUMIF(despesas_recorrentes!C:C, "&gt;="&amp;A321,despesas_recorrentes!B:B) 
+SUMIF(despesas_recorrentes!C:C, "",despesas_recorrentes!B:B)
-despesas_recorrentes!$B$12
+IF(SUMIF(gasto_cartao!E:E,saldo!B321,gasto_cartao!B:B)&gt;despesas_recorrentes!$B$12, SUMIF(gasto_cartao!E:E,saldo!B321,gasto_cartao!B:B),despesas_recorrentes!$B$12)</f>
        <v>34013</v>
      </c>
      <c r="D321" s="51">
        <f>SUM(receitas_recorrentes!B:B)+SUMIF(receitas_pontuais!E:E,B321,receitas_pontuais!B:B)</f>
        <v>56919</v>
      </c>
      <c r="E321" s="51">
        <f t="shared" si="2"/>
        <v>22906</v>
      </c>
      <c r="F321" s="53">
        <f>IFERROR(SUMIF(contas!G:G, B321, contas!B:B),0)</f>
        <v>0</v>
      </c>
      <c r="G321" s="51">
        <f>SUMIFS(previsoes!D:D, previsoes!E:E, "&lt;=" &amp; EOMONTH(DATEVALUE(B321&amp;"-01"),0), previsoes!F:F, "&gt;=" &amp; DATEVALUE(B321&amp;"-01"))</f>
        <v>0</v>
      </c>
      <c r="H321" s="52">
        <f t="shared" si="5"/>
        <v>160491.8958</v>
      </c>
      <c r="I321" s="49">
        <f t="shared" si="3"/>
        <v>22906</v>
      </c>
      <c r="J321" s="52">
        <f>IF(A321&lt;&gt;"",SUMIFS(metas!N:N, metas!E:E, "&gt;=" &amp; DATEVALUE(B321&amp;"-01"),metas!D:D, "&lt;=" &amp; DATEVALUE(B321&amp;"-01")),"")</f>
        <v>3182.813937</v>
      </c>
      <c r="K321" s="49">
        <f t="shared" si="4"/>
        <v>19723.18606</v>
      </c>
      <c r="L321" s="49">
        <f t="shared" si="6"/>
        <v>5675302.883</v>
      </c>
      <c r="M321" s="49">
        <f>IF(A321&lt;&gt;"",IF(COUNTIF(investimento!F:F, B321) &gt; 0, SUM(investimento!B:B)+I321, M320+I321),"")</f>
        <v>7112578.681</v>
      </c>
    </row>
    <row r="322" ht="22.5" customHeight="1">
      <c r="A322" s="47">
        <v>50371.0</v>
      </c>
      <c r="B322" s="48" t="str">
        <f t="shared" si="1"/>
        <v>2037-11</v>
      </c>
      <c r="C322" s="49">
        <f>SUMIF(despesas_recorrentes!C:C, "&gt;="&amp;A322,despesas_recorrentes!B:B) 
+SUMIF(despesas_recorrentes!C:C, "",despesas_recorrentes!B:B)
-despesas_recorrentes!$B$12
+IF(SUMIF(gasto_cartao!E:E,saldo!B322,gasto_cartao!B:B)&gt;despesas_recorrentes!$B$12, SUMIF(gasto_cartao!E:E,saldo!B322,gasto_cartao!B:B),despesas_recorrentes!$B$12)</f>
        <v>34013</v>
      </c>
      <c r="D322" s="51">
        <f>SUM(receitas_recorrentes!B:B)+SUMIF(receitas_pontuais!E:E,B322,receitas_pontuais!B:B)</f>
        <v>56919</v>
      </c>
      <c r="E322" s="51">
        <f t="shared" si="2"/>
        <v>22906</v>
      </c>
      <c r="F322" s="53">
        <f>IFERROR(SUMIF(contas!G:G, B322, contas!B:B),0)</f>
        <v>0</v>
      </c>
      <c r="G322" s="51">
        <f>SUMIFS(previsoes!D:D, previsoes!E:E, "&lt;=" &amp; EOMONTH(DATEVALUE(B322&amp;"-01"),0), previsoes!F:F, "&gt;=" &amp; DATEVALUE(B322&amp;"-01"))</f>
        <v>0</v>
      </c>
      <c r="H322" s="52">
        <f t="shared" si="5"/>
        <v>160491.8958</v>
      </c>
      <c r="I322" s="49">
        <f t="shared" si="3"/>
        <v>22906</v>
      </c>
      <c r="J322" s="52">
        <f>IF(A322&lt;&gt;"",SUMIFS(metas!N:N, metas!E:E, "&gt;=" &amp; DATEVALUE(B322&amp;"-01"),metas!D:D, "&lt;=" &amp; DATEVALUE(B322&amp;"-01")),"")</f>
        <v>3182.813937</v>
      </c>
      <c r="K322" s="49">
        <f t="shared" si="4"/>
        <v>19723.18606</v>
      </c>
      <c r="L322" s="49">
        <f t="shared" si="6"/>
        <v>5695026.069</v>
      </c>
      <c r="M322" s="49">
        <f>IF(A322&lt;&gt;"",IF(COUNTIF(investimento!F:F, B322) &gt; 0, SUM(investimento!B:B)+I322, M321+I322),"")</f>
        <v>7135484.681</v>
      </c>
    </row>
    <row r="323" ht="22.5" customHeight="1">
      <c r="A323" s="47">
        <v>50372.0</v>
      </c>
      <c r="B323" s="48" t="str">
        <f t="shared" si="1"/>
        <v>2037-11</v>
      </c>
      <c r="C323" s="49">
        <f>SUMIF(despesas_recorrentes!C:C, "&gt;="&amp;A323,despesas_recorrentes!B:B) 
+SUMIF(despesas_recorrentes!C:C, "",despesas_recorrentes!B:B)
-despesas_recorrentes!$B$12
+IF(SUMIF(gasto_cartao!E:E,saldo!B323,gasto_cartao!B:B)&gt;despesas_recorrentes!$B$12, SUMIF(gasto_cartao!E:E,saldo!B323,gasto_cartao!B:B),despesas_recorrentes!$B$12)</f>
        <v>34013</v>
      </c>
      <c r="D323" s="51">
        <f>SUM(receitas_recorrentes!B:B)+SUMIF(receitas_pontuais!E:E,B323,receitas_pontuais!B:B)</f>
        <v>56919</v>
      </c>
      <c r="E323" s="51">
        <f t="shared" si="2"/>
        <v>22906</v>
      </c>
      <c r="F323" s="53">
        <f>IFERROR(SUMIF(contas!G:G, B323, contas!B:B),0)</f>
        <v>0</v>
      </c>
      <c r="G323" s="51">
        <f>SUMIFS(previsoes!D:D, previsoes!E:E, "&lt;=" &amp; EOMONTH(DATEVALUE(B323&amp;"-01"),0), previsoes!F:F, "&gt;=" &amp; DATEVALUE(B323&amp;"-01"))</f>
        <v>0</v>
      </c>
      <c r="H323" s="52">
        <f t="shared" si="5"/>
        <v>160491.8958</v>
      </c>
      <c r="I323" s="49">
        <f t="shared" si="3"/>
        <v>22906</v>
      </c>
      <c r="J323" s="52">
        <f>IF(A323&lt;&gt;"",SUMIFS(metas!N:N, metas!E:E, "&gt;=" &amp; DATEVALUE(B323&amp;"-01"),metas!D:D, "&lt;=" &amp; DATEVALUE(B323&amp;"-01")),"")</f>
        <v>3182.813937</v>
      </c>
      <c r="K323" s="49">
        <f t="shared" si="4"/>
        <v>19723.18606</v>
      </c>
      <c r="L323" s="49">
        <f t="shared" si="6"/>
        <v>5714749.255</v>
      </c>
      <c r="M323" s="49">
        <f>IF(A323&lt;&gt;"",IF(COUNTIF(investimento!F:F, B323) &gt; 0, SUM(investimento!B:B)+I323, M322+I323),"")</f>
        <v>7158390.681</v>
      </c>
    </row>
    <row r="324" ht="22.5" customHeight="1">
      <c r="A324" s="47">
        <v>50373.0</v>
      </c>
      <c r="B324" s="48" t="str">
        <f t="shared" si="1"/>
        <v>2037-11</v>
      </c>
      <c r="C324" s="49">
        <f>SUMIF(despesas_recorrentes!C:C, "&gt;="&amp;A324,despesas_recorrentes!B:B) 
+SUMIF(despesas_recorrentes!C:C, "",despesas_recorrentes!B:B)
-despesas_recorrentes!$B$12
+IF(SUMIF(gasto_cartao!E:E,saldo!B324,gasto_cartao!B:B)&gt;despesas_recorrentes!$B$12, SUMIF(gasto_cartao!E:E,saldo!B324,gasto_cartao!B:B),despesas_recorrentes!$B$12)</f>
        <v>34013</v>
      </c>
      <c r="D324" s="51">
        <f>SUM(receitas_recorrentes!B:B)+SUMIF(receitas_pontuais!E:E,B324,receitas_pontuais!B:B)</f>
        <v>56919</v>
      </c>
      <c r="E324" s="51">
        <f t="shared" si="2"/>
        <v>22906</v>
      </c>
      <c r="F324" s="53">
        <f>IFERROR(SUMIF(contas!G:G, B324, contas!B:B),0)</f>
        <v>0</v>
      </c>
      <c r="G324" s="51">
        <f>SUMIFS(previsoes!D:D, previsoes!E:E, "&lt;=" &amp; EOMONTH(DATEVALUE(B324&amp;"-01"),0), previsoes!F:F, "&gt;=" &amp; DATEVALUE(B324&amp;"-01"))</f>
        <v>0</v>
      </c>
      <c r="H324" s="52">
        <f t="shared" si="5"/>
        <v>160491.8958</v>
      </c>
      <c r="I324" s="49">
        <f t="shared" si="3"/>
        <v>22906</v>
      </c>
      <c r="J324" s="52">
        <f>IF(A324&lt;&gt;"",SUMIFS(metas!N:N, metas!E:E, "&gt;=" &amp; DATEVALUE(B324&amp;"-01"),metas!D:D, "&lt;=" &amp; DATEVALUE(B324&amp;"-01")),"")</f>
        <v>3182.813937</v>
      </c>
      <c r="K324" s="49">
        <f t="shared" si="4"/>
        <v>19723.18606</v>
      </c>
      <c r="L324" s="49">
        <f t="shared" si="6"/>
        <v>5734472.441</v>
      </c>
      <c r="M324" s="49">
        <f>IF(A324&lt;&gt;"",IF(COUNTIF(investimento!F:F, B324) &gt; 0, SUM(investimento!B:B)+I324, M323+I324),"")</f>
        <v>7181296.681</v>
      </c>
    </row>
    <row r="325" ht="22.5" customHeight="1">
      <c r="A325" s="47">
        <v>50374.0</v>
      </c>
      <c r="B325" s="48" t="str">
        <f t="shared" si="1"/>
        <v>2037-11</v>
      </c>
      <c r="C325" s="49">
        <f>SUMIF(despesas_recorrentes!C:C, "&gt;="&amp;A325,despesas_recorrentes!B:B) 
+SUMIF(despesas_recorrentes!C:C, "",despesas_recorrentes!B:B)
-despesas_recorrentes!$B$12
+IF(SUMIF(gasto_cartao!E:E,saldo!B325,gasto_cartao!B:B)&gt;despesas_recorrentes!$B$12, SUMIF(gasto_cartao!E:E,saldo!B325,gasto_cartao!B:B),despesas_recorrentes!$B$12)</f>
        <v>34013</v>
      </c>
      <c r="D325" s="51">
        <f>SUM(receitas_recorrentes!B:B)+SUMIF(receitas_pontuais!E:E,B325,receitas_pontuais!B:B)</f>
        <v>56919</v>
      </c>
      <c r="E325" s="51">
        <f t="shared" si="2"/>
        <v>22906</v>
      </c>
      <c r="F325" s="53">
        <f>IFERROR(SUMIF(contas!G:G, B325, contas!B:B),0)</f>
        <v>0</v>
      </c>
      <c r="G325" s="51">
        <f>SUMIFS(previsoes!D:D, previsoes!E:E, "&lt;=" &amp; EOMONTH(DATEVALUE(B325&amp;"-01"),0), previsoes!F:F, "&gt;=" &amp; DATEVALUE(B325&amp;"-01"))</f>
        <v>0</v>
      </c>
      <c r="H325" s="52">
        <f t="shared" si="5"/>
        <v>160491.8958</v>
      </c>
      <c r="I325" s="49">
        <f t="shared" si="3"/>
        <v>22906</v>
      </c>
      <c r="J325" s="52">
        <f>IF(A325&lt;&gt;"",SUMIFS(metas!N:N, metas!E:E, "&gt;=" &amp; DATEVALUE(B325&amp;"-01"),metas!D:D, "&lt;=" &amp; DATEVALUE(B325&amp;"-01")),"")</f>
        <v>3182.813937</v>
      </c>
      <c r="K325" s="49">
        <f t="shared" si="4"/>
        <v>19723.18606</v>
      </c>
      <c r="L325" s="49">
        <f t="shared" si="6"/>
        <v>5754195.627</v>
      </c>
      <c r="M325" s="49">
        <f>IF(A325&lt;&gt;"",IF(COUNTIF(investimento!F:F, B325) &gt; 0, SUM(investimento!B:B)+I325, M324+I325),"")</f>
        <v>7204202.681</v>
      </c>
    </row>
    <row r="326" ht="22.5" customHeight="1">
      <c r="A326" s="47">
        <v>50375.0</v>
      </c>
      <c r="B326" s="48" t="str">
        <f t="shared" si="1"/>
        <v>2037-12</v>
      </c>
      <c r="C326" s="49">
        <f>SUMIF(despesas_recorrentes!C:C, "&gt;="&amp;A326,despesas_recorrentes!B:B) 
+SUMIF(despesas_recorrentes!C:C, "",despesas_recorrentes!B:B)
-despesas_recorrentes!$B$12
+IF(SUMIF(gasto_cartao!E:E,saldo!B326,gasto_cartao!B:B)&gt;despesas_recorrentes!$B$12, SUMIF(gasto_cartao!E:E,saldo!B326,gasto_cartao!B:B),despesas_recorrentes!$B$12)</f>
        <v>34013</v>
      </c>
      <c r="D326" s="51">
        <f>SUM(receitas_recorrentes!B:B)+SUMIF(receitas_pontuais!E:E,B326,receitas_pontuais!B:B)</f>
        <v>56919</v>
      </c>
      <c r="E326" s="51">
        <f t="shared" si="2"/>
        <v>22906</v>
      </c>
      <c r="F326" s="53">
        <f>IFERROR(SUMIF(contas!G:G, B326, contas!B:B),0)</f>
        <v>0</v>
      </c>
      <c r="G326" s="51">
        <f>SUMIFS(previsoes!D:D, previsoes!E:E, "&lt;=" &amp; EOMONTH(DATEVALUE(B326&amp;"-01"),0), previsoes!F:F, "&gt;=" &amp; DATEVALUE(B326&amp;"-01"))</f>
        <v>0</v>
      </c>
      <c r="H326" s="52">
        <f t="shared" si="5"/>
        <v>160491.8958</v>
      </c>
      <c r="I326" s="49">
        <f t="shared" si="3"/>
        <v>22906</v>
      </c>
      <c r="J326" s="52">
        <f>IF(A326&lt;&gt;"",SUMIFS(metas!N:N, metas!E:E, "&gt;=" &amp; DATEVALUE(B326&amp;"-01"),metas!D:D, "&lt;=" &amp; DATEVALUE(B326&amp;"-01")),"")</f>
        <v>3182.813937</v>
      </c>
      <c r="K326" s="49">
        <f t="shared" si="4"/>
        <v>19723.18606</v>
      </c>
      <c r="L326" s="49">
        <f t="shared" si="6"/>
        <v>5773918.813</v>
      </c>
      <c r="M326" s="49">
        <f>IF(A326&lt;&gt;"",IF(COUNTIF(investimento!F:F, B326) &gt; 0, SUM(investimento!B:B)+I326, M325+I326),"")</f>
        <v>7227108.681</v>
      </c>
    </row>
    <row r="327" ht="22.5" customHeight="1">
      <c r="A327" s="47">
        <v>50376.0</v>
      </c>
      <c r="B327" s="48" t="str">
        <f t="shared" si="1"/>
        <v>2037-12</v>
      </c>
      <c r="C327" s="49">
        <f>SUMIF(despesas_recorrentes!C:C, "&gt;="&amp;A327,despesas_recorrentes!B:B) 
+SUMIF(despesas_recorrentes!C:C, "",despesas_recorrentes!B:B)
-despesas_recorrentes!$B$12
+IF(SUMIF(gasto_cartao!E:E,saldo!B327,gasto_cartao!B:B)&gt;despesas_recorrentes!$B$12, SUMIF(gasto_cartao!E:E,saldo!B327,gasto_cartao!B:B),despesas_recorrentes!$B$12)</f>
        <v>34013</v>
      </c>
      <c r="D327" s="51">
        <f>SUM(receitas_recorrentes!B:B)+SUMIF(receitas_pontuais!E:E,B327,receitas_pontuais!B:B)</f>
        <v>56919</v>
      </c>
      <c r="E327" s="51">
        <f t="shared" si="2"/>
        <v>22906</v>
      </c>
      <c r="F327" s="53">
        <f>IFERROR(SUMIF(contas!G:G, B327, contas!B:B),0)</f>
        <v>0</v>
      </c>
      <c r="G327" s="51">
        <f>SUMIFS(previsoes!D:D, previsoes!E:E, "&lt;=" &amp; EOMONTH(DATEVALUE(B327&amp;"-01"),0), previsoes!F:F, "&gt;=" &amp; DATEVALUE(B327&amp;"-01"))</f>
        <v>0</v>
      </c>
      <c r="H327" s="52">
        <f t="shared" si="5"/>
        <v>160491.8958</v>
      </c>
      <c r="I327" s="49">
        <f t="shared" si="3"/>
        <v>22906</v>
      </c>
      <c r="J327" s="52">
        <f>IF(A327&lt;&gt;"",SUMIFS(metas!N:N, metas!E:E, "&gt;=" &amp; DATEVALUE(B327&amp;"-01"),metas!D:D, "&lt;=" &amp; DATEVALUE(B327&amp;"-01")),"")</f>
        <v>3182.813937</v>
      </c>
      <c r="K327" s="49">
        <f t="shared" si="4"/>
        <v>19723.18606</v>
      </c>
      <c r="L327" s="49">
        <f t="shared" si="6"/>
        <v>5793641.999</v>
      </c>
      <c r="M327" s="49">
        <f>IF(A327&lt;&gt;"",IF(COUNTIF(investimento!F:F, B327) &gt; 0, SUM(investimento!B:B)+I327, M326+I327),"")</f>
        <v>7250014.681</v>
      </c>
    </row>
    <row r="328" ht="22.5" customHeight="1">
      <c r="A328" s="47">
        <v>50377.0</v>
      </c>
      <c r="B328" s="48" t="str">
        <f t="shared" si="1"/>
        <v>2037-12</v>
      </c>
      <c r="C328" s="49">
        <f>SUMIF(despesas_recorrentes!C:C, "&gt;="&amp;A328,despesas_recorrentes!B:B) 
+SUMIF(despesas_recorrentes!C:C, "",despesas_recorrentes!B:B)
-despesas_recorrentes!$B$12
+IF(SUMIF(gasto_cartao!E:E,saldo!B328,gasto_cartao!B:B)&gt;despesas_recorrentes!$B$12, SUMIF(gasto_cartao!E:E,saldo!B328,gasto_cartao!B:B),despesas_recorrentes!$B$12)</f>
        <v>34013</v>
      </c>
      <c r="D328" s="51">
        <f>SUM(receitas_recorrentes!B:B)+SUMIF(receitas_pontuais!E:E,B328,receitas_pontuais!B:B)</f>
        <v>56919</v>
      </c>
      <c r="E328" s="51">
        <f t="shared" si="2"/>
        <v>22906</v>
      </c>
      <c r="F328" s="53">
        <f>IFERROR(SUMIF(contas!G:G, B328, contas!B:B),0)</f>
        <v>0</v>
      </c>
      <c r="G328" s="51">
        <f>SUMIFS(previsoes!D:D, previsoes!E:E, "&lt;=" &amp; EOMONTH(DATEVALUE(B328&amp;"-01"),0), previsoes!F:F, "&gt;=" &amp; DATEVALUE(B328&amp;"-01"))</f>
        <v>0</v>
      </c>
      <c r="H328" s="52">
        <f t="shared" si="5"/>
        <v>160491.8958</v>
      </c>
      <c r="I328" s="49">
        <f t="shared" si="3"/>
        <v>22906</v>
      </c>
      <c r="J328" s="52">
        <f>IF(A328&lt;&gt;"",SUMIFS(metas!N:N, metas!E:E, "&gt;=" &amp; DATEVALUE(B328&amp;"-01"),metas!D:D, "&lt;=" &amp; DATEVALUE(B328&amp;"-01")),"")</f>
        <v>3182.813937</v>
      </c>
      <c r="K328" s="49">
        <f t="shared" si="4"/>
        <v>19723.18606</v>
      </c>
      <c r="L328" s="49">
        <f t="shared" si="6"/>
        <v>5813365.185</v>
      </c>
      <c r="M328" s="49">
        <f>IF(A328&lt;&gt;"",IF(COUNTIF(investimento!F:F, B328) &gt; 0, SUM(investimento!B:B)+I328, M327+I328),"")</f>
        <v>7272920.681</v>
      </c>
    </row>
    <row r="329" ht="22.5" customHeight="1">
      <c r="A329" s="47">
        <v>50378.0</v>
      </c>
      <c r="B329" s="48" t="str">
        <f t="shared" si="1"/>
        <v>2037-12</v>
      </c>
      <c r="C329" s="49">
        <f>SUMIF(despesas_recorrentes!C:C, "&gt;="&amp;A329,despesas_recorrentes!B:B) 
+SUMIF(despesas_recorrentes!C:C, "",despesas_recorrentes!B:B)
-despesas_recorrentes!$B$12
+IF(SUMIF(gasto_cartao!E:E,saldo!B329,gasto_cartao!B:B)&gt;despesas_recorrentes!$B$12, SUMIF(gasto_cartao!E:E,saldo!B329,gasto_cartao!B:B),despesas_recorrentes!$B$12)</f>
        <v>34013</v>
      </c>
      <c r="D329" s="51">
        <f>SUM(receitas_recorrentes!B:B)+SUMIF(receitas_pontuais!E:E,B329,receitas_pontuais!B:B)</f>
        <v>56919</v>
      </c>
      <c r="E329" s="51">
        <f t="shared" si="2"/>
        <v>22906</v>
      </c>
      <c r="F329" s="53">
        <f>IFERROR(SUMIF(contas!G:G, B329, contas!B:B),0)</f>
        <v>0</v>
      </c>
      <c r="G329" s="51">
        <f>SUMIFS(previsoes!D:D, previsoes!E:E, "&lt;=" &amp; EOMONTH(DATEVALUE(B329&amp;"-01"),0), previsoes!F:F, "&gt;=" &amp; DATEVALUE(B329&amp;"-01"))</f>
        <v>0</v>
      </c>
      <c r="H329" s="52">
        <f t="shared" si="5"/>
        <v>160491.8958</v>
      </c>
      <c r="I329" s="49">
        <f t="shared" si="3"/>
        <v>22906</v>
      </c>
      <c r="J329" s="52">
        <f>IF(A329&lt;&gt;"",SUMIFS(metas!N:N, metas!E:E, "&gt;=" &amp; DATEVALUE(B329&amp;"-01"),metas!D:D, "&lt;=" &amp; DATEVALUE(B329&amp;"-01")),"")</f>
        <v>3182.813937</v>
      </c>
      <c r="K329" s="49">
        <f t="shared" si="4"/>
        <v>19723.18606</v>
      </c>
      <c r="L329" s="49">
        <f t="shared" si="6"/>
        <v>5833088.371</v>
      </c>
      <c r="M329" s="49">
        <f>IF(A329&lt;&gt;"",IF(COUNTIF(investimento!F:F, B329) &gt; 0, SUM(investimento!B:B)+I329, M328+I329),"")</f>
        <v>7295826.681</v>
      </c>
    </row>
    <row r="330" ht="22.5" customHeight="1">
      <c r="A330" s="47">
        <v>50379.0</v>
      </c>
      <c r="B330" s="48" t="str">
        <f t="shared" si="1"/>
        <v>2037-12</v>
      </c>
      <c r="C330" s="49">
        <f>SUMIF(despesas_recorrentes!C:C, "&gt;="&amp;A330,despesas_recorrentes!B:B) 
+SUMIF(despesas_recorrentes!C:C, "",despesas_recorrentes!B:B)
-despesas_recorrentes!$B$12
+IF(SUMIF(gasto_cartao!E:E,saldo!B330,gasto_cartao!B:B)&gt;despesas_recorrentes!$B$12, SUMIF(gasto_cartao!E:E,saldo!B330,gasto_cartao!B:B),despesas_recorrentes!$B$12)</f>
        <v>34013</v>
      </c>
      <c r="D330" s="51">
        <f>SUM(receitas_recorrentes!B:B)+SUMIF(receitas_pontuais!E:E,B330,receitas_pontuais!B:B)</f>
        <v>56919</v>
      </c>
      <c r="E330" s="51">
        <f t="shared" si="2"/>
        <v>22906</v>
      </c>
      <c r="F330" s="53">
        <f>IFERROR(SUMIF(contas!G:G, B330, contas!B:B),0)</f>
        <v>0</v>
      </c>
      <c r="G330" s="51">
        <f>SUMIFS(previsoes!D:D, previsoes!E:E, "&lt;=" &amp; EOMONTH(DATEVALUE(B330&amp;"-01"),0), previsoes!F:F, "&gt;=" &amp; DATEVALUE(B330&amp;"-01"))</f>
        <v>0</v>
      </c>
      <c r="H330" s="52">
        <f t="shared" si="5"/>
        <v>160491.8958</v>
      </c>
      <c r="I330" s="49">
        <f t="shared" si="3"/>
        <v>22906</v>
      </c>
      <c r="J330" s="52">
        <f>IF(A330&lt;&gt;"",SUMIFS(metas!N:N, metas!E:E, "&gt;=" &amp; DATEVALUE(B330&amp;"-01"),metas!D:D, "&lt;=" &amp; DATEVALUE(B330&amp;"-01")),"")</f>
        <v>3182.813937</v>
      </c>
      <c r="K330" s="49">
        <f t="shared" si="4"/>
        <v>19723.18606</v>
      </c>
      <c r="L330" s="49">
        <f t="shared" si="6"/>
        <v>5852811.557</v>
      </c>
      <c r="M330" s="49">
        <f>IF(A330&lt;&gt;"",IF(COUNTIF(investimento!F:F, B330) &gt; 0, SUM(investimento!B:B)+I330, M329+I330),"")</f>
        <v>7318732.681</v>
      </c>
    </row>
    <row r="331" ht="22.5" customHeight="1">
      <c r="A331" s="47">
        <v>50380.0</v>
      </c>
      <c r="B331" s="48" t="str">
        <f t="shared" si="1"/>
        <v>2037-12</v>
      </c>
      <c r="C331" s="49">
        <f>SUMIF(despesas_recorrentes!C:C, "&gt;="&amp;A331,despesas_recorrentes!B:B) 
+SUMIF(despesas_recorrentes!C:C, "",despesas_recorrentes!B:B)
-despesas_recorrentes!$B$12
+IF(SUMIF(gasto_cartao!E:E,saldo!B331,gasto_cartao!B:B)&gt;despesas_recorrentes!$B$12, SUMIF(gasto_cartao!E:E,saldo!B331,gasto_cartao!B:B),despesas_recorrentes!$B$12)</f>
        <v>34013</v>
      </c>
      <c r="D331" s="51">
        <f>SUM(receitas_recorrentes!B:B)+SUMIF(receitas_pontuais!E:E,B331,receitas_pontuais!B:B)</f>
        <v>56919</v>
      </c>
      <c r="E331" s="51">
        <f t="shared" si="2"/>
        <v>22906</v>
      </c>
      <c r="F331" s="53">
        <f>IFERROR(SUMIF(contas!G:G, B331, contas!B:B),0)</f>
        <v>0</v>
      </c>
      <c r="G331" s="51">
        <f>SUMIFS(previsoes!D:D, previsoes!E:E, "&lt;=" &amp; EOMONTH(DATEVALUE(B331&amp;"-01"),0), previsoes!F:F, "&gt;=" &amp; DATEVALUE(B331&amp;"-01"))</f>
        <v>0</v>
      </c>
      <c r="H331" s="52">
        <f t="shared" si="5"/>
        <v>160491.8958</v>
      </c>
      <c r="I331" s="49">
        <f t="shared" si="3"/>
        <v>22906</v>
      </c>
      <c r="J331" s="52">
        <f>IF(A331&lt;&gt;"",SUMIFS(metas!N:N, metas!E:E, "&gt;=" &amp; DATEVALUE(B331&amp;"-01"),metas!D:D, "&lt;=" &amp; DATEVALUE(B331&amp;"-01")),"")</f>
        <v>3182.813937</v>
      </c>
      <c r="K331" s="49">
        <f t="shared" si="4"/>
        <v>19723.18606</v>
      </c>
      <c r="L331" s="49">
        <f t="shared" si="6"/>
        <v>5872534.743</v>
      </c>
      <c r="M331" s="49">
        <f>IF(A331&lt;&gt;"",IF(COUNTIF(investimento!F:F, B331) &gt; 0, SUM(investimento!B:B)+I331, M330+I331),"")</f>
        <v>7341638.681</v>
      </c>
    </row>
    <row r="332" ht="22.5" customHeight="1">
      <c r="A332" s="47">
        <v>50381.0</v>
      </c>
      <c r="B332" s="48" t="str">
        <f t="shared" si="1"/>
        <v>2037-12</v>
      </c>
      <c r="C332" s="49">
        <f>SUMIF(despesas_recorrentes!C:C, "&gt;="&amp;A332,despesas_recorrentes!B:B) 
+SUMIF(despesas_recorrentes!C:C, "",despesas_recorrentes!B:B)
-despesas_recorrentes!$B$12
+IF(SUMIF(gasto_cartao!E:E,saldo!B332,gasto_cartao!B:B)&gt;despesas_recorrentes!$B$12, SUMIF(gasto_cartao!E:E,saldo!B332,gasto_cartao!B:B),despesas_recorrentes!$B$12)</f>
        <v>34013</v>
      </c>
      <c r="D332" s="51">
        <f>SUM(receitas_recorrentes!B:B)+SUMIF(receitas_pontuais!E:E,B332,receitas_pontuais!B:B)</f>
        <v>56919</v>
      </c>
      <c r="E332" s="51">
        <f t="shared" si="2"/>
        <v>22906</v>
      </c>
      <c r="F332" s="53">
        <f>IFERROR(SUMIF(contas!G:G, B332, contas!B:B),0)</f>
        <v>0</v>
      </c>
      <c r="G332" s="51">
        <f>SUMIFS(previsoes!D:D, previsoes!E:E, "&lt;=" &amp; EOMONTH(DATEVALUE(B332&amp;"-01"),0), previsoes!F:F, "&gt;=" &amp; DATEVALUE(B332&amp;"-01"))</f>
        <v>0</v>
      </c>
      <c r="H332" s="52">
        <f t="shared" si="5"/>
        <v>160491.8958</v>
      </c>
      <c r="I332" s="49">
        <f t="shared" si="3"/>
        <v>22906</v>
      </c>
      <c r="J332" s="52">
        <f>IF(A332&lt;&gt;"",SUMIFS(metas!N:N, metas!E:E, "&gt;=" &amp; DATEVALUE(B332&amp;"-01"),metas!D:D, "&lt;=" &amp; DATEVALUE(B332&amp;"-01")),"")</f>
        <v>3182.813937</v>
      </c>
      <c r="K332" s="49">
        <f t="shared" si="4"/>
        <v>19723.18606</v>
      </c>
      <c r="L332" s="49">
        <f t="shared" si="6"/>
        <v>5892257.929</v>
      </c>
      <c r="M332" s="49">
        <f>IF(A332&lt;&gt;"",IF(COUNTIF(investimento!F:F, B332) &gt; 0, SUM(investimento!B:B)+I332, M331+I332),"")</f>
        <v>7364544.681</v>
      </c>
    </row>
    <row r="333" ht="22.5" customHeight="1">
      <c r="A333" s="47">
        <v>50382.0</v>
      </c>
      <c r="B333" s="48" t="str">
        <f t="shared" si="1"/>
        <v>2037-12</v>
      </c>
      <c r="C333" s="49">
        <f>SUMIF(despesas_recorrentes!C:C, "&gt;="&amp;A333,despesas_recorrentes!B:B) 
+SUMIF(despesas_recorrentes!C:C, "",despesas_recorrentes!B:B)
-despesas_recorrentes!$B$12
+IF(SUMIF(gasto_cartao!E:E,saldo!B333,gasto_cartao!B:B)&gt;despesas_recorrentes!$B$12, SUMIF(gasto_cartao!E:E,saldo!B333,gasto_cartao!B:B),despesas_recorrentes!$B$12)</f>
        <v>34013</v>
      </c>
      <c r="D333" s="51">
        <f>SUM(receitas_recorrentes!B:B)+SUMIF(receitas_pontuais!E:E,B333,receitas_pontuais!B:B)</f>
        <v>56919</v>
      </c>
      <c r="E333" s="51">
        <f t="shared" si="2"/>
        <v>22906</v>
      </c>
      <c r="F333" s="53">
        <f>IFERROR(SUMIF(contas!G:G, B333, contas!B:B),0)</f>
        <v>0</v>
      </c>
      <c r="G333" s="51">
        <f>SUMIFS(previsoes!D:D, previsoes!E:E, "&lt;=" &amp; EOMONTH(DATEVALUE(B333&amp;"-01"),0), previsoes!F:F, "&gt;=" &amp; DATEVALUE(B333&amp;"-01"))</f>
        <v>0</v>
      </c>
      <c r="H333" s="52">
        <f t="shared" si="5"/>
        <v>160491.8958</v>
      </c>
      <c r="I333" s="49">
        <f t="shared" si="3"/>
        <v>22906</v>
      </c>
      <c r="J333" s="52">
        <f>IF(A333&lt;&gt;"",SUMIFS(metas!N:N, metas!E:E, "&gt;=" &amp; DATEVALUE(B333&amp;"-01"),metas!D:D, "&lt;=" &amp; DATEVALUE(B333&amp;"-01")),"")</f>
        <v>3182.813937</v>
      </c>
      <c r="K333" s="49">
        <f t="shared" si="4"/>
        <v>19723.18606</v>
      </c>
      <c r="L333" s="49">
        <f t="shared" si="6"/>
        <v>5911981.115</v>
      </c>
      <c r="M333" s="49">
        <f>IF(A333&lt;&gt;"",IF(COUNTIF(investimento!F:F, B333) &gt; 0, SUM(investimento!B:B)+I333, M332+I333),"")</f>
        <v>7387450.681</v>
      </c>
    </row>
    <row r="334" ht="22.5" customHeight="1">
      <c r="A334" s="47">
        <v>50383.0</v>
      </c>
      <c r="B334" s="48" t="str">
        <f t="shared" si="1"/>
        <v>2037-12</v>
      </c>
      <c r="C334" s="49">
        <f>SUMIF(despesas_recorrentes!C:C, "&gt;="&amp;A334,despesas_recorrentes!B:B) 
+SUMIF(despesas_recorrentes!C:C, "",despesas_recorrentes!B:B)
-despesas_recorrentes!$B$12
+IF(SUMIF(gasto_cartao!E:E,saldo!B334,gasto_cartao!B:B)&gt;despesas_recorrentes!$B$12, SUMIF(gasto_cartao!E:E,saldo!B334,gasto_cartao!B:B),despesas_recorrentes!$B$12)</f>
        <v>34013</v>
      </c>
      <c r="D334" s="51">
        <f>SUM(receitas_recorrentes!B:B)+SUMIF(receitas_pontuais!E:E,B334,receitas_pontuais!B:B)</f>
        <v>56919</v>
      </c>
      <c r="E334" s="51">
        <f t="shared" si="2"/>
        <v>22906</v>
      </c>
      <c r="F334" s="53">
        <f>IFERROR(SUMIF(contas!G:G, B334, contas!B:B),0)</f>
        <v>0</v>
      </c>
      <c r="G334" s="51">
        <f>SUMIFS(previsoes!D:D, previsoes!E:E, "&lt;=" &amp; EOMONTH(DATEVALUE(B334&amp;"-01"),0), previsoes!F:F, "&gt;=" &amp; DATEVALUE(B334&amp;"-01"))</f>
        <v>0</v>
      </c>
      <c r="H334" s="52">
        <f t="shared" si="5"/>
        <v>160491.8958</v>
      </c>
      <c r="I334" s="49">
        <f t="shared" si="3"/>
        <v>22906</v>
      </c>
      <c r="J334" s="52">
        <f>IF(A334&lt;&gt;"",SUMIFS(metas!N:N, metas!E:E, "&gt;=" &amp; DATEVALUE(B334&amp;"-01"),metas!D:D, "&lt;=" &amp; DATEVALUE(B334&amp;"-01")),"")</f>
        <v>3182.813937</v>
      </c>
      <c r="K334" s="49">
        <f t="shared" si="4"/>
        <v>19723.18606</v>
      </c>
      <c r="L334" s="49">
        <f t="shared" si="6"/>
        <v>5931704.301</v>
      </c>
      <c r="M334" s="49">
        <f>IF(A334&lt;&gt;"",IF(COUNTIF(investimento!F:F, B334) &gt; 0, SUM(investimento!B:B)+I334, M333+I334),"")</f>
        <v>7410356.681</v>
      </c>
    </row>
    <row r="335" ht="22.5" customHeight="1">
      <c r="A335" s="47">
        <v>50384.0</v>
      </c>
      <c r="B335" s="48" t="str">
        <f t="shared" si="1"/>
        <v>2037-12</v>
      </c>
      <c r="C335" s="49">
        <f>SUMIF(despesas_recorrentes!C:C, "&gt;="&amp;A335,despesas_recorrentes!B:B) 
+SUMIF(despesas_recorrentes!C:C, "",despesas_recorrentes!B:B)
-despesas_recorrentes!$B$12
+IF(SUMIF(gasto_cartao!E:E,saldo!B335,gasto_cartao!B:B)&gt;despesas_recorrentes!$B$12, SUMIF(gasto_cartao!E:E,saldo!B335,gasto_cartao!B:B),despesas_recorrentes!$B$12)</f>
        <v>34013</v>
      </c>
      <c r="D335" s="51">
        <f>SUM(receitas_recorrentes!B:B)+SUMIF(receitas_pontuais!E:E,B335,receitas_pontuais!B:B)</f>
        <v>56919</v>
      </c>
      <c r="E335" s="51">
        <f t="shared" si="2"/>
        <v>22906</v>
      </c>
      <c r="F335" s="53">
        <f>IFERROR(SUMIF(contas!G:G, B335, contas!B:B),0)</f>
        <v>0</v>
      </c>
      <c r="G335" s="51">
        <f>SUMIFS(previsoes!D:D, previsoes!E:E, "&lt;=" &amp; EOMONTH(DATEVALUE(B335&amp;"-01"),0), previsoes!F:F, "&gt;=" &amp; DATEVALUE(B335&amp;"-01"))</f>
        <v>0</v>
      </c>
      <c r="H335" s="52">
        <f t="shared" si="5"/>
        <v>160491.8958</v>
      </c>
      <c r="I335" s="49">
        <f t="shared" si="3"/>
        <v>22906</v>
      </c>
      <c r="J335" s="52">
        <f>IF(A335&lt;&gt;"",SUMIFS(metas!N:N, metas!E:E, "&gt;=" &amp; DATEVALUE(B335&amp;"-01"),metas!D:D, "&lt;=" &amp; DATEVALUE(B335&amp;"-01")),"")</f>
        <v>3182.813937</v>
      </c>
      <c r="K335" s="49">
        <f t="shared" si="4"/>
        <v>19723.18606</v>
      </c>
      <c r="L335" s="49">
        <f t="shared" si="6"/>
        <v>5951427.488</v>
      </c>
      <c r="M335" s="49">
        <f>IF(A335&lt;&gt;"",IF(COUNTIF(investimento!F:F, B335) &gt; 0, SUM(investimento!B:B)+I335, M334+I335),"")</f>
        <v>7433262.681</v>
      </c>
    </row>
    <row r="336" ht="22.5" customHeight="1">
      <c r="A336" s="47">
        <v>50385.0</v>
      </c>
      <c r="B336" s="48" t="str">
        <f t="shared" si="1"/>
        <v>2037-12</v>
      </c>
      <c r="C336" s="49">
        <f>SUMIF(despesas_recorrentes!C:C, "&gt;="&amp;A336,despesas_recorrentes!B:B) 
+SUMIF(despesas_recorrentes!C:C, "",despesas_recorrentes!B:B)
-despesas_recorrentes!$B$12
+IF(SUMIF(gasto_cartao!E:E,saldo!B336,gasto_cartao!B:B)&gt;despesas_recorrentes!$B$12, SUMIF(gasto_cartao!E:E,saldo!B336,gasto_cartao!B:B),despesas_recorrentes!$B$12)</f>
        <v>34013</v>
      </c>
      <c r="D336" s="51">
        <f>SUM(receitas_recorrentes!B:B)+SUMIF(receitas_pontuais!E:E,B336,receitas_pontuais!B:B)</f>
        <v>56919</v>
      </c>
      <c r="E336" s="51">
        <f t="shared" si="2"/>
        <v>22906</v>
      </c>
      <c r="F336" s="53">
        <f>IFERROR(SUMIF(contas!G:G, B336, contas!B:B),0)</f>
        <v>0</v>
      </c>
      <c r="G336" s="51">
        <f>SUMIFS(previsoes!D:D, previsoes!E:E, "&lt;=" &amp; EOMONTH(DATEVALUE(B336&amp;"-01"),0), previsoes!F:F, "&gt;=" &amp; DATEVALUE(B336&amp;"-01"))</f>
        <v>0</v>
      </c>
      <c r="H336" s="52">
        <f t="shared" si="5"/>
        <v>160491.8958</v>
      </c>
      <c r="I336" s="49">
        <f t="shared" si="3"/>
        <v>22906</v>
      </c>
      <c r="J336" s="52">
        <f>IF(A336&lt;&gt;"",SUMIFS(metas!N:N, metas!E:E, "&gt;=" &amp; DATEVALUE(B336&amp;"-01"),metas!D:D, "&lt;=" &amp; DATEVALUE(B336&amp;"-01")),"")</f>
        <v>3182.813937</v>
      </c>
      <c r="K336" s="49">
        <f t="shared" si="4"/>
        <v>19723.18606</v>
      </c>
      <c r="L336" s="49">
        <f t="shared" si="6"/>
        <v>5971150.674</v>
      </c>
      <c r="M336" s="49">
        <f>IF(A336&lt;&gt;"",IF(COUNTIF(investimento!F:F, B336) &gt; 0, SUM(investimento!B:B)+I336, M335+I336),"")</f>
        <v>7456168.681</v>
      </c>
    </row>
    <row r="337" ht="22.5" customHeight="1">
      <c r="A337" s="47">
        <v>50386.0</v>
      </c>
      <c r="B337" s="48" t="str">
        <f t="shared" si="1"/>
        <v>2037-12</v>
      </c>
      <c r="C337" s="49">
        <f>SUMIF(despesas_recorrentes!C:C, "&gt;="&amp;A337,despesas_recorrentes!B:B) 
+SUMIF(despesas_recorrentes!C:C, "",despesas_recorrentes!B:B)
-despesas_recorrentes!$B$12
+IF(SUMIF(gasto_cartao!E:E,saldo!B337,gasto_cartao!B:B)&gt;despesas_recorrentes!$B$12, SUMIF(gasto_cartao!E:E,saldo!B337,gasto_cartao!B:B),despesas_recorrentes!$B$12)</f>
        <v>34013</v>
      </c>
      <c r="D337" s="51">
        <f>SUM(receitas_recorrentes!B:B)+SUMIF(receitas_pontuais!E:E,B337,receitas_pontuais!B:B)</f>
        <v>56919</v>
      </c>
      <c r="E337" s="51">
        <f t="shared" si="2"/>
        <v>22906</v>
      </c>
      <c r="F337" s="53">
        <f>IFERROR(SUMIF(contas!G:G, B337, contas!B:B),0)</f>
        <v>0</v>
      </c>
      <c r="G337" s="51">
        <f>SUMIFS(previsoes!D:D, previsoes!E:E, "&lt;=" &amp; EOMONTH(DATEVALUE(B337&amp;"-01"),0), previsoes!F:F, "&gt;=" &amp; DATEVALUE(B337&amp;"-01"))</f>
        <v>0</v>
      </c>
      <c r="H337" s="52">
        <f t="shared" si="5"/>
        <v>160491.8958</v>
      </c>
      <c r="I337" s="49">
        <f t="shared" si="3"/>
        <v>22906</v>
      </c>
      <c r="J337" s="52">
        <f>IF(A337&lt;&gt;"",SUMIFS(metas!N:N, metas!E:E, "&gt;=" &amp; DATEVALUE(B337&amp;"-01"),metas!D:D, "&lt;=" &amp; DATEVALUE(B337&amp;"-01")),"")</f>
        <v>3182.813937</v>
      </c>
      <c r="K337" s="49">
        <f t="shared" si="4"/>
        <v>19723.18606</v>
      </c>
      <c r="L337" s="49">
        <f t="shared" si="6"/>
        <v>5990873.86</v>
      </c>
      <c r="M337" s="49">
        <f>IF(A337&lt;&gt;"",IF(COUNTIF(investimento!F:F, B337) &gt; 0, SUM(investimento!B:B)+I337, M336+I337),"")</f>
        <v>7479074.681</v>
      </c>
    </row>
    <row r="338" ht="22.5" customHeight="1">
      <c r="A338" s="47">
        <v>50387.0</v>
      </c>
      <c r="B338" s="48" t="str">
        <f t="shared" si="1"/>
        <v>2037-12</v>
      </c>
      <c r="C338" s="49">
        <f>SUMIF(despesas_recorrentes!C:C, "&gt;="&amp;A338,despesas_recorrentes!B:B) 
+SUMIF(despesas_recorrentes!C:C, "",despesas_recorrentes!B:B)
-despesas_recorrentes!$B$12
+IF(SUMIF(gasto_cartao!E:E,saldo!B338,gasto_cartao!B:B)&gt;despesas_recorrentes!$B$12, SUMIF(gasto_cartao!E:E,saldo!B338,gasto_cartao!B:B),despesas_recorrentes!$B$12)</f>
        <v>34013</v>
      </c>
      <c r="D338" s="51">
        <f>SUM(receitas_recorrentes!B:B)+SUMIF(receitas_pontuais!E:E,B338,receitas_pontuais!B:B)</f>
        <v>56919</v>
      </c>
      <c r="E338" s="51">
        <f t="shared" si="2"/>
        <v>22906</v>
      </c>
      <c r="F338" s="53">
        <f>IFERROR(SUMIF(contas!G:G, B338, contas!B:B),0)</f>
        <v>0</v>
      </c>
      <c r="G338" s="51">
        <f>SUMIFS(previsoes!D:D, previsoes!E:E, "&lt;=" &amp; EOMONTH(DATEVALUE(B338&amp;"-01"),0), previsoes!F:F, "&gt;=" &amp; DATEVALUE(B338&amp;"-01"))</f>
        <v>0</v>
      </c>
      <c r="H338" s="52">
        <f t="shared" si="5"/>
        <v>160491.8958</v>
      </c>
      <c r="I338" s="49">
        <f t="shared" si="3"/>
        <v>22906</v>
      </c>
      <c r="J338" s="52">
        <f>IF(A338&lt;&gt;"",SUMIFS(metas!N:N, metas!E:E, "&gt;=" &amp; DATEVALUE(B338&amp;"-01"),metas!D:D, "&lt;=" &amp; DATEVALUE(B338&amp;"-01")),"")</f>
        <v>3182.813937</v>
      </c>
      <c r="K338" s="49">
        <f t="shared" si="4"/>
        <v>19723.18606</v>
      </c>
      <c r="L338" s="49">
        <f t="shared" si="6"/>
        <v>6010597.046</v>
      </c>
      <c r="M338" s="49">
        <f>IF(A338&lt;&gt;"",IF(COUNTIF(investimento!F:F, B338) &gt; 0, SUM(investimento!B:B)+I338, M337+I338),"")</f>
        <v>7501980.681</v>
      </c>
    </row>
    <row r="339" ht="22.5" customHeight="1">
      <c r="A339" s="47">
        <v>50388.0</v>
      </c>
      <c r="B339" s="48" t="str">
        <f t="shared" si="1"/>
        <v>2037-12</v>
      </c>
      <c r="C339" s="49">
        <f>SUMIF(despesas_recorrentes!C:C, "&gt;="&amp;A339,despesas_recorrentes!B:B) 
+SUMIF(despesas_recorrentes!C:C, "",despesas_recorrentes!B:B)
-despesas_recorrentes!$B$12
+IF(SUMIF(gasto_cartao!E:E,saldo!B339,gasto_cartao!B:B)&gt;despesas_recorrentes!$B$12, SUMIF(gasto_cartao!E:E,saldo!B339,gasto_cartao!B:B),despesas_recorrentes!$B$12)</f>
        <v>34013</v>
      </c>
      <c r="D339" s="51">
        <f>SUM(receitas_recorrentes!B:B)+SUMIF(receitas_pontuais!E:E,B339,receitas_pontuais!B:B)</f>
        <v>56919</v>
      </c>
      <c r="E339" s="51">
        <f t="shared" si="2"/>
        <v>22906</v>
      </c>
      <c r="F339" s="53">
        <f>IFERROR(SUMIF(contas!G:G, B339, contas!B:B),0)</f>
        <v>0</v>
      </c>
      <c r="G339" s="51">
        <f>SUMIFS(previsoes!D:D, previsoes!E:E, "&lt;=" &amp; EOMONTH(DATEVALUE(B339&amp;"-01"),0), previsoes!F:F, "&gt;=" &amp; DATEVALUE(B339&amp;"-01"))</f>
        <v>0</v>
      </c>
      <c r="H339" s="52">
        <f t="shared" si="5"/>
        <v>160491.8958</v>
      </c>
      <c r="I339" s="49">
        <f t="shared" si="3"/>
        <v>22906</v>
      </c>
      <c r="J339" s="52">
        <f>IF(A339&lt;&gt;"",SUMIFS(metas!N:N, metas!E:E, "&gt;=" &amp; DATEVALUE(B339&amp;"-01"),metas!D:D, "&lt;=" &amp; DATEVALUE(B339&amp;"-01")),"")</f>
        <v>3182.813937</v>
      </c>
      <c r="K339" s="49">
        <f t="shared" si="4"/>
        <v>19723.18606</v>
      </c>
      <c r="L339" s="49">
        <f t="shared" si="6"/>
        <v>6030320.232</v>
      </c>
      <c r="M339" s="49">
        <f>IF(A339&lt;&gt;"",IF(COUNTIF(investimento!F:F, B339) &gt; 0, SUM(investimento!B:B)+I339, M338+I339),"")</f>
        <v>7524886.681</v>
      </c>
    </row>
    <row r="340" ht="22.5" customHeight="1">
      <c r="A340" s="47">
        <v>50389.0</v>
      </c>
      <c r="B340" s="48" t="str">
        <f t="shared" si="1"/>
        <v>2037-12</v>
      </c>
      <c r="C340" s="49">
        <f>SUMIF(despesas_recorrentes!C:C, "&gt;="&amp;A340,despesas_recorrentes!B:B) 
+SUMIF(despesas_recorrentes!C:C, "",despesas_recorrentes!B:B)
-despesas_recorrentes!$B$12
+IF(SUMIF(gasto_cartao!E:E,saldo!B340,gasto_cartao!B:B)&gt;despesas_recorrentes!$B$12, SUMIF(gasto_cartao!E:E,saldo!B340,gasto_cartao!B:B),despesas_recorrentes!$B$12)</f>
        <v>34013</v>
      </c>
      <c r="D340" s="51">
        <f>SUM(receitas_recorrentes!B:B)+SUMIF(receitas_pontuais!E:E,B340,receitas_pontuais!B:B)</f>
        <v>56919</v>
      </c>
      <c r="E340" s="51">
        <f t="shared" si="2"/>
        <v>22906</v>
      </c>
      <c r="F340" s="53">
        <f>IFERROR(SUMIF(contas!G:G, B340, contas!B:B),0)</f>
        <v>0</v>
      </c>
      <c r="G340" s="51">
        <f>SUMIFS(previsoes!D:D, previsoes!E:E, "&lt;=" &amp; EOMONTH(DATEVALUE(B340&amp;"-01"),0), previsoes!F:F, "&gt;=" &amp; DATEVALUE(B340&amp;"-01"))</f>
        <v>0</v>
      </c>
      <c r="H340" s="52">
        <f t="shared" si="5"/>
        <v>160491.8958</v>
      </c>
      <c r="I340" s="49">
        <f t="shared" si="3"/>
        <v>22906</v>
      </c>
      <c r="J340" s="52">
        <f>IF(A340&lt;&gt;"",SUMIFS(metas!N:N, metas!E:E, "&gt;=" &amp; DATEVALUE(B340&amp;"-01"),metas!D:D, "&lt;=" &amp; DATEVALUE(B340&amp;"-01")),"")</f>
        <v>3182.813937</v>
      </c>
      <c r="K340" s="49">
        <f t="shared" si="4"/>
        <v>19723.18606</v>
      </c>
      <c r="L340" s="49">
        <f t="shared" si="6"/>
        <v>6050043.418</v>
      </c>
      <c r="M340" s="49">
        <f>IF(A340&lt;&gt;"",IF(COUNTIF(investimento!F:F, B340) &gt; 0, SUM(investimento!B:B)+I340, M339+I340),"")</f>
        <v>7547792.681</v>
      </c>
    </row>
    <row r="341" ht="22.5" customHeight="1">
      <c r="A341" s="47">
        <v>50390.0</v>
      </c>
      <c r="B341" s="48" t="str">
        <f t="shared" si="1"/>
        <v>2037-12</v>
      </c>
      <c r="C341" s="49">
        <f>SUMIF(despesas_recorrentes!C:C, "&gt;="&amp;A341,despesas_recorrentes!B:B) 
+SUMIF(despesas_recorrentes!C:C, "",despesas_recorrentes!B:B)
-despesas_recorrentes!$B$12
+IF(SUMIF(gasto_cartao!E:E,saldo!B341,gasto_cartao!B:B)&gt;despesas_recorrentes!$B$12, SUMIF(gasto_cartao!E:E,saldo!B341,gasto_cartao!B:B),despesas_recorrentes!$B$12)</f>
        <v>34013</v>
      </c>
      <c r="D341" s="51">
        <f>SUM(receitas_recorrentes!B:B)+SUMIF(receitas_pontuais!E:E,B341,receitas_pontuais!B:B)</f>
        <v>56919</v>
      </c>
      <c r="E341" s="51">
        <f t="shared" si="2"/>
        <v>22906</v>
      </c>
      <c r="F341" s="53">
        <f>IFERROR(SUMIF(contas!G:G, B341, contas!B:B),0)</f>
        <v>0</v>
      </c>
      <c r="G341" s="51">
        <f>SUMIFS(previsoes!D:D, previsoes!E:E, "&lt;=" &amp; EOMONTH(DATEVALUE(B341&amp;"-01"),0), previsoes!F:F, "&gt;=" &amp; DATEVALUE(B341&amp;"-01"))</f>
        <v>0</v>
      </c>
      <c r="H341" s="52">
        <f t="shared" si="5"/>
        <v>160491.8958</v>
      </c>
      <c r="I341" s="49">
        <f t="shared" si="3"/>
        <v>22906</v>
      </c>
      <c r="J341" s="52">
        <f>IF(A341&lt;&gt;"",SUMIFS(metas!N:N, metas!E:E, "&gt;=" &amp; DATEVALUE(B341&amp;"-01"),metas!D:D, "&lt;=" &amp; DATEVALUE(B341&amp;"-01")),"")</f>
        <v>3182.813937</v>
      </c>
      <c r="K341" s="49">
        <f t="shared" si="4"/>
        <v>19723.18606</v>
      </c>
      <c r="L341" s="49">
        <f t="shared" si="6"/>
        <v>6069766.604</v>
      </c>
      <c r="M341" s="49">
        <f>IF(A341&lt;&gt;"",IF(COUNTIF(investimento!F:F, B341) &gt; 0, SUM(investimento!B:B)+I341, M340+I341),"")</f>
        <v>7570698.681</v>
      </c>
    </row>
    <row r="342" ht="22.5" customHeight="1">
      <c r="A342" s="47">
        <v>50391.0</v>
      </c>
      <c r="B342" s="48" t="str">
        <f t="shared" si="1"/>
        <v>2037-12</v>
      </c>
      <c r="C342" s="49">
        <f>SUMIF(despesas_recorrentes!C:C, "&gt;="&amp;A342,despesas_recorrentes!B:B) 
+SUMIF(despesas_recorrentes!C:C, "",despesas_recorrentes!B:B)
-despesas_recorrentes!$B$12
+IF(SUMIF(gasto_cartao!E:E,saldo!B342,gasto_cartao!B:B)&gt;despesas_recorrentes!$B$12, SUMIF(gasto_cartao!E:E,saldo!B342,gasto_cartao!B:B),despesas_recorrentes!$B$12)</f>
        <v>34013</v>
      </c>
      <c r="D342" s="51">
        <f>SUM(receitas_recorrentes!B:B)+SUMIF(receitas_pontuais!E:E,B342,receitas_pontuais!B:B)</f>
        <v>56919</v>
      </c>
      <c r="E342" s="51">
        <f t="shared" si="2"/>
        <v>22906</v>
      </c>
      <c r="F342" s="53">
        <f>IFERROR(SUMIF(contas!G:G, B342, contas!B:B),0)</f>
        <v>0</v>
      </c>
      <c r="G342" s="51">
        <f>SUMIFS(previsoes!D:D, previsoes!E:E, "&lt;=" &amp; EOMONTH(DATEVALUE(B342&amp;"-01"),0), previsoes!F:F, "&gt;=" &amp; DATEVALUE(B342&amp;"-01"))</f>
        <v>0</v>
      </c>
      <c r="H342" s="52">
        <f t="shared" si="5"/>
        <v>160491.8958</v>
      </c>
      <c r="I342" s="49">
        <f t="shared" si="3"/>
        <v>22906</v>
      </c>
      <c r="J342" s="52">
        <f>IF(A342&lt;&gt;"",SUMIFS(metas!N:N, metas!E:E, "&gt;=" &amp; DATEVALUE(B342&amp;"-01"),metas!D:D, "&lt;=" &amp; DATEVALUE(B342&amp;"-01")),"")</f>
        <v>3182.813937</v>
      </c>
      <c r="K342" s="49">
        <f t="shared" si="4"/>
        <v>19723.18606</v>
      </c>
      <c r="L342" s="49">
        <f t="shared" si="6"/>
        <v>6089489.79</v>
      </c>
      <c r="M342" s="49">
        <f>IF(A342&lt;&gt;"",IF(COUNTIF(investimento!F:F, B342) &gt; 0, SUM(investimento!B:B)+I342, M341+I342),"")</f>
        <v>7593604.681</v>
      </c>
    </row>
    <row r="343" ht="22.5" customHeight="1">
      <c r="A343" s="47">
        <v>50392.0</v>
      </c>
      <c r="B343" s="48" t="str">
        <f t="shared" si="1"/>
        <v>2037-12</v>
      </c>
      <c r="C343" s="49">
        <f>SUMIF(despesas_recorrentes!C:C, "&gt;="&amp;A343,despesas_recorrentes!B:B) 
+SUMIF(despesas_recorrentes!C:C, "",despesas_recorrentes!B:B)
-despesas_recorrentes!$B$12
+IF(SUMIF(gasto_cartao!E:E,saldo!B343,gasto_cartao!B:B)&gt;despesas_recorrentes!$B$12, SUMIF(gasto_cartao!E:E,saldo!B343,gasto_cartao!B:B),despesas_recorrentes!$B$12)</f>
        <v>34013</v>
      </c>
      <c r="D343" s="51">
        <f>SUM(receitas_recorrentes!B:B)+SUMIF(receitas_pontuais!E:E,B343,receitas_pontuais!B:B)</f>
        <v>56919</v>
      </c>
      <c r="E343" s="51">
        <f t="shared" si="2"/>
        <v>22906</v>
      </c>
      <c r="F343" s="53">
        <f>IFERROR(SUMIF(contas!G:G, B343, contas!B:B),0)</f>
        <v>0</v>
      </c>
      <c r="G343" s="51">
        <f>SUMIFS(previsoes!D:D, previsoes!E:E, "&lt;=" &amp; EOMONTH(DATEVALUE(B343&amp;"-01"),0), previsoes!F:F, "&gt;=" &amp; DATEVALUE(B343&amp;"-01"))</f>
        <v>0</v>
      </c>
      <c r="H343" s="52">
        <f t="shared" si="5"/>
        <v>160491.8958</v>
      </c>
      <c r="I343" s="49">
        <f t="shared" si="3"/>
        <v>22906</v>
      </c>
      <c r="J343" s="52">
        <f>IF(A343&lt;&gt;"",SUMIFS(metas!N:N, metas!E:E, "&gt;=" &amp; DATEVALUE(B343&amp;"-01"),metas!D:D, "&lt;=" &amp; DATEVALUE(B343&amp;"-01")),"")</f>
        <v>3182.813937</v>
      </c>
      <c r="K343" s="49">
        <f t="shared" si="4"/>
        <v>19723.18606</v>
      </c>
      <c r="L343" s="49">
        <f t="shared" si="6"/>
        <v>6109212.976</v>
      </c>
      <c r="M343" s="49">
        <f>IF(A343&lt;&gt;"",IF(COUNTIF(investimento!F:F, B343) &gt; 0, SUM(investimento!B:B)+I343, M342+I343),"")</f>
        <v>7616510.681</v>
      </c>
    </row>
    <row r="344" ht="22.5" customHeight="1">
      <c r="A344" s="47">
        <v>50393.0</v>
      </c>
      <c r="B344" s="48" t="str">
        <f t="shared" si="1"/>
        <v>2037-12</v>
      </c>
      <c r="C344" s="49">
        <f>SUMIF(despesas_recorrentes!C:C, "&gt;="&amp;A344,despesas_recorrentes!B:B) 
+SUMIF(despesas_recorrentes!C:C, "",despesas_recorrentes!B:B)
-despesas_recorrentes!$B$12
+IF(SUMIF(gasto_cartao!E:E,saldo!B344,gasto_cartao!B:B)&gt;despesas_recorrentes!$B$12, SUMIF(gasto_cartao!E:E,saldo!B344,gasto_cartao!B:B),despesas_recorrentes!$B$12)</f>
        <v>34013</v>
      </c>
      <c r="D344" s="51">
        <f>SUM(receitas_recorrentes!B:B)+SUMIF(receitas_pontuais!E:E,B344,receitas_pontuais!B:B)</f>
        <v>56919</v>
      </c>
      <c r="E344" s="51">
        <f t="shared" si="2"/>
        <v>22906</v>
      </c>
      <c r="F344" s="53">
        <f>IFERROR(SUMIF(contas!G:G, B344, contas!B:B),0)</f>
        <v>0</v>
      </c>
      <c r="G344" s="51">
        <f>SUMIFS(previsoes!D:D, previsoes!E:E, "&lt;=" &amp; EOMONTH(DATEVALUE(B344&amp;"-01"),0), previsoes!F:F, "&gt;=" &amp; DATEVALUE(B344&amp;"-01"))</f>
        <v>0</v>
      </c>
      <c r="H344" s="52">
        <f t="shared" si="5"/>
        <v>160491.8958</v>
      </c>
      <c r="I344" s="49">
        <f t="shared" si="3"/>
        <v>22906</v>
      </c>
      <c r="J344" s="52">
        <f>IF(A344&lt;&gt;"",SUMIFS(metas!N:N, metas!E:E, "&gt;=" &amp; DATEVALUE(B344&amp;"-01"),metas!D:D, "&lt;=" &amp; DATEVALUE(B344&amp;"-01")),"")</f>
        <v>3182.813937</v>
      </c>
      <c r="K344" s="49">
        <f t="shared" si="4"/>
        <v>19723.18606</v>
      </c>
      <c r="L344" s="49">
        <f t="shared" si="6"/>
        <v>6128936.162</v>
      </c>
      <c r="M344" s="49">
        <f>IF(A344&lt;&gt;"",IF(COUNTIF(investimento!F:F, B344) &gt; 0, SUM(investimento!B:B)+I344, M343+I344),"")</f>
        <v>7639416.681</v>
      </c>
    </row>
    <row r="345" ht="22.5" customHeight="1">
      <c r="A345" s="47">
        <v>50394.0</v>
      </c>
      <c r="B345" s="48" t="str">
        <f t="shared" si="1"/>
        <v>2037-12</v>
      </c>
      <c r="C345" s="49">
        <f>SUMIF(despesas_recorrentes!C:C, "&gt;="&amp;A345,despesas_recorrentes!B:B) 
+SUMIF(despesas_recorrentes!C:C, "",despesas_recorrentes!B:B)
-despesas_recorrentes!$B$12
+IF(SUMIF(gasto_cartao!E:E,saldo!B345,gasto_cartao!B:B)&gt;despesas_recorrentes!$B$12, SUMIF(gasto_cartao!E:E,saldo!B345,gasto_cartao!B:B),despesas_recorrentes!$B$12)</f>
        <v>34013</v>
      </c>
      <c r="D345" s="51">
        <f>SUM(receitas_recorrentes!B:B)+SUMIF(receitas_pontuais!E:E,B345,receitas_pontuais!B:B)</f>
        <v>56919</v>
      </c>
      <c r="E345" s="51">
        <f t="shared" si="2"/>
        <v>22906</v>
      </c>
      <c r="F345" s="53">
        <f>IFERROR(SUMIF(contas!G:G, B345, contas!B:B),0)</f>
        <v>0</v>
      </c>
      <c r="G345" s="51">
        <f>SUMIFS(previsoes!D:D, previsoes!E:E, "&lt;=" &amp; EOMONTH(DATEVALUE(B345&amp;"-01"),0), previsoes!F:F, "&gt;=" &amp; DATEVALUE(B345&amp;"-01"))</f>
        <v>0</v>
      </c>
      <c r="H345" s="52">
        <f t="shared" si="5"/>
        <v>160491.8958</v>
      </c>
      <c r="I345" s="49">
        <f t="shared" si="3"/>
        <v>22906</v>
      </c>
      <c r="J345" s="52">
        <f>IF(A345&lt;&gt;"",SUMIFS(metas!N:N, metas!E:E, "&gt;=" &amp; DATEVALUE(B345&amp;"-01"),metas!D:D, "&lt;=" &amp; DATEVALUE(B345&amp;"-01")),"")</f>
        <v>3182.813937</v>
      </c>
      <c r="K345" s="49">
        <f t="shared" si="4"/>
        <v>19723.18606</v>
      </c>
      <c r="L345" s="49">
        <f t="shared" si="6"/>
        <v>6148659.348</v>
      </c>
      <c r="M345" s="49">
        <f>IF(A345&lt;&gt;"",IF(COUNTIF(investimento!F:F, B345) &gt; 0, SUM(investimento!B:B)+I345, M344+I345),"")</f>
        <v>7662322.681</v>
      </c>
    </row>
    <row r="346" ht="22.5" customHeight="1">
      <c r="A346" s="47">
        <v>50395.0</v>
      </c>
      <c r="B346" s="48" t="str">
        <f t="shared" si="1"/>
        <v>2037-12</v>
      </c>
      <c r="C346" s="49">
        <f>SUMIF(despesas_recorrentes!C:C, "&gt;="&amp;A346,despesas_recorrentes!B:B) 
+SUMIF(despesas_recorrentes!C:C, "",despesas_recorrentes!B:B)
-despesas_recorrentes!$B$12
+IF(SUMIF(gasto_cartao!E:E,saldo!B346,gasto_cartao!B:B)&gt;despesas_recorrentes!$B$12, SUMIF(gasto_cartao!E:E,saldo!B346,gasto_cartao!B:B),despesas_recorrentes!$B$12)</f>
        <v>34013</v>
      </c>
      <c r="D346" s="51">
        <f>SUM(receitas_recorrentes!B:B)+SUMIF(receitas_pontuais!E:E,B346,receitas_pontuais!B:B)</f>
        <v>56919</v>
      </c>
      <c r="E346" s="51">
        <f t="shared" si="2"/>
        <v>22906</v>
      </c>
      <c r="F346" s="53">
        <f>IFERROR(SUMIF(contas!G:G, B346, contas!B:B),0)</f>
        <v>0</v>
      </c>
      <c r="G346" s="51">
        <f>SUMIFS(previsoes!D:D, previsoes!E:E, "&lt;=" &amp; EOMONTH(DATEVALUE(B346&amp;"-01"),0), previsoes!F:F, "&gt;=" &amp; DATEVALUE(B346&amp;"-01"))</f>
        <v>0</v>
      </c>
      <c r="H346" s="52">
        <f t="shared" si="5"/>
        <v>160491.8958</v>
      </c>
      <c r="I346" s="49">
        <f t="shared" si="3"/>
        <v>22906</v>
      </c>
      <c r="J346" s="52">
        <f>IF(A346&lt;&gt;"",SUMIFS(metas!N:N, metas!E:E, "&gt;=" &amp; DATEVALUE(B346&amp;"-01"),metas!D:D, "&lt;=" &amp; DATEVALUE(B346&amp;"-01")),"")</f>
        <v>3182.813937</v>
      </c>
      <c r="K346" s="49">
        <f t="shared" si="4"/>
        <v>19723.18606</v>
      </c>
      <c r="L346" s="49">
        <f t="shared" si="6"/>
        <v>6168382.534</v>
      </c>
      <c r="M346" s="49">
        <f>IF(A346&lt;&gt;"",IF(COUNTIF(investimento!F:F, B346) &gt; 0, SUM(investimento!B:B)+I346, M345+I346),"")</f>
        <v>7685228.681</v>
      </c>
    </row>
    <row r="347" ht="22.5" customHeight="1">
      <c r="A347" s="47">
        <v>50396.0</v>
      </c>
      <c r="B347" s="48" t="str">
        <f t="shared" si="1"/>
        <v>2037-12</v>
      </c>
      <c r="C347" s="49">
        <f>SUMIF(despesas_recorrentes!C:C, "&gt;="&amp;A347,despesas_recorrentes!B:B) 
+SUMIF(despesas_recorrentes!C:C, "",despesas_recorrentes!B:B)
-despesas_recorrentes!$B$12
+IF(SUMIF(gasto_cartao!E:E,saldo!B347,gasto_cartao!B:B)&gt;despesas_recorrentes!$B$12, SUMIF(gasto_cartao!E:E,saldo!B347,gasto_cartao!B:B),despesas_recorrentes!$B$12)</f>
        <v>34013</v>
      </c>
      <c r="D347" s="51">
        <f>SUM(receitas_recorrentes!B:B)+SUMIF(receitas_pontuais!E:E,B347,receitas_pontuais!B:B)</f>
        <v>56919</v>
      </c>
      <c r="E347" s="51">
        <f t="shared" si="2"/>
        <v>22906</v>
      </c>
      <c r="F347" s="53">
        <f>IFERROR(SUMIF(contas!G:G, B347, contas!B:B),0)</f>
        <v>0</v>
      </c>
      <c r="G347" s="51">
        <f>SUMIFS(previsoes!D:D, previsoes!E:E, "&lt;=" &amp; EOMONTH(DATEVALUE(B347&amp;"-01"),0), previsoes!F:F, "&gt;=" &amp; DATEVALUE(B347&amp;"-01"))</f>
        <v>0</v>
      </c>
      <c r="H347" s="52">
        <f t="shared" si="5"/>
        <v>160491.8958</v>
      </c>
      <c r="I347" s="49">
        <f t="shared" si="3"/>
        <v>22906</v>
      </c>
      <c r="J347" s="52">
        <f>IF(A347&lt;&gt;"",SUMIFS(metas!N:N, metas!E:E, "&gt;=" &amp; DATEVALUE(B347&amp;"-01"),metas!D:D, "&lt;=" &amp; DATEVALUE(B347&amp;"-01")),"")</f>
        <v>3182.813937</v>
      </c>
      <c r="K347" s="49">
        <f t="shared" si="4"/>
        <v>19723.18606</v>
      </c>
      <c r="L347" s="49">
        <f t="shared" si="6"/>
        <v>6188105.72</v>
      </c>
      <c r="M347" s="49">
        <f>IF(A347&lt;&gt;"",IF(COUNTIF(investimento!F:F, B347) &gt; 0, SUM(investimento!B:B)+I347, M346+I347),"")</f>
        <v>7708134.681</v>
      </c>
    </row>
    <row r="348" ht="22.5" customHeight="1">
      <c r="A348" s="47">
        <v>50397.0</v>
      </c>
      <c r="B348" s="48" t="str">
        <f t="shared" si="1"/>
        <v>2037-12</v>
      </c>
      <c r="C348" s="49">
        <f>SUMIF(despesas_recorrentes!C:C, "&gt;="&amp;A348,despesas_recorrentes!B:B) 
+SUMIF(despesas_recorrentes!C:C, "",despesas_recorrentes!B:B)
-despesas_recorrentes!$B$12
+IF(SUMIF(gasto_cartao!E:E,saldo!B348,gasto_cartao!B:B)&gt;despesas_recorrentes!$B$12, SUMIF(gasto_cartao!E:E,saldo!B348,gasto_cartao!B:B),despesas_recorrentes!$B$12)</f>
        <v>34013</v>
      </c>
      <c r="D348" s="51">
        <f>SUM(receitas_recorrentes!B:B)+SUMIF(receitas_pontuais!E:E,B348,receitas_pontuais!B:B)</f>
        <v>56919</v>
      </c>
      <c r="E348" s="51">
        <f t="shared" si="2"/>
        <v>22906</v>
      </c>
      <c r="F348" s="53">
        <f>IFERROR(SUMIF(contas!G:G, B348, contas!B:B),0)</f>
        <v>0</v>
      </c>
      <c r="G348" s="51">
        <f>SUMIFS(previsoes!D:D, previsoes!E:E, "&lt;=" &amp; EOMONTH(DATEVALUE(B348&amp;"-01"),0), previsoes!F:F, "&gt;=" &amp; DATEVALUE(B348&amp;"-01"))</f>
        <v>0</v>
      </c>
      <c r="H348" s="52">
        <f t="shared" si="5"/>
        <v>160491.8958</v>
      </c>
      <c r="I348" s="49">
        <f t="shared" si="3"/>
        <v>22906</v>
      </c>
      <c r="J348" s="52">
        <f>IF(A348&lt;&gt;"",SUMIFS(metas!N:N, metas!E:E, "&gt;=" &amp; DATEVALUE(B348&amp;"-01"),metas!D:D, "&lt;=" &amp; DATEVALUE(B348&amp;"-01")),"")</f>
        <v>3182.813937</v>
      </c>
      <c r="K348" s="49">
        <f t="shared" si="4"/>
        <v>19723.18606</v>
      </c>
      <c r="L348" s="49">
        <f t="shared" si="6"/>
        <v>6207828.906</v>
      </c>
      <c r="M348" s="49">
        <f>IF(A348&lt;&gt;"",IF(COUNTIF(investimento!F:F, B348) &gt; 0, SUM(investimento!B:B)+I348, M347+I348),"")</f>
        <v>7731040.681</v>
      </c>
    </row>
    <row r="349" ht="22.5" customHeight="1">
      <c r="A349" s="47">
        <v>50398.0</v>
      </c>
      <c r="B349" s="48" t="str">
        <f t="shared" si="1"/>
        <v>2037-12</v>
      </c>
      <c r="C349" s="49">
        <f>SUMIF(despesas_recorrentes!C:C, "&gt;="&amp;A349,despesas_recorrentes!B:B) 
+SUMIF(despesas_recorrentes!C:C, "",despesas_recorrentes!B:B)
-despesas_recorrentes!$B$12
+IF(SUMIF(gasto_cartao!E:E,saldo!B349,gasto_cartao!B:B)&gt;despesas_recorrentes!$B$12, SUMIF(gasto_cartao!E:E,saldo!B349,gasto_cartao!B:B),despesas_recorrentes!$B$12)</f>
        <v>34013</v>
      </c>
      <c r="D349" s="51">
        <f>SUM(receitas_recorrentes!B:B)+SUMIF(receitas_pontuais!E:E,B349,receitas_pontuais!B:B)</f>
        <v>56919</v>
      </c>
      <c r="E349" s="51">
        <f t="shared" si="2"/>
        <v>22906</v>
      </c>
      <c r="F349" s="53">
        <f>IFERROR(SUMIF(contas!G:G, B349, contas!B:B),0)</f>
        <v>0</v>
      </c>
      <c r="G349" s="51">
        <f>SUMIFS(previsoes!D:D, previsoes!E:E, "&lt;=" &amp; EOMONTH(DATEVALUE(B349&amp;"-01"),0), previsoes!F:F, "&gt;=" &amp; DATEVALUE(B349&amp;"-01"))</f>
        <v>0</v>
      </c>
      <c r="H349" s="52">
        <f t="shared" si="5"/>
        <v>160491.8958</v>
      </c>
      <c r="I349" s="49">
        <f t="shared" si="3"/>
        <v>22906</v>
      </c>
      <c r="J349" s="52">
        <f>IF(A349&lt;&gt;"",SUMIFS(metas!N:N, metas!E:E, "&gt;=" &amp; DATEVALUE(B349&amp;"-01"),metas!D:D, "&lt;=" &amp; DATEVALUE(B349&amp;"-01")),"")</f>
        <v>3182.813937</v>
      </c>
      <c r="K349" s="49">
        <f t="shared" si="4"/>
        <v>19723.18606</v>
      </c>
      <c r="L349" s="49">
        <f t="shared" si="6"/>
        <v>6227552.092</v>
      </c>
      <c r="M349" s="49">
        <f>IF(A349&lt;&gt;"",IF(COUNTIF(investimento!F:F, B349) &gt; 0, SUM(investimento!B:B)+I349, M348+I349),"")</f>
        <v>7753946.681</v>
      </c>
    </row>
    <row r="350" ht="22.5" customHeight="1">
      <c r="A350" s="47">
        <v>50399.0</v>
      </c>
      <c r="B350" s="48" t="str">
        <f t="shared" si="1"/>
        <v>2037-12</v>
      </c>
      <c r="C350" s="49">
        <f>SUMIF(despesas_recorrentes!C:C, "&gt;="&amp;A350,despesas_recorrentes!B:B) 
+SUMIF(despesas_recorrentes!C:C, "",despesas_recorrentes!B:B)
-despesas_recorrentes!$B$12
+IF(SUMIF(gasto_cartao!E:E,saldo!B350,gasto_cartao!B:B)&gt;despesas_recorrentes!$B$12, SUMIF(gasto_cartao!E:E,saldo!B350,gasto_cartao!B:B),despesas_recorrentes!$B$12)</f>
        <v>34013</v>
      </c>
      <c r="D350" s="51">
        <f>SUM(receitas_recorrentes!B:B)+SUMIF(receitas_pontuais!E:E,B350,receitas_pontuais!B:B)</f>
        <v>56919</v>
      </c>
      <c r="E350" s="51">
        <f t="shared" si="2"/>
        <v>22906</v>
      </c>
      <c r="F350" s="53">
        <f>IFERROR(SUMIF(contas!G:G, B350, contas!B:B),0)</f>
        <v>0</v>
      </c>
      <c r="G350" s="51">
        <f>SUMIFS(previsoes!D:D, previsoes!E:E, "&lt;=" &amp; EOMONTH(DATEVALUE(B350&amp;"-01"),0), previsoes!F:F, "&gt;=" &amp; DATEVALUE(B350&amp;"-01"))</f>
        <v>0</v>
      </c>
      <c r="H350" s="52">
        <f t="shared" si="5"/>
        <v>160491.8958</v>
      </c>
      <c r="I350" s="49">
        <f t="shared" si="3"/>
        <v>22906</v>
      </c>
      <c r="J350" s="52">
        <f>IF(A350&lt;&gt;"",SUMIFS(metas!N:N, metas!E:E, "&gt;=" &amp; DATEVALUE(B350&amp;"-01"),metas!D:D, "&lt;=" &amp; DATEVALUE(B350&amp;"-01")),"")</f>
        <v>3182.813937</v>
      </c>
      <c r="K350" s="49">
        <f t="shared" si="4"/>
        <v>19723.18606</v>
      </c>
      <c r="L350" s="49">
        <f t="shared" si="6"/>
        <v>6247275.279</v>
      </c>
      <c r="M350" s="49">
        <f>IF(A350&lt;&gt;"",IF(COUNTIF(investimento!F:F, B350) &gt; 0, SUM(investimento!B:B)+I350, M349+I350),"")</f>
        <v>7776852.681</v>
      </c>
    </row>
    <row r="351" ht="22.5" customHeight="1">
      <c r="A351" s="47">
        <v>50400.0</v>
      </c>
      <c r="B351" s="48" t="str">
        <f t="shared" si="1"/>
        <v>2037-12</v>
      </c>
      <c r="C351" s="49">
        <f>SUMIF(despesas_recorrentes!C:C, "&gt;="&amp;A351,despesas_recorrentes!B:B) 
+SUMIF(despesas_recorrentes!C:C, "",despesas_recorrentes!B:B)
-despesas_recorrentes!$B$12
+IF(SUMIF(gasto_cartao!E:E,saldo!B351,gasto_cartao!B:B)&gt;despesas_recorrentes!$B$12, SUMIF(gasto_cartao!E:E,saldo!B351,gasto_cartao!B:B),despesas_recorrentes!$B$12)</f>
        <v>34013</v>
      </c>
      <c r="D351" s="51">
        <f>SUM(receitas_recorrentes!B:B)+SUMIF(receitas_pontuais!E:E,B351,receitas_pontuais!B:B)</f>
        <v>56919</v>
      </c>
      <c r="E351" s="51">
        <f t="shared" si="2"/>
        <v>22906</v>
      </c>
      <c r="F351" s="53">
        <f>IFERROR(SUMIF(contas!G:G, B351, contas!B:B),0)</f>
        <v>0</v>
      </c>
      <c r="G351" s="51">
        <f>SUMIFS(previsoes!D:D, previsoes!E:E, "&lt;=" &amp; EOMONTH(DATEVALUE(B351&amp;"-01"),0), previsoes!F:F, "&gt;=" &amp; DATEVALUE(B351&amp;"-01"))</f>
        <v>0</v>
      </c>
      <c r="H351" s="52">
        <f t="shared" si="5"/>
        <v>160491.8958</v>
      </c>
      <c r="I351" s="49">
        <f t="shared" si="3"/>
        <v>22906</v>
      </c>
      <c r="J351" s="52">
        <f>IF(A351&lt;&gt;"",SUMIFS(metas!N:N, metas!E:E, "&gt;=" &amp; DATEVALUE(B351&amp;"-01"),metas!D:D, "&lt;=" &amp; DATEVALUE(B351&amp;"-01")),"")</f>
        <v>3182.813937</v>
      </c>
      <c r="K351" s="49">
        <f t="shared" si="4"/>
        <v>19723.18606</v>
      </c>
      <c r="L351" s="49">
        <f t="shared" si="6"/>
        <v>6266998.465</v>
      </c>
      <c r="M351" s="49">
        <f>IF(A351&lt;&gt;"",IF(COUNTIF(investimento!F:F, B351) &gt; 0, SUM(investimento!B:B)+I351, M350+I351),"")</f>
        <v>7799758.681</v>
      </c>
    </row>
    <row r="352" ht="22.5" customHeight="1">
      <c r="A352" s="47">
        <v>50401.0</v>
      </c>
      <c r="B352" s="48" t="str">
        <f t="shared" si="1"/>
        <v>2037-12</v>
      </c>
      <c r="C352" s="49">
        <f>SUMIF(despesas_recorrentes!C:C, "&gt;="&amp;A352,despesas_recorrentes!B:B) 
+SUMIF(despesas_recorrentes!C:C, "",despesas_recorrentes!B:B)
-despesas_recorrentes!$B$12
+IF(SUMIF(gasto_cartao!E:E,saldo!B352,gasto_cartao!B:B)&gt;despesas_recorrentes!$B$12, SUMIF(gasto_cartao!E:E,saldo!B352,gasto_cartao!B:B),despesas_recorrentes!$B$12)</f>
        <v>34013</v>
      </c>
      <c r="D352" s="51">
        <f>SUM(receitas_recorrentes!B:B)+SUMIF(receitas_pontuais!E:E,B352,receitas_pontuais!B:B)</f>
        <v>56919</v>
      </c>
      <c r="E352" s="51">
        <f t="shared" si="2"/>
        <v>22906</v>
      </c>
      <c r="F352" s="53">
        <f>IFERROR(SUMIF(contas!G:G, B352, contas!B:B),0)</f>
        <v>0</v>
      </c>
      <c r="G352" s="51">
        <f>SUMIFS(previsoes!D:D, previsoes!E:E, "&lt;=" &amp; EOMONTH(DATEVALUE(B352&amp;"-01"),0), previsoes!F:F, "&gt;=" &amp; DATEVALUE(B352&amp;"-01"))</f>
        <v>0</v>
      </c>
      <c r="H352" s="52">
        <f t="shared" si="5"/>
        <v>160491.8958</v>
      </c>
      <c r="I352" s="49">
        <f t="shared" si="3"/>
        <v>22906</v>
      </c>
      <c r="J352" s="52">
        <f>IF(A352&lt;&gt;"",SUMIFS(metas!N:N, metas!E:E, "&gt;=" &amp; DATEVALUE(B352&amp;"-01"),metas!D:D, "&lt;=" &amp; DATEVALUE(B352&amp;"-01")),"")</f>
        <v>3182.813937</v>
      </c>
      <c r="K352" s="49">
        <f t="shared" si="4"/>
        <v>19723.18606</v>
      </c>
      <c r="L352" s="49">
        <f t="shared" si="6"/>
        <v>6286721.651</v>
      </c>
      <c r="M352" s="49">
        <f>IF(A352&lt;&gt;"",IF(COUNTIF(investimento!F:F, B352) &gt; 0, SUM(investimento!B:B)+I352, M351+I352),"")</f>
        <v>7822664.681</v>
      </c>
    </row>
    <row r="353" ht="22.5" customHeight="1">
      <c r="A353" s="47">
        <v>50402.0</v>
      </c>
      <c r="B353" s="48" t="str">
        <f t="shared" si="1"/>
        <v>2037-12</v>
      </c>
      <c r="C353" s="49">
        <f>SUMIF(despesas_recorrentes!C:C, "&gt;="&amp;A353,despesas_recorrentes!B:B) 
+SUMIF(despesas_recorrentes!C:C, "",despesas_recorrentes!B:B)
-despesas_recorrentes!$B$12
+IF(SUMIF(gasto_cartao!E:E,saldo!B353,gasto_cartao!B:B)&gt;despesas_recorrentes!$B$12, SUMIF(gasto_cartao!E:E,saldo!B353,gasto_cartao!B:B),despesas_recorrentes!$B$12)</f>
        <v>34013</v>
      </c>
      <c r="D353" s="51">
        <f>SUM(receitas_recorrentes!B:B)+SUMIF(receitas_pontuais!E:E,B353,receitas_pontuais!B:B)</f>
        <v>56919</v>
      </c>
      <c r="E353" s="51">
        <f t="shared" si="2"/>
        <v>22906</v>
      </c>
      <c r="F353" s="53">
        <f>IFERROR(SUMIF(contas!G:G, B353, contas!B:B),0)</f>
        <v>0</v>
      </c>
      <c r="G353" s="51">
        <f>SUMIFS(previsoes!D:D, previsoes!E:E, "&lt;=" &amp; EOMONTH(DATEVALUE(B353&amp;"-01"),0), previsoes!F:F, "&gt;=" &amp; DATEVALUE(B353&amp;"-01"))</f>
        <v>0</v>
      </c>
      <c r="H353" s="52">
        <f t="shared" si="5"/>
        <v>160491.8958</v>
      </c>
      <c r="I353" s="49">
        <f t="shared" si="3"/>
        <v>22906</v>
      </c>
      <c r="J353" s="52">
        <f>IF(A353&lt;&gt;"",SUMIFS(metas!N:N, metas!E:E, "&gt;=" &amp; DATEVALUE(B353&amp;"-01"),metas!D:D, "&lt;=" &amp; DATEVALUE(B353&amp;"-01")),"")</f>
        <v>3182.813937</v>
      </c>
      <c r="K353" s="49">
        <f t="shared" si="4"/>
        <v>19723.18606</v>
      </c>
      <c r="L353" s="49">
        <f t="shared" si="6"/>
        <v>6306444.837</v>
      </c>
      <c r="M353" s="49">
        <f>IF(A353&lt;&gt;"",IF(COUNTIF(investimento!F:F, B353) &gt; 0, SUM(investimento!B:B)+I353, M352+I353),"")</f>
        <v>7845570.681</v>
      </c>
    </row>
    <row r="354" ht="22.5" customHeight="1">
      <c r="A354" s="47">
        <v>50403.0</v>
      </c>
      <c r="B354" s="48" t="str">
        <f t="shared" si="1"/>
        <v>2037-12</v>
      </c>
      <c r="C354" s="49">
        <f>SUMIF(despesas_recorrentes!C:C, "&gt;="&amp;A354,despesas_recorrentes!B:B) 
+SUMIF(despesas_recorrentes!C:C, "",despesas_recorrentes!B:B)
-despesas_recorrentes!$B$12
+IF(SUMIF(gasto_cartao!E:E,saldo!B354,gasto_cartao!B:B)&gt;despesas_recorrentes!$B$12, SUMIF(gasto_cartao!E:E,saldo!B354,gasto_cartao!B:B),despesas_recorrentes!$B$12)</f>
        <v>34013</v>
      </c>
      <c r="D354" s="51">
        <f>SUM(receitas_recorrentes!B:B)+SUMIF(receitas_pontuais!E:E,B354,receitas_pontuais!B:B)</f>
        <v>56919</v>
      </c>
      <c r="E354" s="51">
        <f t="shared" si="2"/>
        <v>22906</v>
      </c>
      <c r="F354" s="53">
        <f>IFERROR(SUMIF(contas!G:G, B354, contas!B:B),0)</f>
        <v>0</v>
      </c>
      <c r="G354" s="51">
        <f>SUMIFS(previsoes!D:D, previsoes!E:E, "&lt;=" &amp; EOMONTH(DATEVALUE(B354&amp;"-01"),0), previsoes!F:F, "&gt;=" &amp; DATEVALUE(B354&amp;"-01"))</f>
        <v>0</v>
      </c>
      <c r="H354" s="52">
        <f t="shared" si="5"/>
        <v>160491.8958</v>
      </c>
      <c r="I354" s="49">
        <f t="shared" si="3"/>
        <v>22906</v>
      </c>
      <c r="J354" s="52">
        <f>IF(A354&lt;&gt;"",SUMIFS(metas!N:N, metas!E:E, "&gt;=" &amp; DATEVALUE(B354&amp;"-01"),metas!D:D, "&lt;=" &amp; DATEVALUE(B354&amp;"-01")),"")</f>
        <v>3182.813937</v>
      </c>
      <c r="K354" s="49">
        <f t="shared" si="4"/>
        <v>19723.18606</v>
      </c>
      <c r="L354" s="49">
        <f t="shared" si="6"/>
        <v>6326168.023</v>
      </c>
      <c r="M354" s="49">
        <f>IF(A354&lt;&gt;"",IF(COUNTIF(investimento!F:F, B354) &gt; 0, SUM(investimento!B:B)+I354, M353+I354),"")</f>
        <v>7868476.681</v>
      </c>
    </row>
    <row r="355" ht="22.5" customHeight="1">
      <c r="A355" s="47">
        <v>50404.0</v>
      </c>
      <c r="B355" s="48" t="str">
        <f t="shared" si="1"/>
        <v>2037-12</v>
      </c>
      <c r="C355" s="49">
        <f>SUMIF(despesas_recorrentes!C:C, "&gt;="&amp;A355,despesas_recorrentes!B:B) 
+SUMIF(despesas_recorrentes!C:C, "",despesas_recorrentes!B:B)
-despesas_recorrentes!$B$12
+IF(SUMIF(gasto_cartao!E:E,saldo!B355,gasto_cartao!B:B)&gt;despesas_recorrentes!$B$12, SUMIF(gasto_cartao!E:E,saldo!B355,gasto_cartao!B:B),despesas_recorrentes!$B$12)</f>
        <v>34013</v>
      </c>
      <c r="D355" s="51">
        <f>SUM(receitas_recorrentes!B:B)+SUMIF(receitas_pontuais!E:E,B355,receitas_pontuais!B:B)</f>
        <v>56919</v>
      </c>
      <c r="E355" s="51">
        <f t="shared" si="2"/>
        <v>22906</v>
      </c>
      <c r="F355" s="53">
        <f>IFERROR(SUMIF(contas!G:G, B355, contas!B:B),0)</f>
        <v>0</v>
      </c>
      <c r="G355" s="51">
        <f>SUMIFS(previsoes!D:D, previsoes!E:E, "&lt;=" &amp; EOMONTH(DATEVALUE(B355&amp;"-01"),0), previsoes!F:F, "&gt;=" &amp; DATEVALUE(B355&amp;"-01"))</f>
        <v>0</v>
      </c>
      <c r="H355" s="52">
        <f t="shared" si="5"/>
        <v>160491.8958</v>
      </c>
      <c r="I355" s="49">
        <f t="shared" si="3"/>
        <v>22906</v>
      </c>
      <c r="J355" s="52">
        <f>IF(A355&lt;&gt;"",SUMIFS(metas!N:N, metas!E:E, "&gt;=" &amp; DATEVALUE(B355&amp;"-01"),metas!D:D, "&lt;=" &amp; DATEVALUE(B355&amp;"-01")),"")</f>
        <v>3182.813937</v>
      </c>
      <c r="K355" s="49">
        <f t="shared" si="4"/>
        <v>19723.18606</v>
      </c>
      <c r="L355" s="49">
        <f t="shared" si="6"/>
        <v>6345891.209</v>
      </c>
      <c r="M355" s="49">
        <f>IF(A355&lt;&gt;"",IF(COUNTIF(investimento!F:F, B355) &gt; 0, SUM(investimento!B:B)+I355, M354+I355),"")</f>
        <v>7891382.681</v>
      </c>
    </row>
    <row r="356" ht="22.5" customHeight="1">
      <c r="A356" s="47">
        <v>50405.0</v>
      </c>
      <c r="B356" s="48" t="str">
        <f t="shared" si="1"/>
        <v>2037-12</v>
      </c>
      <c r="C356" s="49">
        <f>SUMIF(despesas_recorrentes!C:C, "&gt;="&amp;A356,despesas_recorrentes!B:B) 
+SUMIF(despesas_recorrentes!C:C, "",despesas_recorrentes!B:B)
-despesas_recorrentes!$B$12
+IF(SUMIF(gasto_cartao!E:E,saldo!B356,gasto_cartao!B:B)&gt;despesas_recorrentes!$B$12, SUMIF(gasto_cartao!E:E,saldo!B356,gasto_cartao!B:B),despesas_recorrentes!$B$12)</f>
        <v>34013</v>
      </c>
      <c r="D356" s="51">
        <f>SUM(receitas_recorrentes!B:B)+SUMIF(receitas_pontuais!E:E,B356,receitas_pontuais!B:B)</f>
        <v>56919</v>
      </c>
      <c r="E356" s="51">
        <f t="shared" si="2"/>
        <v>22906</v>
      </c>
      <c r="F356" s="53">
        <f>IFERROR(SUMIF(contas!G:G, B356, contas!B:B),0)</f>
        <v>0</v>
      </c>
      <c r="G356" s="51">
        <f>SUMIFS(previsoes!D:D, previsoes!E:E, "&lt;=" &amp; EOMONTH(DATEVALUE(B356&amp;"-01"),0), previsoes!F:F, "&gt;=" &amp; DATEVALUE(B356&amp;"-01"))</f>
        <v>0</v>
      </c>
      <c r="H356" s="52">
        <f t="shared" si="5"/>
        <v>160491.8958</v>
      </c>
      <c r="I356" s="49">
        <f t="shared" si="3"/>
        <v>22906</v>
      </c>
      <c r="J356" s="52">
        <f>IF(A356&lt;&gt;"",SUMIFS(metas!N:N, metas!E:E, "&gt;=" &amp; DATEVALUE(B356&amp;"-01"),metas!D:D, "&lt;=" &amp; DATEVALUE(B356&amp;"-01")),"")</f>
        <v>3182.813937</v>
      </c>
      <c r="K356" s="49">
        <f t="shared" si="4"/>
        <v>19723.18606</v>
      </c>
      <c r="L356" s="49">
        <f t="shared" si="6"/>
        <v>6365614.395</v>
      </c>
      <c r="M356" s="49">
        <f>IF(A356&lt;&gt;"",IF(COUNTIF(investimento!F:F, B356) &gt; 0, SUM(investimento!B:B)+I356, M355+I356),"")</f>
        <v>7914288.681</v>
      </c>
    </row>
    <row r="357" ht="22.5" customHeight="1">
      <c r="A357" s="47">
        <v>50406.0</v>
      </c>
      <c r="B357" s="48" t="str">
        <f t="shared" si="1"/>
        <v>2038-01</v>
      </c>
      <c r="C357" s="49">
        <f>SUMIF(despesas_recorrentes!C:C, "&gt;="&amp;A357,despesas_recorrentes!B:B) 
+SUMIF(despesas_recorrentes!C:C, "",despesas_recorrentes!B:B)
-despesas_recorrentes!$B$12
+IF(SUMIF(gasto_cartao!E:E,saldo!B357,gasto_cartao!B:B)&gt;despesas_recorrentes!$B$12, SUMIF(gasto_cartao!E:E,saldo!B357,gasto_cartao!B:B),despesas_recorrentes!$B$12)</f>
        <v>34013</v>
      </c>
      <c r="D357" s="51">
        <f>SUM(receitas_recorrentes!B:B)+SUMIF(receitas_pontuais!E:E,B357,receitas_pontuais!B:B)</f>
        <v>56919</v>
      </c>
      <c r="E357" s="51">
        <f t="shared" si="2"/>
        <v>22906</v>
      </c>
      <c r="F357" s="53">
        <f>IFERROR(SUMIF(contas!G:G, B357, contas!B:B),0)</f>
        <v>0</v>
      </c>
      <c r="G357" s="51">
        <f>SUMIFS(previsoes!D:D, previsoes!E:E, "&lt;=" &amp; EOMONTH(DATEVALUE(B357&amp;"-01"),0), previsoes!F:F, "&gt;=" &amp; DATEVALUE(B357&amp;"-01"))</f>
        <v>0</v>
      </c>
      <c r="H357" s="52">
        <f t="shared" si="5"/>
        <v>160491.8958</v>
      </c>
      <c r="I357" s="49">
        <f t="shared" si="3"/>
        <v>22906</v>
      </c>
      <c r="J357" s="52">
        <f>IF(A357&lt;&gt;"",SUMIFS(metas!N:N, metas!E:E, "&gt;=" &amp; DATEVALUE(B357&amp;"-01"),metas!D:D, "&lt;=" &amp; DATEVALUE(B357&amp;"-01")),"")</f>
        <v>3182.813937</v>
      </c>
      <c r="K357" s="49">
        <f t="shared" si="4"/>
        <v>19723.18606</v>
      </c>
      <c r="L357" s="49">
        <f t="shared" si="6"/>
        <v>6385337.581</v>
      </c>
      <c r="M357" s="49">
        <f>IF(A357&lt;&gt;"",IF(COUNTIF(investimento!F:F, B357) &gt; 0, SUM(investimento!B:B)+I357, M356+I357),"")</f>
        <v>7937194.681</v>
      </c>
    </row>
    <row r="358" ht="22.5" customHeight="1">
      <c r="A358" s="47">
        <v>50407.0</v>
      </c>
      <c r="B358" s="48" t="str">
        <f t="shared" si="1"/>
        <v>2038-01</v>
      </c>
      <c r="C358" s="49">
        <f>SUMIF(despesas_recorrentes!C:C, "&gt;="&amp;A358,despesas_recorrentes!B:B) 
+SUMIF(despesas_recorrentes!C:C, "",despesas_recorrentes!B:B)
-despesas_recorrentes!$B$12
+IF(SUMIF(gasto_cartao!E:E,saldo!B358,gasto_cartao!B:B)&gt;despesas_recorrentes!$B$12, SUMIF(gasto_cartao!E:E,saldo!B358,gasto_cartao!B:B),despesas_recorrentes!$B$12)</f>
        <v>34013</v>
      </c>
      <c r="D358" s="51">
        <f>SUM(receitas_recorrentes!B:B)+SUMIF(receitas_pontuais!E:E,B358,receitas_pontuais!B:B)</f>
        <v>56919</v>
      </c>
      <c r="E358" s="51">
        <f t="shared" si="2"/>
        <v>22906</v>
      </c>
      <c r="F358" s="53">
        <f>IFERROR(SUMIF(contas!G:G, B358, contas!B:B),0)</f>
        <v>0</v>
      </c>
      <c r="G358" s="51">
        <f>SUMIFS(previsoes!D:D, previsoes!E:E, "&lt;=" &amp; EOMONTH(DATEVALUE(B358&amp;"-01"),0), previsoes!F:F, "&gt;=" &amp; DATEVALUE(B358&amp;"-01"))</f>
        <v>0</v>
      </c>
      <c r="H358" s="52">
        <f t="shared" si="5"/>
        <v>160491.8958</v>
      </c>
      <c r="I358" s="49">
        <f t="shared" si="3"/>
        <v>22906</v>
      </c>
      <c r="J358" s="52">
        <f>IF(A358&lt;&gt;"",SUMIFS(metas!N:N, metas!E:E, "&gt;=" &amp; DATEVALUE(B358&amp;"-01"),metas!D:D, "&lt;=" &amp; DATEVALUE(B358&amp;"-01")),"")</f>
        <v>3182.813937</v>
      </c>
      <c r="K358" s="49">
        <f t="shared" si="4"/>
        <v>19723.18606</v>
      </c>
      <c r="L358" s="49">
        <f t="shared" si="6"/>
        <v>6405060.767</v>
      </c>
      <c r="M358" s="49">
        <f>IF(A358&lt;&gt;"",IF(COUNTIF(investimento!F:F, B358) &gt; 0, SUM(investimento!B:B)+I358, M357+I358),"")</f>
        <v>7960100.681</v>
      </c>
    </row>
    <row r="359" ht="22.5" customHeight="1">
      <c r="A359" s="47">
        <v>50408.0</v>
      </c>
      <c r="B359" s="48" t="str">
        <f t="shared" si="1"/>
        <v>2038-01</v>
      </c>
      <c r="C359" s="49">
        <f>SUMIF(despesas_recorrentes!C:C, "&gt;="&amp;A359,despesas_recorrentes!B:B) 
+SUMIF(despesas_recorrentes!C:C, "",despesas_recorrentes!B:B)
-despesas_recorrentes!$B$12
+IF(SUMIF(gasto_cartao!E:E,saldo!B359,gasto_cartao!B:B)&gt;despesas_recorrentes!$B$12, SUMIF(gasto_cartao!E:E,saldo!B359,gasto_cartao!B:B),despesas_recorrentes!$B$12)</f>
        <v>34013</v>
      </c>
      <c r="D359" s="51">
        <f>SUM(receitas_recorrentes!B:B)+SUMIF(receitas_pontuais!E:E,B359,receitas_pontuais!B:B)</f>
        <v>56919</v>
      </c>
      <c r="E359" s="51">
        <f t="shared" si="2"/>
        <v>22906</v>
      </c>
      <c r="F359" s="53">
        <f>IFERROR(SUMIF(contas!G:G, B359, contas!B:B),0)</f>
        <v>0</v>
      </c>
      <c r="G359" s="51">
        <f>SUMIFS(previsoes!D:D, previsoes!E:E, "&lt;=" &amp; EOMONTH(DATEVALUE(B359&amp;"-01"),0), previsoes!F:F, "&gt;=" &amp; DATEVALUE(B359&amp;"-01"))</f>
        <v>0</v>
      </c>
      <c r="H359" s="52">
        <f t="shared" si="5"/>
        <v>160491.8958</v>
      </c>
      <c r="I359" s="49">
        <f t="shared" si="3"/>
        <v>22906</v>
      </c>
      <c r="J359" s="52">
        <f>IF(A359&lt;&gt;"",SUMIFS(metas!N:N, metas!E:E, "&gt;=" &amp; DATEVALUE(B359&amp;"-01"),metas!D:D, "&lt;=" &amp; DATEVALUE(B359&amp;"-01")),"")</f>
        <v>3182.813937</v>
      </c>
      <c r="K359" s="49">
        <f t="shared" si="4"/>
        <v>19723.18606</v>
      </c>
      <c r="L359" s="49">
        <f t="shared" si="6"/>
        <v>6424783.953</v>
      </c>
      <c r="M359" s="49">
        <f>IF(A359&lt;&gt;"",IF(COUNTIF(investimento!F:F, B359) &gt; 0, SUM(investimento!B:B)+I359, M358+I359),"")</f>
        <v>7983006.681</v>
      </c>
    </row>
    <row r="360" ht="22.5" customHeight="1">
      <c r="A360" s="47">
        <v>50409.0</v>
      </c>
      <c r="B360" s="48" t="str">
        <f t="shared" si="1"/>
        <v>2038-01</v>
      </c>
      <c r="C360" s="49">
        <f>SUMIF(despesas_recorrentes!C:C, "&gt;="&amp;A360,despesas_recorrentes!B:B) 
+SUMIF(despesas_recorrentes!C:C, "",despesas_recorrentes!B:B)
-despesas_recorrentes!$B$12
+IF(SUMIF(gasto_cartao!E:E,saldo!B360,gasto_cartao!B:B)&gt;despesas_recorrentes!$B$12, SUMIF(gasto_cartao!E:E,saldo!B360,gasto_cartao!B:B),despesas_recorrentes!$B$12)</f>
        <v>34013</v>
      </c>
      <c r="D360" s="51">
        <f>SUM(receitas_recorrentes!B:B)+SUMIF(receitas_pontuais!E:E,B360,receitas_pontuais!B:B)</f>
        <v>56919</v>
      </c>
      <c r="E360" s="51">
        <f t="shared" si="2"/>
        <v>22906</v>
      </c>
      <c r="F360" s="53">
        <f>IFERROR(SUMIF(contas!G:G, B360, contas!B:B),0)</f>
        <v>0</v>
      </c>
      <c r="G360" s="51">
        <f>SUMIFS(previsoes!D:D, previsoes!E:E, "&lt;=" &amp; EOMONTH(DATEVALUE(B360&amp;"-01"),0), previsoes!F:F, "&gt;=" &amp; DATEVALUE(B360&amp;"-01"))</f>
        <v>0</v>
      </c>
      <c r="H360" s="52">
        <f t="shared" si="5"/>
        <v>160491.8958</v>
      </c>
      <c r="I360" s="49">
        <f t="shared" si="3"/>
        <v>22906</v>
      </c>
      <c r="J360" s="52">
        <f>IF(A360&lt;&gt;"",SUMIFS(metas!N:N, metas!E:E, "&gt;=" &amp; DATEVALUE(B360&amp;"-01"),metas!D:D, "&lt;=" &amp; DATEVALUE(B360&amp;"-01")),"")</f>
        <v>3182.813937</v>
      </c>
      <c r="K360" s="49">
        <f t="shared" si="4"/>
        <v>19723.18606</v>
      </c>
      <c r="L360" s="49">
        <f t="shared" si="6"/>
        <v>6444507.139</v>
      </c>
      <c r="M360" s="49">
        <f>IF(A360&lt;&gt;"",IF(COUNTIF(investimento!F:F, B360) &gt; 0, SUM(investimento!B:B)+I360, M359+I360),"")</f>
        <v>8005912.681</v>
      </c>
    </row>
    <row r="361" ht="22.5" customHeight="1">
      <c r="A361" s="47">
        <v>50410.0</v>
      </c>
      <c r="B361" s="48" t="str">
        <f t="shared" si="1"/>
        <v>2038-01</v>
      </c>
      <c r="C361" s="49">
        <f>SUMIF(despesas_recorrentes!C:C, "&gt;="&amp;A361,despesas_recorrentes!B:B) 
+SUMIF(despesas_recorrentes!C:C, "",despesas_recorrentes!B:B)
-despesas_recorrentes!$B$12
+IF(SUMIF(gasto_cartao!E:E,saldo!B361,gasto_cartao!B:B)&gt;despesas_recorrentes!$B$12, SUMIF(gasto_cartao!E:E,saldo!B361,gasto_cartao!B:B),despesas_recorrentes!$B$12)</f>
        <v>34013</v>
      </c>
      <c r="D361" s="51">
        <f>SUM(receitas_recorrentes!B:B)+SUMIF(receitas_pontuais!E:E,B361,receitas_pontuais!B:B)</f>
        <v>56919</v>
      </c>
      <c r="E361" s="51">
        <f t="shared" si="2"/>
        <v>22906</v>
      </c>
      <c r="F361" s="53">
        <f>IFERROR(SUMIF(contas!G:G, B361, contas!B:B),0)</f>
        <v>0</v>
      </c>
      <c r="G361" s="51">
        <f>SUMIFS(previsoes!D:D, previsoes!E:E, "&lt;=" &amp; EOMONTH(DATEVALUE(B361&amp;"-01"),0), previsoes!F:F, "&gt;=" &amp; DATEVALUE(B361&amp;"-01"))</f>
        <v>0</v>
      </c>
      <c r="H361" s="52">
        <f t="shared" si="5"/>
        <v>160491.8958</v>
      </c>
      <c r="I361" s="49">
        <f t="shared" si="3"/>
        <v>22906</v>
      </c>
      <c r="J361" s="52">
        <f>IF(A361&lt;&gt;"",SUMIFS(metas!N:N, metas!E:E, "&gt;=" &amp; DATEVALUE(B361&amp;"-01"),metas!D:D, "&lt;=" &amp; DATEVALUE(B361&amp;"-01")),"")</f>
        <v>3182.813937</v>
      </c>
      <c r="K361" s="49">
        <f t="shared" si="4"/>
        <v>19723.18606</v>
      </c>
      <c r="L361" s="49">
        <f t="shared" si="6"/>
        <v>6464230.325</v>
      </c>
      <c r="M361" s="49">
        <f>IF(A361&lt;&gt;"",IF(COUNTIF(investimento!F:F, B361) &gt; 0, SUM(investimento!B:B)+I361, M360+I361),"")</f>
        <v>8028818.681</v>
      </c>
    </row>
    <row r="362" ht="22.5" customHeight="1">
      <c r="A362" s="47">
        <v>50411.0</v>
      </c>
      <c r="B362" s="48" t="str">
        <f t="shared" si="1"/>
        <v>2038-01</v>
      </c>
      <c r="C362" s="49">
        <f>SUMIF(despesas_recorrentes!C:C, "&gt;="&amp;A362,despesas_recorrentes!B:B) 
+SUMIF(despesas_recorrentes!C:C, "",despesas_recorrentes!B:B)
-despesas_recorrentes!$B$12
+IF(SUMIF(gasto_cartao!E:E,saldo!B362,gasto_cartao!B:B)&gt;despesas_recorrentes!$B$12, SUMIF(gasto_cartao!E:E,saldo!B362,gasto_cartao!B:B),despesas_recorrentes!$B$12)</f>
        <v>34013</v>
      </c>
      <c r="D362" s="51">
        <f>SUM(receitas_recorrentes!B:B)+SUMIF(receitas_pontuais!E:E,B362,receitas_pontuais!B:B)</f>
        <v>56919</v>
      </c>
      <c r="E362" s="51">
        <f t="shared" si="2"/>
        <v>22906</v>
      </c>
      <c r="F362" s="53">
        <f>IFERROR(SUMIF(contas!G:G, B362, contas!B:B),0)</f>
        <v>0</v>
      </c>
      <c r="G362" s="51">
        <f>SUMIFS(previsoes!D:D, previsoes!E:E, "&lt;=" &amp; EOMONTH(DATEVALUE(B362&amp;"-01"),0), previsoes!F:F, "&gt;=" &amp; DATEVALUE(B362&amp;"-01"))</f>
        <v>0</v>
      </c>
      <c r="H362" s="52">
        <f t="shared" si="5"/>
        <v>160491.8958</v>
      </c>
      <c r="I362" s="49">
        <f t="shared" si="3"/>
        <v>22906</v>
      </c>
      <c r="J362" s="52">
        <f>IF(A362&lt;&gt;"",SUMIFS(metas!N:N, metas!E:E, "&gt;=" &amp; DATEVALUE(B362&amp;"-01"),metas!D:D, "&lt;=" &amp; DATEVALUE(B362&amp;"-01")),"")</f>
        <v>3182.813937</v>
      </c>
      <c r="K362" s="49">
        <f t="shared" si="4"/>
        <v>19723.18606</v>
      </c>
      <c r="L362" s="49">
        <f t="shared" si="6"/>
        <v>6483953.511</v>
      </c>
      <c r="M362" s="49">
        <f>IF(A362&lt;&gt;"",IF(COUNTIF(investimento!F:F, B362) &gt; 0, SUM(investimento!B:B)+I362, M361+I362),"")</f>
        <v>8051724.681</v>
      </c>
    </row>
    <row r="363" ht="22.5" customHeight="1">
      <c r="A363" s="47">
        <v>50412.0</v>
      </c>
      <c r="B363" s="48" t="str">
        <f t="shared" si="1"/>
        <v>2038-01</v>
      </c>
      <c r="C363" s="49">
        <f>SUMIF(despesas_recorrentes!C:C, "&gt;="&amp;A363,despesas_recorrentes!B:B) 
+SUMIF(despesas_recorrentes!C:C, "",despesas_recorrentes!B:B)
-despesas_recorrentes!$B$12
+IF(SUMIF(gasto_cartao!E:E,saldo!B363,gasto_cartao!B:B)&gt;despesas_recorrentes!$B$12, SUMIF(gasto_cartao!E:E,saldo!B363,gasto_cartao!B:B),despesas_recorrentes!$B$12)</f>
        <v>34013</v>
      </c>
      <c r="D363" s="51">
        <f>SUM(receitas_recorrentes!B:B)+SUMIF(receitas_pontuais!E:E,B363,receitas_pontuais!B:B)</f>
        <v>56919</v>
      </c>
      <c r="E363" s="51">
        <f t="shared" si="2"/>
        <v>22906</v>
      </c>
      <c r="F363" s="53">
        <f>IFERROR(SUMIF(contas!G:G, B363, contas!B:B),0)</f>
        <v>0</v>
      </c>
      <c r="G363" s="51">
        <f>SUMIFS(previsoes!D:D, previsoes!E:E, "&lt;=" &amp; EOMONTH(DATEVALUE(B363&amp;"-01"),0), previsoes!F:F, "&gt;=" &amp; DATEVALUE(B363&amp;"-01"))</f>
        <v>0</v>
      </c>
      <c r="H363" s="52">
        <f t="shared" si="5"/>
        <v>160491.8958</v>
      </c>
      <c r="I363" s="49">
        <f t="shared" si="3"/>
        <v>22906</v>
      </c>
      <c r="J363" s="52">
        <f>IF(A363&lt;&gt;"",SUMIFS(metas!N:N, metas!E:E, "&gt;=" &amp; DATEVALUE(B363&amp;"-01"),metas!D:D, "&lt;=" &amp; DATEVALUE(B363&amp;"-01")),"")</f>
        <v>3182.813937</v>
      </c>
      <c r="K363" s="49">
        <f t="shared" si="4"/>
        <v>19723.18606</v>
      </c>
      <c r="L363" s="49">
        <f t="shared" si="6"/>
        <v>6503676.697</v>
      </c>
      <c r="M363" s="49">
        <f>IF(A363&lt;&gt;"",IF(COUNTIF(investimento!F:F, B363) &gt; 0, SUM(investimento!B:B)+I363, M362+I363),"")</f>
        <v>8074630.681</v>
      </c>
    </row>
    <row r="364" ht="22.5" customHeight="1">
      <c r="A364" s="47">
        <v>50413.0</v>
      </c>
      <c r="B364" s="48" t="str">
        <f t="shared" si="1"/>
        <v>2038-01</v>
      </c>
      <c r="C364" s="49">
        <f>SUMIF(despesas_recorrentes!C:C, "&gt;="&amp;A364,despesas_recorrentes!B:B) 
+SUMIF(despesas_recorrentes!C:C, "",despesas_recorrentes!B:B)
-despesas_recorrentes!$B$12
+IF(SUMIF(gasto_cartao!E:E,saldo!B364,gasto_cartao!B:B)&gt;despesas_recorrentes!$B$12, SUMIF(gasto_cartao!E:E,saldo!B364,gasto_cartao!B:B),despesas_recorrentes!$B$12)</f>
        <v>34013</v>
      </c>
      <c r="D364" s="51">
        <f>SUM(receitas_recorrentes!B:B)+SUMIF(receitas_pontuais!E:E,B364,receitas_pontuais!B:B)</f>
        <v>56919</v>
      </c>
      <c r="E364" s="51">
        <f t="shared" si="2"/>
        <v>22906</v>
      </c>
      <c r="F364" s="53">
        <f>IFERROR(SUMIF(contas!G:G, B364, contas!B:B),0)</f>
        <v>0</v>
      </c>
      <c r="G364" s="51">
        <f>SUMIFS(previsoes!D:D, previsoes!E:E, "&lt;=" &amp; EOMONTH(DATEVALUE(B364&amp;"-01"),0), previsoes!F:F, "&gt;=" &amp; DATEVALUE(B364&amp;"-01"))</f>
        <v>0</v>
      </c>
      <c r="H364" s="52">
        <f t="shared" si="5"/>
        <v>160491.8958</v>
      </c>
      <c r="I364" s="49">
        <f t="shared" si="3"/>
        <v>22906</v>
      </c>
      <c r="J364" s="52">
        <f>IF(A364&lt;&gt;"",SUMIFS(metas!N:N, metas!E:E, "&gt;=" &amp; DATEVALUE(B364&amp;"-01"),metas!D:D, "&lt;=" &amp; DATEVALUE(B364&amp;"-01")),"")</f>
        <v>3182.813937</v>
      </c>
      <c r="K364" s="49">
        <f t="shared" si="4"/>
        <v>19723.18606</v>
      </c>
      <c r="L364" s="49">
        <f t="shared" si="6"/>
        <v>6523399.883</v>
      </c>
      <c r="M364" s="49">
        <f>IF(A364&lt;&gt;"",IF(COUNTIF(investimento!F:F, B364) &gt; 0, SUM(investimento!B:B)+I364, M363+I364),"")</f>
        <v>8097536.681</v>
      </c>
    </row>
    <row r="365" ht="22.5" customHeight="1">
      <c r="A365" s="47">
        <v>50414.0</v>
      </c>
      <c r="B365" s="48" t="str">
        <f t="shared" si="1"/>
        <v>2038-01</v>
      </c>
      <c r="C365" s="49">
        <f>SUMIF(despesas_recorrentes!C:C, "&gt;="&amp;A365,despesas_recorrentes!B:B) 
+SUMIF(despesas_recorrentes!C:C, "",despesas_recorrentes!B:B)
-despesas_recorrentes!$B$12
+IF(SUMIF(gasto_cartao!E:E,saldo!B365,gasto_cartao!B:B)&gt;despesas_recorrentes!$B$12, SUMIF(gasto_cartao!E:E,saldo!B365,gasto_cartao!B:B),despesas_recorrentes!$B$12)</f>
        <v>34013</v>
      </c>
      <c r="D365" s="51">
        <f>SUM(receitas_recorrentes!B:B)+SUMIF(receitas_pontuais!E:E,B365,receitas_pontuais!B:B)</f>
        <v>56919</v>
      </c>
      <c r="E365" s="51">
        <f t="shared" si="2"/>
        <v>22906</v>
      </c>
      <c r="F365" s="53">
        <f>IFERROR(SUMIF(contas!G:G, B365, contas!B:B),0)</f>
        <v>0</v>
      </c>
      <c r="G365" s="51">
        <f>SUMIFS(previsoes!D:D, previsoes!E:E, "&lt;=" &amp; EOMONTH(DATEVALUE(B365&amp;"-01"),0), previsoes!F:F, "&gt;=" &amp; DATEVALUE(B365&amp;"-01"))</f>
        <v>0</v>
      </c>
      <c r="H365" s="52">
        <f t="shared" si="5"/>
        <v>160491.8958</v>
      </c>
      <c r="I365" s="49">
        <f t="shared" si="3"/>
        <v>22906</v>
      </c>
      <c r="J365" s="52">
        <f>IF(A365&lt;&gt;"",SUMIFS(metas!N:N, metas!E:E, "&gt;=" &amp; DATEVALUE(B365&amp;"-01"),metas!D:D, "&lt;=" &amp; DATEVALUE(B365&amp;"-01")),"")</f>
        <v>3182.813937</v>
      </c>
      <c r="K365" s="49">
        <f t="shared" si="4"/>
        <v>19723.18606</v>
      </c>
      <c r="L365" s="49">
        <f t="shared" si="6"/>
        <v>6543123.069</v>
      </c>
      <c r="M365" s="49">
        <f>IF(A365&lt;&gt;"",IF(COUNTIF(investimento!F:F, B365) &gt; 0, SUM(investimento!B:B)+I365, M364+I365),"")</f>
        <v>8120442.681</v>
      </c>
    </row>
    <row r="366" ht="22.5" customHeight="1">
      <c r="A366" s="47">
        <v>50415.0</v>
      </c>
      <c r="B366" s="48" t="str">
        <f t="shared" si="1"/>
        <v>2038-01</v>
      </c>
      <c r="C366" s="49">
        <f>SUMIF(despesas_recorrentes!C:C, "&gt;="&amp;A366,despesas_recorrentes!B:B) 
+SUMIF(despesas_recorrentes!C:C, "",despesas_recorrentes!B:B)
-despesas_recorrentes!$B$12
+IF(SUMIF(gasto_cartao!E:E,saldo!B366,gasto_cartao!B:B)&gt;despesas_recorrentes!$B$12, SUMIF(gasto_cartao!E:E,saldo!B366,gasto_cartao!B:B),despesas_recorrentes!$B$12)</f>
        <v>34013</v>
      </c>
      <c r="D366" s="51">
        <f>SUM(receitas_recorrentes!B:B)+SUMIF(receitas_pontuais!E:E,B366,receitas_pontuais!B:B)</f>
        <v>56919</v>
      </c>
      <c r="E366" s="51">
        <f t="shared" si="2"/>
        <v>22906</v>
      </c>
      <c r="F366" s="53">
        <f>IFERROR(SUMIF(contas!G:G, B366, contas!B:B),0)</f>
        <v>0</v>
      </c>
      <c r="G366" s="51">
        <f>SUMIFS(previsoes!D:D, previsoes!E:E, "&lt;=" &amp; EOMONTH(DATEVALUE(B366&amp;"-01"),0), previsoes!F:F, "&gt;=" &amp; DATEVALUE(B366&amp;"-01"))</f>
        <v>0</v>
      </c>
      <c r="H366" s="52">
        <f t="shared" si="5"/>
        <v>160491.8958</v>
      </c>
      <c r="I366" s="49">
        <f t="shared" si="3"/>
        <v>22906</v>
      </c>
      <c r="J366" s="52">
        <f>IF(A366&lt;&gt;"",SUMIFS(metas!N:N, metas!E:E, "&gt;=" &amp; DATEVALUE(B366&amp;"-01"),metas!D:D, "&lt;=" &amp; DATEVALUE(B366&amp;"-01")),"")</f>
        <v>3182.813937</v>
      </c>
      <c r="K366" s="49">
        <f t="shared" si="4"/>
        <v>19723.18606</v>
      </c>
      <c r="L366" s="49">
        <f t="shared" si="6"/>
        <v>6562846.256</v>
      </c>
      <c r="M366" s="49">
        <f>IF(A366&lt;&gt;"",IF(COUNTIF(investimento!F:F, B366) &gt; 0, SUM(investimento!B:B)+I366, M365+I366),"")</f>
        <v>8143348.681</v>
      </c>
    </row>
    <row r="367" ht="22.5" customHeight="1">
      <c r="A367" s="47">
        <v>50416.0</v>
      </c>
      <c r="B367" s="48" t="str">
        <f t="shared" si="1"/>
        <v>2038-01</v>
      </c>
      <c r="C367" s="49">
        <f>SUMIF(despesas_recorrentes!C:C, "&gt;="&amp;A367,despesas_recorrentes!B:B) 
+SUMIF(despesas_recorrentes!C:C, "",despesas_recorrentes!B:B)
-despesas_recorrentes!$B$12
+IF(SUMIF(gasto_cartao!E:E,saldo!B367,gasto_cartao!B:B)&gt;despesas_recorrentes!$B$12, SUMIF(gasto_cartao!E:E,saldo!B367,gasto_cartao!B:B),despesas_recorrentes!$B$12)</f>
        <v>34013</v>
      </c>
      <c r="D367" s="51">
        <f>SUM(receitas_recorrentes!B:B)+SUMIF(receitas_pontuais!E:E,B367,receitas_pontuais!B:B)</f>
        <v>56919</v>
      </c>
      <c r="E367" s="51">
        <f t="shared" si="2"/>
        <v>22906</v>
      </c>
      <c r="F367" s="53">
        <f>IFERROR(SUMIF(contas!G:G, B367, contas!B:B),0)</f>
        <v>0</v>
      </c>
      <c r="G367" s="51">
        <f>SUMIFS(previsoes!D:D, previsoes!E:E, "&lt;=" &amp; EOMONTH(DATEVALUE(B367&amp;"-01"),0), previsoes!F:F, "&gt;=" &amp; DATEVALUE(B367&amp;"-01"))</f>
        <v>0</v>
      </c>
      <c r="H367" s="52">
        <f t="shared" si="5"/>
        <v>160491.8958</v>
      </c>
      <c r="I367" s="49">
        <f t="shared" si="3"/>
        <v>22906</v>
      </c>
      <c r="J367" s="52">
        <f>IF(A367&lt;&gt;"",SUMIFS(metas!N:N, metas!E:E, "&gt;=" &amp; DATEVALUE(B367&amp;"-01"),metas!D:D, "&lt;=" &amp; DATEVALUE(B367&amp;"-01")),"")</f>
        <v>3182.813937</v>
      </c>
      <c r="K367" s="49">
        <f t="shared" si="4"/>
        <v>19723.18606</v>
      </c>
      <c r="L367" s="49">
        <f t="shared" si="6"/>
        <v>6582569.442</v>
      </c>
      <c r="M367" s="49">
        <f>IF(A367&lt;&gt;"",IF(COUNTIF(investimento!F:F, B367) &gt; 0, SUM(investimento!B:B)+I367, M366+I367),"")</f>
        <v>8166254.681</v>
      </c>
    </row>
    <row r="368" ht="22.5" customHeight="1">
      <c r="A368" s="47">
        <v>50417.0</v>
      </c>
      <c r="B368" s="48" t="str">
        <f t="shared" si="1"/>
        <v>2038-01</v>
      </c>
      <c r="C368" s="49">
        <f>SUMIF(despesas_recorrentes!C:C, "&gt;="&amp;A368,despesas_recorrentes!B:B) 
+SUMIF(despesas_recorrentes!C:C, "",despesas_recorrentes!B:B)
-despesas_recorrentes!$B$12
+IF(SUMIF(gasto_cartao!E:E,saldo!B368,gasto_cartao!B:B)&gt;despesas_recorrentes!$B$12, SUMIF(gasto_cartao!E:E,saldo!B368,gasto_cartao!B:B),despesas_recorrentes!$B$12)</f>
        <v>34013</v>
      </c>
      <c r="D368" s="51">
        <f>SUM(receitas_recorrentes!B:B)+SUMIF(receitas_pontuais!E:E,B368,receitas_pontuais!B:B)</f>
        <v>56919</v>
      </c>
      <c r="E368" s="51">
        <f t="shared" si="2"/>
        <v>22906</v>
      </c>
      <c r="F368" s="53">
        <f>IFERROR(SUMIF(contas!G:G, B368, contas!B:B),0)</f>
        <v>0</v>
      </c>
      <c r="G368" s="51">
        <f>SUMIFS(previsoes!D:D, previsoes!E:E, "&lt;=" &amp; EOMONTH(DATEVALUE(B368&amp;"-01"),0), previsoes!F:F, "&gt;=" &amp; DATEVALUE(B368&amp;"-01"))</f>
        <v>0</v>
      </c>
      <c r="H368" s="52">
        <f t="shared" si="5"/>
        <v>160491.8958</v>
      </c>
      <c r="I368" s="49">
        <f t="shared" si="3"/>
        <v>22906</v>
      </c>
      <c r="J368" s="52">
        <f>IF(A368&lt;&gt;"",SUMIFS(metas!N:N, metas!E:E, "&gt;=" &amp; DATEVALUE(B368&amp;"-01"),metas!D:D, "&lt;=" &amp; DATEVALUE(B368&amp;"-01")),"")</f>
        <v>3182.813937</v>
      </c>
      <c r="K368" s="49">
        <f t="shared" si="4"/>
        <v>19723.18606</v>
      </c>
      <c r="L368" s="49">
        <f t="shared" si="6"/>
        <v>6602292.628</v>
      </c>
      <c r="M368" s="49">
        <f>IF(A368&lt;&gt;"",IF(COUNTIF(investimento!F:F, B368) &gt; 0, SUM(investimento!B:B)+I368, M367+I368),"")</f>
        <v>8189160.681</v>
      </c>
    </row>
    <row r="369" ht="22.5" customHeight="1">
      <c r="A369" s="47">
        <v>50418.0</v>
      </c>
      <c r="B369" s="48" t="str">
        <f t="shared" si="1"/>
        <v>2038-01</v>
      </c>
      <c r="C369" s="49">
        <f>SUMIF(despesas_recorrentes!C:C, "&gt;="&amp;A369,despesas_recorrentes!B:B) 
+SUMIF(despesas_recorrentes!C:C, "",despesas_recorrentes!B:B)
-despesas_recorrentes!$B$12
+IF(SUMIF(gasto_cartao!E:E,saldo!B369,gasto_cartao!B:B)&gt;despesas_recorrentes!$B$12, SUMIF(gasto_cartao!E:E,saldo!B369,gasto_cartao!B:B),despesas_recorrentes!$B$12)</f>
        <v>34013</v>
      </c>
      <c r="D369" s="51">
        <f>SUM(receitas_recorrentes!B:B)+SUMIF(receitas_pontuais!E:E,B369,receitas_pontuais!B:B)</f>
        <v>56919</v>
      </c>
      <c r="E369" s="51">
        <f t="shared" si="2"/>
        <v>22906</v>
      </c>
      <c r="F369" s="53">
        <f>IFERROR(SUMIF(contas!G:G, B369, contas!B:B),0)</f>
        <v>0</v>
      </c>
      <c r="G369" s="51">
        <f>SUMIFS(previsoes!D:D, previsoes!E:E, "&lt;=" &amp; EOMONTH(DATEVALUE(B369&amp;"-01"),0), previsoes!F:F, "&gt;=" &amp; DATEVALUE(B369&amp;"-01"))</f>
        <v>0</v>
      </c>
      <c r="H369" s="52">
        <f t="shared" si="5"/>
        <v>160491.8958</v>
      </c>
      <c r="I369" s="49">
        <f t="shared" si="3"/>
        <v>22906</v>
      </c>
      <c r="J369" s="52">
        <f>IF(A369&lt;&gt;"",SUMIFS(metas!N:N, metas!E:E, "&gt;=" &amp; DATEVALUE(B369&amp;"-01"),metas!D:D, "&lt;=" &amp; DATEVALUE(B369&amp;"-01")),"")</f>
        <v>3182.813937</v>
      </c>
      <c r="K369" s="49">
        <f t="shared" si="4"/>
        <v>19723.18606</v>
      </c>
      <c r="L369" s="49">
        <f t="shared" si="6"/>
        <v>6622015.814</v>
      </c>
      <c r="M369" s="49">
        <f>IF(A369&lt;&gt;"",IF(COUNTIF(investimento!F:F, B369) &gt; 0, SUM(investimento!B:B)+I369, M368+I369),"")</f>
        <v>8212066.681</v>
      </c>
    </row>
    <row r="370" ht="22.5" customHeight="1">
      <c r="A370" s="47">
        <v>50419.0</v>
      </c>
      <c r="B370" s="48" t="str">
        <f t="shared" si="1"/>
        <v>2038-01</v>
      </c>
      <c r="C370" s="49">
        <f>SUMIF(despesas_recorrentes!C:C, "&gt;="&amp;A370,despesas_recorrentes!B:B) 
+SUMIF(despesas_recorrentes!C:C, "",despesas_recorrentes!B:B)
-despesas_recorrentes!$B$12
+IF(SUMIF(gasto_cartao!E:E,saldo!B370,gasto_cartao!B:B)&gt;despesas_recorrentes!$B$12, SUMIF(gasto_cartao!E:E,saldo!B370,gasto_cartao!B:B),despesas_recorrentes!$B$12)</f>
        <v>34013</v>
      </c>
      <c r="D370" s="51">
        <f>SUM(receitas_recorrentes!B:B)+SUMIF(receitas_pontuais!E:E,B370,receitas_pontuais!B:B)</f>
        <v>56919</v>
      </c>
      <c r="E370" s="51">
        <f t="shared" si="2"/>
        <v>22906</v>
      </c>
      <c r="F370" s="53">
        <f>IFERROR(SUMIF(contas!G:G, B370, contas!B:B),0)</f>
        <v>0</v>
      </c>
      <c r="G370" s="51">
        <f>SUMIFS(previsoes!D:D, previsoes!E:E, "&lt;=" &amp; EOMONTH(DATEVALUE(B370&amp;"-01"),0), previsoes!F:F, "&gt;=" &amp; DATEVALUE(B370&amp;"-01"))</f>
        <v>0</v>
      </c>
      <c r="H370" s="52">
        <f t="shared" si="5"/>
        <v>160491.8958</v>
      </c>
      <c r="I370" s="49">
        <f t="shared" si="3"/>
        <v>22906</v>
      </c>
      <c r="J370" s="52">
        <f>IF(A370&lt;&gt;"",SUMIFS(metas!N:N, metas!E:E, "&gt;=" &amp; DATEVALUE(B370&amp;"-01"),metas!D:D, "&lt;=" &amp; DATEVALUE(B370&amp;"-01")),"")</f>
        <v>3182.813937</v>
      </c>
      <c r="K370" s="49">
        <f t="shared" si="4"/>
        <v>19723.18606</v>
      </c>
      <c r="L370" s="49">
        <f t="shared" si="6"/>
        <v>6641739</v>
      </c>
      <c r="M370" s="49">
        <f>IF(A370&lt;&gt;"",IF(COUNTIF(investimento!F:F, B370) &gt; 0, SUM(investimento!B:B)+I370, M369+I370),"")</f>
        <v>8234972.681</v>
      </c>
    </row>
    <row r="371" ht="22.5" customHeight="1">
      <c r="A371" s="47">
        <v>50420.0</v>
      </c>
      <c r="B371" s="48" t="str">
        <f t="shared" si="1"/>
        <v>2038-01</v>
      </c>
      <c r="C371" s="49">
        <f>SUMIF(despesas_recorrentes!C:C, "&gt;="&amp;A371,despesas_recorrentes!B:B) 
+SUMIF(despesas_recorrentes!C:C, "",despesas_recorrentes!B:B)
-despesas_recorrentes!$B$12
+IF(SUMIF(gasto_cartao!E:E,saldo!B371,gasto_cartao!B:B)&gt;despesas_recorrentes!$B$12, SUMIF(gasto_cartao!E:E,saldo!B371,gasto_cartao!B:B),despesas_recorrentes!$B$12)</f>
        <v>34013</v>
      </c>
      <c r="D371" s="51">
        <f>SUM(receitas_recorrentes!B:B)+SUMIF(receitas_pontuais!E:E,B371,receitas_pontuais!B:B)</f>
        <v>56919</v>
      </c>
      <c r="E371" s="51">
        <f t="shared" si="2"/>
        <v>22906</v>
      </c>
      <c r="F371" s="53">
        <f>IFERROR(SUMIF(contas!G:G, B371, contas!B:B),0)</f>
        <v>0</v>
      </c>
      <c r="G371" s="51">
        <f>SUMIFS(previsoes!D:D, previsoes!E:E, "&lt;=" &amp; EOMONTH(DATEVALUE(B371&amp;"-01"),0), previsoes!F:F, "&gt;=" &amp; DATEVALUE(B371&amp;"-01"))</f>
        <v>0</v>
      </c>
      <c r="H371" s="52">
        <f t="shared" si="5"/>
        <v>160491.8958</v>
      </c>
      <c r="I371" s="49">
        <f t="shared" si="3"/>
        <v>22906</v>
      </c>
      <c r="J371" s="52">
        <f>IF(A371&lt;&gt;"",SUMIFS(metas!N:N, metas!E:E, "&gt;=" &amp; DATEVALUE(B371&amp;"-01"),metas!D:D, "&lt;=" &amp; DATEVALUE(B371&amp;"-01")),"")</f>
        <v>3182.813937</v>
      </c>
      <c r="K371" s="49">
        <f t="shared" si="4"/>
        <v>19723.18606</v>
      </c>
      <c r="L371" s="49">
        <f t="shared" si="6"/>
        <v>6661462.186</v>
      </c>
      <c r="M371" s="49">
        <f>IF(A371&lt;&gt;"",IF(COUNTIF(investimento!F:F, B371) &gt; 0, SUM(investimento!B:B)+I371, M370+I371),"")</f>
        <v>8257878.681</v>
      </c>
    </row>
    <row r="372" ht="22.5" customHeight="1">
      <c r="A372" s="47">
        <v>50421.0</v>
      </c>
      <c r="B372" s="48" t="str">
        <f t="shared" si="1"/>
        <v>2038-01</v>
      </c>
      <c r="C372" s="49">
        <f>SUMIF(despesas_recorrentes!C:C, "&gt;="&amp;A372,despesas_recorrentes!B:B) 
+SUMIF(despesas_recorrentes!C:C, "",despesas_recorrentes!B:B)
-despesas_recorrentes!$B$12
+IF(SUMIF(gasto_cartao!E:E,saldo!B372,gasto_cartao!B:B)&gt;despesas_recorrentes!$B$12, SUMIF(gasto_cartao!E:E,saldo!B372,gasto_cartao!B:B),despesas_recorrentes!$B$12)</f>
        <v>34013</v>
      </c>
      <c r="D372" s="51">
        <f>SUM(receitas_recorrentes!B:B)+SUMIF(receitas_pontuais!E:E,B372,receitas_pontuais!B:B)</f>
        <v>56919</v>
      </c>
      <c r="E372" s="51">
        <f t="shared" si="2"/>
        <v>22906</v>
      </c>
      <c r="F372" s="53">
        <f>IFERROR(SUMIF(contas!G:G, B372, contas!B:B),0)</f>
        <v>0</v>
      </c>
      <c r="G372" s="51">
        <f>SUMIFS(previsoes!D:D, previsoes!E:E, "&lt;=" &amp; EOMONTH(DATEVALUE(B372&amp;"-01"),0), previsoes!F:F, "&gt;=" &amp; DATEVALUE(B372&amp;"-01"))</f>
        <v>0</v>
      </c>
      <c r="H372" s="52">
        <f t="shared" si="5"/>
        <v>160491.8958</v>
      </c>
      <c r="I372" s="49">
        <f t="shared" si="3"/>
        <v>22906</v>
      </c>
      <c r="J372" s="52">
        <f>IF(A372&lt;&gt;"",SUMIFS(metas!N:N, metas!E:E, "&gt;=" &amp; DATEVALUE(B372&amp;"-01"),metas!D:D, "&lt;=" &amp; DATEVALUE(B372&amp;"-01")),"")</f>
        <v>3182.813937</v>
      </c>
      <c r="K372" s="49">
        <f t="shared" si="4"/>
        <v>19723.18606</v>
      </c>
      <c r="L372" s="49">
        <f t="shared" si="6"/>
        <v>6681185.372</v>
      </c>
      <c r="M372" s="49">
        <f>IF(A372&lt;&gt;"",IF(COUNTIF(investimento!F:F, B372) &gt; 0, SUM(investimento!B:B)+I372, M371+I372),"")</f>
        <v>8280784.681</v>
      </c>
    </row>
    <row r="373" ht="22.5" customHeight="1">
      <c r="A373" s="47">
        <v>50422.0</v>
      </c>
      <c r="B373" s="48" t="str">
        <f t="shared" si="1"/>
        <v>2038-01</v>
      </c>
      <c r="C373" s="49">
        <f>SUMIF(despesas_recorrentes!C:C, "&gt;="&amp;A373,despesas_recorrentes!B:B) 
+SUMIF(despesas_recorrentes!C:C, "",despesas_recorrentes!B:B)
-despesas_recorrentes!$B$12
+IF(SUMIF(gasto_cartao!E:E,saldo!B373,gasto_cartao!B:B)&gt;despesas_recorrentes!$B$12, SUMIF(gasto_cartao!E:E,saldo!B373,gasto_cartao!B:B),despesas_recorrentes!$B$12)</f>
        <v>34013</v>
      </c>
      <c r="D373" s="51">
        <f>SUM(receitas_recorrentes!B:B)+SUMIF(receitas_pontuais!E:E,B373,receitas_pontuais!B:B)</f>
        <v>56919</v>
      </c>
      <c r="E373" s="51">
        <f t="shared" si="2"/>
        <v>22906</v>
      </c>
      <c r="F373" s="53">
        <f>IFERROR(SUMIF(contas!G:G, B373, contas!B:B),0)</f>
        <v>0</v>
      </c>
      <c r="G373" s="51">
        <f>SUMIFS(previsoes!D:D, previsoes!E:E, "&lt;=" &amp; EOMONTH(DATEVALUE(B373&amp;"-01"),0), previsoes!F:F, "&gt;=" &amp; DATEVALUE(B373&amp;"-01"))</f>
        <v>0</v>
      </c>
      <c r="H373" s="52">
        <f t="shared" si="5"/>
        <v>160491.8958</v>
      </c>
      <c r="I373" s="49">
        <f t="shared" si="3"/>
        <v>22906</v>
      </c>
      <c r="J373" s="52">
        <f>IF(A373&lt;&gt;"",SUMIFS(metas!N:N, metas!E:E, "&gt;=" &amp; DATEVALUE(B373&amp;"-01"),metas!D:D, "&lt;=" &amp; DATEVALUE(B373&amp;"-01")),"")</f>
        <v>3182.813937</v>
      </c>
      <c r="K373" s="49">
        <f t="shared" si="4"/>
        <v>19723.18606</v>
      </c>
      <c r="L373" s="49">
        <f t="shared" si="6"/>
        <v>6700908.558</v>
      </c>
      <c r="M373" s="49">
        <f>IF(A373&lt;&gt;"",IF(COUNTIF(investimento!F:F, B373) &gt; 0, SUM(investimento!B:B)+I373, M372+I373),"")</f>
        <v>8303690.681</v>
      </c>
    </row>
    <row r="374" ht="22.5" customHeight="1">
      <c r="A374" s="47">
        <v>50423.0</v>
      </c>
      <c r="B374" s="48" t="str">
        <f t="shared" si="1"/>
        <v>2038-01</v>
      </c>
      <c r="C374" s="49">
        <f>SUMIF(despesas_recorrentes!C:C, "&gt;="&amp;A374,despesas_recorrentes!B:B) 
+SUMIF(despesas_recorrentes!C:C, "",despesas_recorrentes!B:B)
-despesas_recorrentes!$B$12
+IF(SUMIF(gasto_cartao!E:E,saldo!B374,gasto_cartao!B:B)&gt;despesas_recorrentes!$B$12, SUMIF(gasto_cartao!E:E,saldo!B374,gasto_cartao!B:B),despesas_recorrentes!$B$12)</f>
        <v>34013</v>
      </c>
      <c r="D374" s="51">
        <f>SUM(receitas_recorrentes!B:B)+SUMIF(receitas_pontuais!E:E,B374,receitas_pontuais!B:B)</f>
        <v>56919</v>
      </c>
      <c r="E374" s="51">
        <f t="shared" si="2"/>
        <v>22906</v>
      </c>
      <c r="F374" s="53">
        <f>IFERROR(SUMIF(contas!G:G, B374, contas!B:B),0)</f>
        <v>0</v>
      </c>
      <c r="G374" s="51">
        <f>SUMIFS(previsoes!D:D, previsoes!E:E, "&lt;=" &amp; EOMONTH(DATEVALUE(B374&amp;"-01"),0), previsoes!F:F, "&gt;=" &amp; DATEVALUE(B374&amp;"-01"))</f>
        <v>0</v>
      </c>
      <c r="H374" s="52">
        <f t="shared" si="5"/>
        <v>160491.8958</v>
      </c>
      <c r="I374" s="49">
        <f t="shared" si="3"/>
        <v>22906</v>
      </c>
      <c r="J374" s="52">
        <f>IF(A374&lt;&gt;"",SUMIFS(metas!N:N, metas!E:E, "&gt;=" &amp; DATEVALUE(B374&amp;"-01"),metas!D:D, "&lt;=" &amp; DATEVALUE(B374&amp;"-01")),"")</f>
        <v>3182.813937</v>
      </c>
      <c r="K374" s="49">
        <f t="shared" si="4"/>
        <v>19723.18606</v>
      </c>
      <c r="L374" s="49">
        <f t="shared" si="6"/>
        <v>6720631.744</v>
      </c>
      <c r="M374" s="49">
        <f>IF(A374&lt;&gt;"",IF(COUNTIF(investimento!F:F, B374) &gt; 0, SUM(investimento!B:B)+I374, M373+I374),"")</f>
        <v>8326596.681</v>
      </c>
    </row>
    <row r="375" ht="22.5" customHeight="1">
      <c r="A375" s="47">
        <v>50424.0</v>
      </c>
      <c r="B375" s="48" t="str">
        <f t="shared" si="1"/>
        <v>2038-01</v>
      </c>
      <c r="C375" s="49">
        <f>SUMIF(despesas_recorrentes!C:C, "&gt;="&amp;A375,despesas_recorrentes!B:B) 
+SUMIF(despesas_recorrentes!C:C, "",despesas_recorrentes!B:B)
-despesas_recorrentes!$B$12
+IF(SUMIF(gasto_cartao!E:E,saldo!B375,gasto_cartao!B:B)&gt;despesas_recorrentes!$B$12, SUMIF(gasto_cartao!E:E,saldo!B375,gasto_cartao!B:B),despesas_recorrentes!$B$12)</f>
        <v>34013</v>
      </c>
      <c r="D375" s="51">
        <f>SUM(receitas_recorrentes!B:B)+SUMIF(receitas_pontuais!E:E,B375,receitas_pontuais!B:B)</f>
        <v>56919</v>
      </c>
      <c r="E375" s="51">
        <f t="shared" si="2"/>
        <v>22906</v>
      </c>
      <c r="F375" s="53">
        <f>IFERROR(SUMIF(contas!G:G, B375, contas!B:B),0)</f>
        <v>0</v>
      </c>
      <c r="G375" s="51">
        <f>SUMIFS(previsoes!D:D, previsoes!E:E, "&lt;=" &amp; EOMONTH(DATEVALUE(B375&amp;"-01"),0), previsoes!F:F, "&gt;=" &amp; DATEVALUE(B375&amp;"-01"))</f>
        <v>0</v>
      </c>
      <c r="H375" s="52">
        <f t="shared" si="5"/>
        <v>160491.8958</v>
      </c>
      <c r="I375" s="49">
        <f t="shared" si="3"/>
        <v>22906</v>
      </c>
      <c r="J375" s="52">
        <f>IF(A375&lt;&gt;"",SUMIFS(metas!N:N, metas!E:E, "&gt;=" &amp; DATEVALUE(B375&amp;"-01"),metas!D:D, "&lt;=" &amp; DATEVALUE(B375&amp;"-01")),"")</f>
        <v>3182.813937</v>
      </c>
      <c r="K375" s="49">
        <f t="shared" si="4"/>
        <v>19723.18606</v>
      </c>
      <c r="L375" s="49">
        <f t="shared" si="6"/>
        <v>6740354.93</v>
      </c>
      <c r="M375" s="49">
        <f>IF(A375&lt;&gt;"",IF(COUNTIF(investimento!F:F, B375) &gt; 0, SUM(investimento!B:B)+I375, M374+I375),"")</f>
        <v>8349502.681</v>
      </c>
    </row>
    <row r="376" ht="22.5" customHeight="1">
      <c r="A376" s="47">
        <v>50425.0</v>
      </c>
      <c r="B376" s="48" t="str">
        <f t="shared" si="1"/>
        <v>2038-01</v>
      </c>
      <c r="C376" s="49">
        <f>SUMIF(despesas_recorrentes!C:C, "&gt;="&amp;A376,despesas_recorrentes!B:B) 
+SUMIF(despesas_recorrentes!C:C, "",despesas_recorrentes!B:B)
-despesas_recorrentes!$B$12
+IF(SUMIF(gasto_cartao!E:E,saldo!B376,gasto_cartao!B:B)&gt;despesas_recorrentes!$B$12, SUMIF(gasto_cartao!E:E,saldo!B376,gasto_cartao!B:B),despesas_recorrentes!$B$12)</f>
        <v>34013</v>
      </c>
      <c r="D376" s="51">
        <f>SUM(receitas_recorrentes!B:B)+SUMIF(receitas_pontuais!E:E,B376,receitas_pontuais!B:B)</f>
        <v>56919</v>
      </c>
      <c r="E376" s="51">
        <f t="shared" si="2"/>
        <v>22906</v>
      </c>
      <c r="F376" s="53">
        <f>IFERROR(SUMIF(contas!G:G, B376, contas!B:B),0)</f>
        <v>0</v>
      </c>
      <c r="G376" s="51">
        <f>SUMIFS(previsoes!D:D, previsoes!E:E, "&lt;=" &amp; EOMONTH(DATEVALUE(B376&amp;"-01"),0), previsoes!F:F, "&gt;=" &amp; DATEVALUE(B376&amp;"-01"))</f>
        <v>0</v>
      </c>
      <c r="H376" s="52">
        <f t="shared" si="5"/>
        <v>160491.8958</v>
      </c>
      <c r="I376" s="49">
        <f t="shared" si="3"/>
        <v>22906</v>
      </c>
      <c r="J376" s="52">
        <f>IF(A376&lt;&gt;"",SUMIFS(metas!N:N, metas!E:E, "&gt;=" &amp; DATEVALUE(B376&amp;"-01"),metas!D:D, "&lt;=" &amp; DATEVALUE(B376&amp;"-01")),"")</f>
        <v>3182.813937</v>
      </c>
      <c r="K376" s="49">
        <f t="shared" si="4"/>
        <v>19723.18606</v>
      </c>
      <c r="L376" s="49">
        <f t="shared" si="6"/>
        <v>6760078.116</v>
      </c>
      <c r="M376" s="49">
        <f>IF(A376&lt;&gt;"",IF(COUNTIF(investimento!F:F, B376) &gt; 0, SUM(investimento!B:B)+I376, M375+I376),"")</f>
        <v>8372408.681</v>
      </c>
    </row>
    <row r="377" ht="22.5" customHeight="1">
      <c r="A377" s="47">
        <v>50426.0</v>
      </c>
      <c r="B377" s="48" t="str">
        <f t="shared" si="1"/>
        <v>2038-01</v>
      </c>
      <c r="C377" s="49">
        <f>SUMIF(despesas_recorrentes!C:C, "&gt;="&amp;A377,despesas_recorrentes!B:B) 
+SUMIF(despesas_recorrentes!C:C, "",despesas_recorrentes!B:B)
-despesas_recorrentes!$B$12
+IF(SUMIF(gasto_cartao!E:E,saldo!B377,gasto_cartao!B:B)&gt;despesas_recorrentes!$B$12, SUMIF(gasto_cartao!E:E,saldo!B377,gasto_cartao!B:B),despesas_recorrentes!$B$12)</f>
        <v>34013</v>
      </c>
      <c r="D377" s="51">
        <f>SUM(receitas_recorrentes!B:B)+SUMIF(receitas_pontuais!E:E,B377,receitas_pontuais!B:B)</f>
        <v>56919</v>
      </c>
      <c r="E377" s="51">
        <f t="shared" si="2"/>
        <v>22906</v>
      </c>
      <c r="F377" s="53">
        <f>IFERROR(SUMIF(contas!G:G, B377, contas!B:B),0)</f>
        <v>0</v>
      </c>
      <c r="G377" s="51">
        <f>SUMIFS(previsoes!D:D, previsoes!E:E, "&lt;=" &amp; EOMONTH(DATEVALUE(B377&amp;"-01"),0), previsoes!F:F, "&gt;=" &amp; DATEVALUE(B377&amp;"-01"))</f>
        <v>0</v>
      </c>
      <c r="H377" s="52">
        <f t="shared" si="5"/>
        <v>160491.8958</v>
      </c>
      <c r="I377" s="49">
        <f t="shared" si="3"/>
        <v>22906</v>
      </c>
      <c r="J377" s="52">
        <f>IF(A377&lt;&gt;"",SUMIFS(metas!N:N, metas!E:E, "&gt;=" &amp; DATEVALUE(B377&amp;"-01"),metas!D:D, "&lt;=" &amp; DATEVALUE(B377&amp;"-01")),"")</f>
        <v>3182.813937</v>
      </c>
      <c r="K377" s="49">
        <f t="shared" si="4"/>
        <v>19723.18606</v>
      </c>
      <c r="L377" s="49">
        <f t="shared" si="6"/>
        <v>6779801.302</v>
      </c>
      <c r="M377" s="49">
        <f>IF(A377&lt;&gt;"",IF(COUNTIF(investimento!F:F, B377) &gt; 0, SUM(investimento!B:B)+I377, M376+I377),"")</f>
        <v>8395314.681</v>
      </c>
    </row>
    <row r="378" ht="22.5" customHeight="1">
      <c r="A378" s="47">
        <v>50427.0</v>
      </c>
      <c r="B378" s="48" t="str">
        <f t="shared" si="1"/>
        <v>2038-01</v>
      </c>
      <c r="C378" s="49">
        <f>SUMIF(despesas_recorrentes!C:C, "&gt;="&amp;A378,despesas_recorrentes!B:B) 
+SUMIF(despesas_recorrentes!C:C, "",despesas_recorrentes!B:B)
-despesas_recorrentes!$B$12
+IF(SUMIF(gasto_cartao!E:E,saldo!B378,gasto_cartao!B:B)&gt;despesas_recorrentes!$B$12, SUMIF(gasto_cartao!E:E,saldo!B378,gasto_cartao!B:B),despesas_recorrentes!$B$12)</f>
        <v>34013</v>
      </c>
      <c r="D378" s="51">
        <f>SUM(receitas_recorrentes!B:B)+SUMIF(receitas_pontuais!E:E,B378,receitas_pontuais!B:B)</f>
        <v>56919</v>
      </c>
      <c r="E378" s="51">
        <f t="shared" si="2"/>
        <v>22906</v>
      </c>
      <c r="F378" s="53">
        <f>IFERROR(SUMIF(contas!G:G, B378, contas!B:B),0)</f>
        <v>0</v>
      </c>
      <c r="G378" s="51">
        <f>SUMIFS(previsoes!D:D, previsoes!E:E, "&lt;=" &amp; EOMONTH(DATEVALUE(B378&amp;"-01"),0), previsoes!F:F, "&gt;=" &amp; DATEVALUE(B378&amp;"-01"))</f>
        <v>0</v>
      </c>
      <c r="H378" s="52">
        <f t="shared" si="5"/>
        <v>160491.8958</v>
      </c>
      <c r="I378" s="49">
        <f t="shared" si="3"/>
        <v>22906</v>
      </c>
      <c r="J378" s="52">
        <f>IF(A378&lt;&gt;"",SUMIFS(metas!N:N, metas!E:E, "&gt;=" &amp; DATEVALUE(B378&amp;"-01"),metas!D:D, "&lt;=" &amp; DATEVALUE(B378&amp;"-01")),"")</f>
        <v>3182.813937</v>
      </c>
      <c r="K378" s="49">
        <f t="shared" si="4"/>
        <v>19723.18606</v>
      </c>
      <c r="L378" s="49">
        <f t="shared" si="6"/>
        <v>6799524.488</v>
      </c>
      <c r="M378" s="49">
        <f>IF(A378&lt;&gt;"",IF(COUNTIF(investimento!F:F, B378) &gt; 0, SUM(investimento!B:B)+I378, M377+I378),"")</f>
        <v>8418220.681</v>
      </c>
    </row>
    <row r="379" ht="22.5" customHeight="1">
      <c r="A379" s="47">
        <v>50428.0</v>
      </c>
      <c r="B379" s="48" t="str">
        <f t="shared" si="1"/>
        <v>2038-01</v>
      </c>
      <c r="C379" s="49">
        <f>SUMIF(despesas_recorrentes!C:C, "&gt;="&amp;A379,despesas_recorrentes!B:B) 
+SUMIF(despesas_recorrentes!C:C, "",despesas_recorrentes!B:B)
-despesas_recorrentes!$B$12
+IF(SUMIF(gasto_cartao!E:E,saldo!B379,gasto_cartao!B:B)&gt;despesas_recorrentes!$B$12, SUMIF(gasto_cartao!E:E,saldo!B379,gasto_cartao!B:B),despesas_recorrentes!$B$12)</f>
        <v>34013</v>
      </c>
      <c r="D379" s="51">
        <f>SUM(receitas_recorrentes!B:B)+SUMIF(receitas_pontuais!E:E,B379,receitas_pontuais!B:B)</f>
        <v>56919</v>
      </c>
      <c r="E379" s="51">
        <f t="shared" si="2"/>
        <v>22906</v>
      </c>
      <c r="F379" s="53">
        <f>IFERROR(SUMIF(contas!G:G, B379, contas!B:B),0)</f>
        <v>0</v>
      </c>
      <c r="G379" s="51">
        <f>SUMIFS(previsoes!D:D, previsoes!E:E, "&lt;=" &amp; EOMONTH(DATEVALUE(B379&amp;"-01"),0), previsoes!F:F, "&gt;=" &amp; DATEVALUE(B379&amp;"-01"))</f>
        <v>0</v>
      </c>
      <c r="H379" s="52">
        <f t="shared" si="5"/>
        <v>160491.8958</v>
      </c>
      <c r="I379" s="49">
        <f t="shared" si="3"/>
        <v>22906</v>
      </c>
      <c r="J379" s="52">
        <f>IF(A379&lt;&gt;"",SUMIFS(metas!N:N, metas!E:E, "&gt;=" &amp; DATEVALUE(B379&amp;"-01"),metas!D:D, "&lt;=" &amp; DATEVALUE(B379&amp;"-01")),"")</f>
        <v>3182.813937</v>
      </c>
      <c r="K379" s="49">
        <f t="shared" si="4"/>
        <v>19723.18606</v>
      </c>
      <c r="L379" s="49">
        <f t="shared" si="6"/>
        <v>6819247.674</v>
      </c>
      <c r="M379" s="49">
        <f>IF(A379&lt;&gt;"",IF(COUNTIF(investimento!F:F, B379) &gt; 0, SUM(investimento!B:B)+I379, M378+I379),"")</f>
        <v>8441126.681</v>
      </c>
    </row>
    <row r="380" ht="22.5" customHeight="1">
      <c r="A380" s="47">
        <v>50429.0</v>
      </c>
      <c r="B380" s="48" t="str">
        <f t="shared" si="1"/>
        <v>2038-01</v>
      </c>
      <c r="C380" s="49">
        <f>SUMIF(despesas_recorrentes!C:C, "&gt;="&amp;A380,despesas_recorrentes!B:B) 
+SUMIF(despesas_recorrentes!C:C, "",despesas_recorrentes!B:B)
-despesas_recorrentes!$B$12
+IF(SUMIF(gasto_cartao!E:E,saldo!B380,gasto_cartao!B:B)&gt;despesas_recorrentes!$B$12, SUMIF(gasto_cartao!E:E,saldo!B380,gasto_cartao!B:B),despesas_recorrentes!$B$12)</f>
        <v>34013</v>
      </c>
      <c r="D380" s="51">
        <f>SUM(receitas_recorrentes!B:B)+SUMIF(receitas_pontuais!E:E,B380,receitas_pontuais!B:B)</f>
        <v>56919</v>
      </c>
      <c r="E380" s="51">
        <f t="shared" si="2"/>
        <v>22906</v>
      </c>
      <c r="F380" s="53">
        <f>IFERROR(SUMIF(contas!G:G, B380, contas!B:B),0)</f>
        <v>0</v>
      </c>
      <c r="G380" s="51">
        <f>SUMIFS(previsoes!D:D, previsoes!E:E, "&lt;=" &amp; EOMONTH(DATEVALUE(B380&amp;"-01"),0), previsoes!F:F, "&gt;=" &amp; DATEVALUE(B380&amp;"-01"))</f>
        <v>0</v>
      </c>
      <c r="H380" s="52">
        <f t="shared" si="5"/>
        <v>160491.8958</v>
      </c>
      <c r="I380" s="49">
        <f t="shared" si="3"/>
        <v>22906</v>
      </c>
      <c r="J380" s="52">
        <f>IF(A380&lt;&gt;"",SUMIFS(metas!N:N, metas!E:E, "&gt;=" &amp; DATEVALUE(B380&amp;"-01"),metas!D:D, "&lt;=" &amp; DATEVALUE(B380&amp;"-01")),"")</f>
        <v>3182.813937</v>
      </c>
      <c r="K380" s="49">
        <f t="shared" si="4"/>
        <v>19723.18606</v>
      </c>
      <c r="L380" s="49">
        <f t="shared" si="6"/>
        <v>6838970.86</v>
      </c>
      <c r="M380" s="49">
        <f>IF(A380&lt;&gt;"",IF(COUNTIF(investimento!F:F, B380) &gt; 0, SUM(investimento!B:B)+I380, M379+I380),"")</f>
        <v>8464032.681</v>
      </c>
    </row>
    <row r="381" ht="22.5" customHeight="1">
      <c r="A381" s="47">
        <v>50430.0</v>
      </c>
      <c r="B381" s="48" t="str">
        <f t="shared" si="1"/>
        <v>2038-01</v>
      </c>
      <c r="C381" s="49">
        <f>SUMIF(despesas_recorrentes!C:C, "&gt;="&amp;A381,despesas_recorrentes!B:B) 
+SUMIF(despesas_recorrentes!C:C, "",despesas_recorrentes!B:B)
-despesas_recorrentes!$B$12
+IF(SUMIF(gasto_cartao!E:E,saldo!B381,gasto_cartao!B:B)&gt;despesas_recorrentes!$B$12, SUMIF(gasto_cartao!E:E,saldo!B381,gasto_cartao!B:B),despesas_recorrentes!$B$12)</f>
        <v>34013</v>
      </c>
      <c r="D381" s="51">
        <f>SUM(receitas_recorrentes!B:B)+SUMIF(receitas_pontuais!E:E,B381,receitas_pontuais!B:B)</f>
        <v>56919</v>
      </c>
      <c r="E381" s="51">
        <f t="shared" si="2"/>
        <v>22906</v>
      </c>
      <c r="F381" s="53">
        <f>IFERROR(SUMIF(contas!G:G, B381, contas!B:B),0)</f>
        <v>0</v>
      </c>
      <c r="G381" s="51">
        <f>SUMIFS(previsoes!D:D, previsoes!E:E, "&lt;=" &amp; EOMONTH(DATEVALUE(B381&amp;"-01"),0), previsoes!F:F, "&gt;=" &amp; DATEVALUE(B381&amp;"-01"))</f>
        <v>0</v>
      </c>
      <c r="H381" s="52">
        <f t="shared" si="5"/>
        <v>160491.8958</v>
      </c>
      <c r="I381" s="49">
        <f t="shared" si="3"/>
        <v>22906</v>
      </c>
      <c r="J381" s="52">
        <f>IF(A381&lt;&gt;"",SUMIFS(metas!N:N, metas!E:E, "&gt;=" &amp; DATEVALUE(B381&amp;"-01"),metas!D:D, "&lt;=" &amp; DATEVALUE(B381&amp;"-01")),"")</f>
        <v>3182.813937</v>
      </c>
      <c r="K381" s="49">
        <f t="shared" si="4"/>
        <v>19723.18606</v>
      </c>
      <c r="L381" s="49">
        <f t="shared" si="6"/>
        <v>6858694.046</v>
      </c>
      <c r="M381" s="49">
        <f>IF(A381&lt;&gt;"",IF(COUNTIF(investimento!F:F, B381) &gt; 0, SUM(investimento!B:B)+I381, M380+I381),"")</f>
        <v>8486938.681</v>
      </c>
    </row>
    <row r="382" ht="22.5" customHeight="1">
      <c r="A382" s="47">
        <v>50431.0</v>
      </c>
      <c r="B382" s="48" t="str">
        <f t="shared" si="1"/>
        <v>2038-01</v>
      </c>
      <c r="C382" s="49">
        <f>SUMIF(despesas_recorrentes!C:C, "&gt;="&amp;A382,despesas_recorrentes!B:B) 
+SUMIF(despesas_recorrentes!C:C, "",despesas_recorrentes!B:B)
-despesas_recorrentes!$B$12
+IF(SUMIF(gasto_cartao!E:E,saldo!B382,gasto_cartao!B:B)&gt;despesas_recorrentes!$B$12, SUMIF(gasto_cartao!E:E,saldo!B382,gasto_cartao!B:B),despesas_recorrentes!$B$12)</f>
        <v>34013</v>
      </c>
      <c r="D382" s="51">
        <f>SUM(receitas_recorrentes!B:B)+SUMIF(receitas_pontuais!E:E,B382,receitas_pontuais!B:B)</f>
        <v>56919</v>
      </c>
      <c r="E382" s="51">
        <f t="shared" si="2"/>
        <v>22906</v>
      </c>
      <c r="F382" s="53">
        <f>IFERROR(SUMIF(contas!G:G, B382, contas!B:B),0)</f>
        <v>0</v>
      </c>
      <c r="G382" s="51">
        <f>SUMIFS(previsoes!D:D, previsoes!E:E, "&lt;=" &amp; EOMONTH(DATEVALUE(B382&amp;"-01"),0), previsoes!F:F, "&gt;=" &amp; DATEVALUE(B382&amp;"-01"))</f>
        <v>0</v>
      </c>
      <c r="H382" s="52">
        <f t="shared" si="5"/>
        <v>160491.8958</v>
      </c>
      <c r="I382" s="49">
        <f t="shared" si="3"/>
        <v>22906</v>
      </c>
      <c r="J382" s="52">
        <f>IF(A382&lt;&gt;"",SUMIFS(metas!N:N, metas!E:E, "&gt;=" &amp; DATEVALUE(B382&amp;"-01"),metas!D:D, "&lt;=" &amp; DATEVALUE(B382&amp;"-01")),"")</f>
        <v>3182.813937</v>
      </c>
      <c r="K382" s="49">
        <f t="shared" si="4"/>
        <v>19723.18606</v>
      </c>
      <c r="L382" s="49">
        <f t="shared" si="6"/>
        <v>6878417.233</v>
      </c>
      <c r="M382" s="49">
        <f>IF(A382&lt;&gt;"",IF(COUNTIF(investimento!F:F, B382) &gt; 0, SUM(investimento!B:B)+I382, M381+I382),"")</f>
        <v>8509844.681</v>
      </c>
    </row>
    <row r="383" ht="22.5" customHeight="1">
      <c r="A383" s="47">
        <v>50432.0</v>
      </c>
      <c r="B383" s="48" t="str">
        <f t="shared" si="1"/>
        <v>2038-01</v>
      </c>
      <c r="C383" s="49">
        <f>SUMIF(despesas_recorrentes!C:C, "&gt;="&amp;A383,despesas_recorrentes!B:B) 
+SUMIF(despesas_recorrentes!C:C, "",despesas_recorrentes!B:B)
-despesas_recorrentes!$B$12
+IF(SUMIF(gasto_cartao!E:E,saldo!B383,gasto_cartao!B:B)&gt;despesas_recorrentes!$B$12, SUMIF(gasto_cartao!E:E,saldo!B383,gasto_cartao!B:B),despesas_recorrentes!$B$12)</f>
        <v>34013</v>
      </c>
      <c r="D383" s="51">
        <f>SUM(receitas_recorrentes!B:B)+SUMIF(receitas_pontuais!E:E,B383,receitas_pontuais!B:B)</f>
        <v>56919</v>
      </c>
      <c r="E383" s="51">
        <f t="shared" si="2"/>
        <v>22906</v>
      </c>
      <c r="F383" s="53">
        <f>IFERROR(SUMIF(contas!G:G, B383, contas!B:B),0)</f>
        <v>0</v>
      </c>
      <c r="G383" s="51">
        <f>SUMIFS(previsoes!D:D, previsoes!E:E, "&lt;=" &amp; EOMONTH(DATEVALUE(B383&amp;"-01"),0), previsoes!F:F, "&gt;=" &amp; DATEVALUE(B383&amp;"-01"))</f>
        <v>0</v>
      </c>
      <c r="H383" s="52">
        <f t="shared" si="5"/>
        <v>160491.8958</v>
      </c>
      <c r="I383" s="49">
        <f t="shared" si="3"/>
        <v>22906</v>
      </c>
      <c r="J383" s="52">
        <f>IF(A383&lt;&gt;"",SUMIFS(metas!N:N, metas!E:E, "&gt;=" &amp; DATEVALUE(B383&amp;"-01"),metas!D:D, "&lt;=" &amp; DATEVALUE(B383&amp;"-01")),"")</f>
        <v>3182.813937</v>
      </c>
      <c r="K383" s="49">
        <f t="shared" si="4"/>
        <v>19723.18606</v>
      </c>
      <c r="L383" s="49">
        <f t="shared" si="6"/>
        <v>6898140.419</v>
      </c>
      <c r="M383" s="49">
        <f>IF(A383&lt;&gt;"",IF(COUNTIF(investimento!F:F, B383) &gt; 0, SUM(investimento!B:B)+I383, M382+I383),"")</f>
        <v>8532750.681</v>
      </c>
    </row>
    <row r="384" ht="22.5" customHeight="1">
      <c r="A384" s="47">
        <v>50433.0</v>
      </c>
      <c r="B384" s="48" t="str">
        <f t="shared" si="1"/>
        <v>2038-01</v>
      </c>
      <c r="C384" s="49">
        <f>SUMIF(despesas_recorrentes!C:C, "&gt;="&amp;A384,despesas_recorrentes!B:B) 
+SUMIF(despesas_recorrentes!C:C, "",despesas_recorrentes!B:B)
-despesas_recorrentes!$B$12
+IF(SUMIF(gasto_cartao!E:E,saldo!B384,gasto_cartao!B:B)&gt;despesas_recorrentes!$B$12, SUMIF(gasto_cartao!E:E,saldo!B384,gasto_cartao!B:B),despesas_recorrentes!$B$12)</f>
        <v>34013</v>
      </c>
      <c r="D384" s="51">
        <f>SUM(receitas_recorrentes!B:B)+SUMIF(receitas_pontuais!E:E,B384,receitas_pontuais!B:B)</f>
        <v>56919</v>
      </c>
      <c r="E384" s="51">
        <f t="shared" si="2"/>
        <v>22906</v>
      </c>
      <c r="F384" s="53">
        <f>IFERROR(SUMIF(contas!G:G, B384, contas!B:B),0)</f>
        <v>0</v>
      </c>
      <c r="G384" s="51">
        <f>SUMIFS(previsoes!D:D, previsoes!E:E, "&lt;=" &amp; EOMONTH(DATEVALUE(B384&amp;"-01"),0), previsoes!F:F, "&gt;=" &amp; DATEVALUE(B384&amp;"-01"))</f>
        <v>0</v>
      </c>
      <c r="H384" s="52">
        <f t="shared" si="5"/>
        <v>160491.8958</v>
      </c>
      <c r="I384" s="49">
        <f t="shared" si="3"/>
        <v>22906</v>
      </c>
      <c r="J384" s="52">
        <f>IF(A384&lt;&gt;"",SUMIFS(metas!N:N, metas!E:E, "&gt;=" &amp; DATEVALUE(B384&amp;"-01"),metas!D:D, "&lt;=" &amp; DATEVALUE(B384&amp;"-01")),"")</f>
        <v>3182.813937</v>
      </c>
      <c r="K384" s="49">
        <f t="shared" si="4"/>
        <v>19723.18606</v>
      </c>
      <c r="L384" s="49">
        <f t="shared" si="6"/>
        <v>6917863.605</v>
      </c>
      <c r="M384" s="49">
        <f>IF(A384&lt;&gt;"",IF(COUNTIF(investimento!F:F, B384) &gt; 0, SUM(investimento!B:B)+I384, M383+I384),"")</f>
        <v>8555656.681</v>
      </c>
    </row>
    <row r="385" ht="22.5" customHeight="1">
      <c r="A385" s="47">
        <v>50434.0</v>
      </c>
      <c r="B385" s="48" t="str">
        <f t="shared" si="1"/>
        <v>2038-01</v>
      </c>
      <c r="C385" s="49">
        <f>SUMIF(despesas_recorrentes!C:C, "&gt;="&amp;A385,despesas_recorrentes!B:B) 
+SUMIF(despesas_recorrentes!C:C, "",despesas_recorrentes!B:B)
-despesas_recorrentes!$B$12
+IF(SUMIF(gasto_cartao!E:E,saldo!B385,gasto_cartao!B:B)&gt;despesas_recorrentes!$B$12, SUMIF(gasto_cartao!E:E,saldo!B385,gasto_cartao!B:B),despesas_recorrentes!$B$12)</f>
        <v>34013</v>
      </c>
      <c r="D385" s="51">
        <f>SUM(receitas_recorrentes!B:B)+SUMIF(receitas_pontuais!E:E,B385,receitas_pontuais!B:B)</f>
        <v>56919</v>
      </c>
      <c r="E385" s="51">
        <f t="shared" si="2"/>
        <v>22906</v>
      </c>
      <c r="F385" s="53">
        <f>IFERROR(SUMIF(contas!G:G, B385, contas!B:B),0)</f>
        <v>0</v>
      </c>
      <c r="G385" s="51">
        <f>SUMIFS(previsoes!D:D, previsoes!E:E, "&lt;=" &amp; EOMONTH(DATEVALUE(B385&amp;"-01"),0), previsoes!F:F, "&gt;=" &amp; DATEVALUE(B385&amp;"-01"))</f>
        <v>0</v>
      </c>
      <c r="H385" s="52">
        <f t="shared" si="5"/>
        <v>160491.8958</v>
      </c>
      <c r="I385" s="49">
        <f t="shared" si="3"/>
        <v>22906</v>
      </c>
      <c r="J385" s="52">
        <f>IF(A385&lt;&gt;"",SUMIFS(metas!N:N, metas!E:E, "&gt;=" &amp; DATEVALUE(B385&amp;"-01"),metas!D:D, "&lt;=" &amp; DATEVALUE(B385&amp;"-01")),"")</f>
        <v>3182.813937</v>
      </c>
      <c r="K385" s="49">
        <f t="shared" si="4"/>
        <v>19723.18606</v>
      </c>
      <c r="L385" s="49">
        <f t="shared" si="6"/>
        <v>6937586.791</v>
      </c>
      <c r="M385" s="49">
        <f>IF(A385&lt;&gt;"",IF(COUNTIF(investimento!F:F, B385) &gt; 0, SUM(investimento!B:B)+I385, M384+I385),"")</f>
        <v>8578562.681</v>
      </c>
    </row>
    <row r="386" ht="22.5" customHeight="1">
      <c r="A386" s="47">
        <v>50435.0</v>
      </c>
      <c r="B386" s="48" t="str">
        <f t="shared" si="1"/>
        <v>2038-01</v>
      </c>
      <c r="C386" s="49">
        <f>SUMIF(despesas_recorrentes!C:C, "&gt;="&amp;A386,despesas_recorrentes!B:B) 
+SUMIF(despesas_recorrentes!C:C, "",despesas_recorrentes!B:B)
-despesas_recorrentes!$B$12
+IF(SUMIF(gasto_cartao!E:E,saldo!B386,gasto_cartao!B:B)&gt;despesas_recorrentes!$B$12, SUMIF(gasto_cartao!E:E,saldo!B386,gasto_cartao!B:B),despesas_recorrentes!$B$12)</f>
        <v>34013</v>
      </c>
      <c r="D386" s="51">
        <f>SUM(receitas_recorrentes!B:B)+SUMIF(receitas_pontuais!E:E,B386,receitas_pontuais!B:B)</f>
        <v>56919</v>
      </c>
      <c r="E386" s="51">
        <f t="shared" si="2"/>
        <v>22906</v>
      </c>
      <c r="F386" s="53">
        <f>IFERROR(SUMIF(contas!G:G, B386, contas!B:B),0)</f>
        <v>0</v>
      </c>
      <c r="G386" s="51">
        <f>SUMIFS(previsoes!D:D, previsoes!E:E, "&lt;=" &amp; EOMONTH(DATEVALUE(B386&amp;"-01"),0), previsoes!F:F, "&gt;=" &amp; DATEVALUE(B386&amp;"-01"))</f>
        <v>0</v>
      </c>
      <c r="H386" s="52">
        <f t="shared" si="5"/>
        <v>160491.8958</v>
      </c>
      <c r="I386" s="49">
        <f t="shared" si="3"/>
        <v>22906</v>
      </c>
      <c r="J386" s="52">
        <f>IF(A386&lt;&gt;"",SUMIFS(metas!N:N, metas!E:E, "&gt;=" &amp; DATEVALUE(B386&amp;"-01"),metas!D:D, "&lt;=" &amp; DATEVALUE(B386&amp;"-01")),"")</f>
        <v>3182.813937</v>
      </c>
      <c r="K386" s="49">
        <f t="shared" si="4"/>
        <v>19723.18606</v>
      </c>
      <c r="L386" s="49">
        <f t="shared" si="6"/>
        <v>6957309.977</v>
      </c>
      <c r="M386" s="49">
        <f>IF(A386&lt;&gt;"",IF(COUNTIF(investimento!F:F, B386) &gt; 0, SUM(investimento!B:B)+I386, M385+I386),"")</f>
        <v>8601468.681</v>
      </c>
    </row>
    <row r="387" ht="22.5" customHeight="1">
      <c r="A387" s="47">
        <v>50436.0</v>
      </c>
      <c r="B387" s="48" t="str">
        <f t="shared" si="1"/>
        <v>2038-01</v>
      </c>
      <c r="C387" s="49">
        <f>SUMIF(despesas_recorrentes!C:C, "&gt;="&amp;A387,despesas_recorrentes!B:B) 
+SUMIF(despesas_recorrentes!C:C, "",despesas_recorrentes!B:B)
-despesas_recorrentes!$B$12
+IF(SUMIF(gasto_cartao!E:E,saldo!B387,gasto_cartao!B:B)&gt;despesas_recorrentes!$B$12, SUMIF(gasto_cartao!E:E,saldo!B387,gasto_cartao!B:B),despesas_recorrentes!$B$12)</f>
        <v>34013</v>
      </c>
      <c r="D387" s="51">
        <f>SUM(receitas_recorrentes!B:B)+SUMIF(receitas_pontuais!E:E,B387,receitas_pontuais!B:B)</f>
        <v>56919</v>
      </c>
      <c r="E387" s="51">
        <f t="shared" si="2"/>
        <v>22906</v>
      </c>
      <c r="F387" s="53">
        <f>IFERROR(SUMIF(contas!G:G, B387, contas!B:B),0)</f>
        <v>0</v>
      </c>
      <c r="G387" s="51">
        <f>SUMIFS(previsoes!D:D, previsoes!E:E, "&lt;=" &amp; EOMONTH(DATEVALUE(B387&amp;"-01"),0), previsoes!F:F, "&gt;=" &amp; DATEVALUE(B387&amp;"-01"))</f>
        <v>0</v>
      </c>
      <c r="H387" s="52">
        <f t="shared" si="5"/>
        <v>160491.8958</v>
      </c>
      <c r="I387" s="49">
        <f t="shared" si="3"/>
        <v>22906</v>
      </c>
      <c r="J387" s="52">
        <f>IF(A387&lt;&gt;"",SUMIFS(metas!N:N, metas!E:E, "&gt;=" &amp; DATEVALUE(B387&amp;"-01"),metas!D:D, "&lt;=" &amp; DATEVALUE(B387&amp;"-01")),"")</f>
        <v>3182.813937</v>
      </c>
      <c r="K387" s="49">
        <f t="shared" si="4"/>
        <v>19723.18606</v>
      </c>
      <c r="L387" s="49">
        <f t="shared" si="6"/>
        <v>6977033.163</v>
      </c>
      <c r="M387" s="49">
        <f>IF(A387&lt;&gt;"",IF(COUNTIF(investimento!F:F, B387) &gt; 0, SUM(investimento!B:B)+I387, M386+I387),"")</f>
        <v>8624374.681</v>
      </c>
    </row>
    <row r="388" ht="22.5" customHeight="1">
      <c r="A388" s="47">
        <v>50437.0</v>
      </c>
      <c r="B388" s="48" t="str">
        <f t="shared" si="1"/>
        <v>2038-02</v>
      </c>
      <c r="C388" s="49">
        <f>SUMIF(despesas_recorrentes!C:C, "&gt;="&amp;A388,despesas_recorrentes!B:B) 
+SUMIF(despesas_recorrentes!C:C, "",despesas_recorrentes!B:B)
-despesas_recorrentes!$B$12
+IF(SUMIF(gasto_cartao!E:E,saldo!B388,gasto_cartao!B:B)&gt;despesas_recorrentes!$B$12, SUMIF(gasto_cartao!E:E,saldo!B388,gasto_cartao!B:B),despesas_recorrentes!$B$12)</f>
        <v>34013</v>
      </c>
      <c r="D388" s="51">
        <f>SUM(receitas_recorrentes!B:B)+SUMIF(receitas_pontuais!E:E,B388,receitas_pontuais!B:B)</f>
        <v>56919</v>
      </c>
      <c r="E388" s="51">
        <f t="shared" si="2"/>
        <v>22906</v>
      </c>
      <c r="F388" s="53">
        <f>IFERROR(SUMIF(contas!G:G, B388, contas!B:B),0)</f>
        <v>0</v>
      </c>
      <c r="G388" s="51">
        <f>SUMIFS(previsoes!D:D, previsoes!E:E, "&lt;=" &amp; EOMONTH(DATEVALUE(B388&amp;"-01"),0), previsoes!F:F, "&gt;=" &amp; DATEVALUE(B388&amp;"-01"))</f>
        <v>0</v>
      </c>
      <c r="H388" s="52">
        <f t="shared" si="5"/>
        <v>160491.8958</v>
      </c>
      <c r="I388" s="49">
        <f t="shared" si="3"/>
        <v>22906</v>
      </c>
      <c r="J388" s="52">
        <f>IF(A388&lt;&gt;"",SUMIFS(metas!N:N, metas!E:E, "&gt;=" &amp; DATEVALUE(B388&amp;"-01"),metas!D:D, "&lt;=" &amp; DATEVALUE(B388&amp;"-01")),"")</f>
        <v>3182.813937</v>
      </c>
      <c r="K388" s="49">
        <f t="shared" si="4"/>
        <v>19723.18606</v>
      </c>
      <c r="L388" s="49">
        <f t="shared" si="6"/>
        <v>6996756.349</v>
      </c>
      <c r="M388" s="49">
        <f>IF(A388&lt;&gt;"",IF(COUNTIF(investimento!F:F, B388) &gt; 0, SUM(investimento!B:B)+I388, M387+I388),"")</f>
        <v>8647280.681</v>
      </c>
    </row>
    <row r="389" ht="22.5" customHeight="1">
      <c r="A389" s="47">
        <v>50438.0</v>
      </c>
      <c r="B389" s="48" t="str">
        <f t="shared" si="1"/>
        <v>2038-02</v>
      </c>
      <c r="C389" s="49">
        <f>SUMIF(despesas_recorrentes!C:C, "&gt;="&amp;A389,despesas_recorrentes!B:B) 
+SUMIF(despesas_recorrentes!C:C, "",despesas_recorrentes!B:B)
-despesas_recorrentes!$B$12
+IF(SUMIF(gasto_cartao!E:E,saldo!B389,gasto_cartao!B:B)&gt;despesas_recorrentes!$B$12, SUMIF(gasto_cartao!E:E,saldo!B389,gasto_cartao!B:B),despesas_recorrentes!$B$12)</f>
        <v>34013</v>
      </c>
      <c r="D389" s="51">
        <f>SUM(receitas_recorrentes!B:B)+SUMIF(receitas_pontuais!E:E,B389,receitas_pontuais!B:B)</f>
        <v>56919</v>
      </c>
      <c r="E389" s="51">
        <f t="shared" si="2"/>
        <v>22906</v>
      </c>
      <c r="F389" s="53">
        <f>IFERROR(SUMIF(contas!G:G, B389, contas!B:B),0)</f>
        <v>0</v>
      </c>
      <c r="G389" s="51">
        <f>SUMIFS(previsoes!D:D, previsoes!E:E, "&lt;=" &amp; EOMONTH(DATEVALUE(B389&amp;"-01"),0), previsoes!F:F, "&gt;=" &amp; DATEVALUE(B389&amp;"-01"))</f>
        <v>0</v>
      </c>
      <c r="H389" s="52">
        <f t="shared" si="5"/>
        <v>160491.8958</v>
      </c>
      <c r="I389" s="49">
        <f t="shared" si="3"/>
        <v>22906</v>
      </c>
      <c r="J389" s="52">
        <f>IF(A389&lt;&gt;"",SUMIFS(metas!N:N, metas!E:E, "&gt;=" &amp; DATEVALUE(B389&amp;"-01"),metas!D:D, "&lt;=" &amp; DATEVALUE(B389&amp;"-01")),"")</f>
        <v>3182.813937</v>
      </c>
      <c r="K389" s="49">
        <f t="shared" si="4"/>
        <v>19723.18606</v>
      </c>
      <c r="L389" s="49">
        <f t="shared" si="6"/>
        <v>7016479.535</v>
      </c>
      <c r="M389" s="49">
        <f>IF(A389&lt;&gt;"",IF(COUNTIF(investimento!F:F, B389) &gt; 0, SUM(investimento!B:B)+I389, M388+I389),"")</f>
        <v>8670186.681</v>
      </c>
    </row>
    <row r="390" ht="22.5" customHeight="1">
      <c r="A390" s="47">
        <v>50439.0</v>
      </c>
      <c r="B390" s="48" t="str">
        <f t="shared" si="1"/>
        <v>2038-02</v>
      </c>
      <c r="C390" s="49">
        <f>SUMIF(despesas_recorrentes!C:C, "&gt;="&amp;A390,despesas_recorrentes!B:B) 
+SUMIF(despesas_recorrentes!C:C, "",despesas_recorrentes!B:B)
-despesas_recorrentes!$B$12
+IF(SUMIF(gasto_cartao!E:E,saldo!B390,gasto_cartao!B:B)&gt;despesas_recorrentes!$B$12, SUMIF(gasto_cartao!E:E,saldo!B390,gasto_cartao!B:B),despesas_recorrentes!$B$12)</f>
        <v>34013</v>
      </c>
      <c r="D390" s="51">
        <f>SUM(receitas_recorrentes!B:B)+SUMIF(receitas_pontuais!E:E,B390,receitas_pontuais!B:B)</f>
        <v>56919</v>
      </c>
      <c r="E390" s="51">
        <f t="shared" si="2"/>
        <v>22906</v>
      </c>
      <c r="F390" s="53">
        <f>IFERROR(SUMIF(contas!G:G, B390, contas!B:B),0)</f>
        <v>0</v>
      </c>
      <c r="G390" s="51">
        <f>SUMIFS(previsoes!D:D, previsoes!E:E, "&lt;=" &amp; EOMONTH(DATEVALUE(B390&amp;"-01"),0), previsoes!F:F, "&gt;=" &amp; DATEVALUE(B390&amp;"-01"))</f>
        <v>0</v>
      </c>
      <c r="H390" s="52">
        <f t="shared" si="5"/>
        <v>160491.8958</v>
      </c>
      <c r="I390" s="49">
        <f t="shared" si="3"/>
        <v>22906</v>
      </c>
      <c r="J390" s="52">
        <f>IF(A390&lt;&gt;"",SUMIFS(metas!N:N, metas!E:E, "&gt;=" &amp; DATEVALUE(B390&amp;"-01"),metas!D:D, "&lt;=" &amp; DATEVALUE(B390&amp;"-01")),"")</f>
        <v>3182.813937</v>
      </c>
      <c r="K390" s="49">
        <f t="shared" si="4"/>
        <v>19723.18606</v>
      </c>
      <c r="L390" s="49">
        <f t="shared" si="6"/>
        <v>7036202.721</v>
      </c>
      <c r="M390" s="49">
        <f>IF(A390&lt;&gt;"",IF(COUNTIF(investimento!F:F, B390) &gt; 0, SUM(investimento!B:B)+I390, M389+I390),"")</f>
        <v>8693092.681</v>
      </c>
    </row>
    <row r="391" ht="22.5" customHeight="1">
      <c r="A391" s="47">
        <v>50440.0</v>
      </c>
      <c r="B391" s="48" t="str">
        <f t="shared" si="1"/>
        <v>2038-02</v>
      </c>
      <c r="C391" s="49">
        <f>SUMIF(despesas_recorrentes!C:C, "&gt;="&amp;A391,despesas_recorrentes!B:B) 
+SUMIF(despesas_recorrentes!C:C, "",despesas_recorrentes!B:B)
-despesas_recorrentes!$B$12
+IF(SUMIF(gasto_cartao!E:E,saldo!B391,gasto_cartao!B:B)&gt;despesas_recorrentes!$B$12, SUMIF(gasto_cartao!E:E,saldo!B391,gasto_cartao!B:B),despesas_recorrentes!$B$12)</f>
        <v>34013</v>
      </c>
      <c r="D391" s="51">
        <f>SUM(receitas_recorrentes!B:B)+SUMIF(receitas_pontuais!E:E,B391,receitas_pontuais!B:B)</f>
        <v>56919</v>
      </c>
      <c r="E391" s="51">
        <f t="shared" si="2"/>
        <v>22906</v>
      </c>
      <c r="F391" s="53">
        <f>IFERROR(SUMIF(contas!G:G, B391, contas!B:B),0)</f>
        <v>0</v>
      </c>
      <c r="G391" s="51">
        <f>SUMIFS(previsoes!D:D, previsoes!E:E, "&lt;=" &amp; EOMONTH(DATEVALUE(B391&amp;"-01"),0), previsoes!F:F, "&gt;=" &amp; DATEVALUE(B391&amp;"-01"))</f>
        <v>0</v>
      </c>
      <c r="H391" s="52">
        <f t="shared" si="5"/>
        <v>160491.8958</v>
      </c>
      <c r="I391" s="49">
        <f t="shared" si="3"/>
        <v>22906</v>
      </c>
      <c r="J391" s="52">
        <f>IF(A391&lt;&gt;"",SUMIFS(metas!N:N, metas!E:E, "&gt;=" &amp; DATEVALUE(B391&amp;"-01"),metas!D:D, "&lt;=" &amp; DATEVALUE(B391&amp;"-01")),"")</f>
        <v>3182.813937</v>
      </c>
      <c r="K391" s="49">
        <f t="shared" si="4"/>
        <v>19723.18606</v>
      </c>
      <c r="L391" s="49">
        <f t="shared" si="6"/>
        <v>7055925.907</v>
      </c>
      <c r="M391" s="49">
        <f>IF(A391&lt;&gt;"",IF(COUNTIF(investimento!F:F, B391) &gt; 0, SUM(investimento!B:B)+I391, M390+I391),"")</f>
        <v>8715998.681</v>
      </c>
    </row>
    <row r="392" ht="22.5" customHeight="1">
      <c r="A392" s="47">
        <v>50441.0</v>
      </c>
      <c r="B392" s="48" t="str">
        <f t="shared" si="1"/>
        <v>2038-02</v>
      </c>
      <c r="C392" s="49">
        <f>SUMIF(despesas_recorrentes!C:C, "&gt;="&amp;A392,despesas_recorrentes!B:B) 
+SUMIF(despesas_recorrentes!C:C, "",despesas_recorrentes!B:B)
-despesas_recorrentes!$B$12
+IF(SUMIF(gasto_cartao!E:E,saldo!B392,gasto_cartao!B:B)&gt;despesas_recorrentes!$B$12, SUMIF(gasto_cartao!E:E,saldo!B392,gasto_cartao!B:B),despesas_recorrentes!$B$12)</f>
        <v>34013</v>
      </c>
      <c r="D392" s="51">
        <f>SUM(receitas_recorrentes!B:B)+SUMIF(receitas_pontuais!E:E,B392,receitas_pontuais!B:B)</f>
        <v>56919</v>
      </c>
      <c r="E392" s="51">
        <f t="shared" si="2"/>
        <v>22906</v>
      </c>
      <c r="F392" s="53">
        <f>IFERROR(SUMIF(contas!G:G, B392, contas!B:B),0)</f>
        <v>0</v>
      </c>
      <c r="G392" s="51">
        <f>SUMIFS(previsoes!D:D, previsoes!E:E, "&lt;=" &amp; EOMONTH(DATEVALUE(B392&amp;"-01"),0), previsoes!F:F, "&gt;=" &amp; DATEVALUE(B392&amp;"-01"))</f>
        <v>0</v>
      </c>
      <c r="H392" s="52">
        <f t="shared" si="5"/>
        <v>160491.8958</v>
      </c>
      <c r="I392" s="49">
        <f t="shared" si="3"/>
        <v>22906</v>
      </c>
      <c r="J392" s="52">
        <f>IF(A392&lt;&gt;"",SUMIFS(metas!N:N, metas!E:E, "&gt;=" &amp; DATEVALUE(B392&amp;"-01"),metas!D:D, "&lt;=" &amp; DATEVALUE(B392&amp;"-01")),"")</f>
        <v>3182.813937</v>
      </c>
      <c r="K392" s="49">
        <f t="shared" si="4"/>
        <v>19723.18606</v>
      </c>
      <c r="L392" s="49">
        <f t="shared" si="6"/>
        <v>7075649.093</v>
      </c>
      <c r="M392" s="49">
        <f>IF(A392&lt;&gt;"",IF(COUNTIF(investimento!F:F, B392) &gt; 0, SUM(investimento!B:B)+I392, M391+I392),"")</f>
        <v>8738904.681</v>
      </c>
    </row>
    <row r="393" ht="22.5" customHeight="1">
      <c r="A393" s="47">
        <v>50442.0</v>
      </c>
      <c r="B393" s="48" t="str">
        <f t="shared" si="1"/>
        <v>2038-02</v>
      </c>
      <c r="C393" s="49">
        <f>SUMIF(despesas_recorrentes!C:C, "&gt;="&amp;A393,despesas_recorrentes!B:B) 
+SUMIF(despesas_recorrentes!C:C, "",despesas_recorrentes!B:B)
-despesas_recorrentes!$B$12
+IF(SUMIF(gasto_cartao!E:E,saldo!B393,gasto_cartao!B:B)&gt;despesas_recorrentes!$B$12, SUMIF(gasto_cartao!E:E,saldo!B393,gasto_cartao!B:B),despesas_recorrentes!$B$12)</f>
        <v>34013</v>
      </c>
      <c r="D393" s="51">
        <f>SUM(receitas_recorrentes!B:B)+SUMIF(receitas_pontuais!E:E,B393,receitas_pontuais!B:B)</f>
        <v>56919</v>
      </c>
      <c r="E393" s="51">
        <f t="shared" si="2"/>
        <v>22906</v>
      </c>
      <c r="F393" s="53">
        <f>IFERROR(SUMIF(contas!G:G, B393, contas!B:B),0)</f>
        <v>0</v>
      </c>
      <c r="G393" s="51">
        <f>SUMIFS(previsoes!D:D, previsoes!E:E, "&lt;=" &amp; EOMONTH(DATEVALUE(B393&amp;"-01"),0), previsoes!F:F, "&gt;=" &amp; DATEVALUE(B393&amp;"-01"))</f>
        <v>0</v>
      </c>
      <c r="H393" s="52">
        <f t="shared" si="5"/>
        <v>160491.8958</v>
      </c>
      <c r="I393" s="49">
        <f t="shared" si="3"/>
        <v>22906</v>
      </c>
      <c r="J393" s="52">
        <f>IF(A393&lt;&gt;"",SUMIFS(metas!N:N, metas!E:E, "&gt;=" &amp; DATEVALUE(B393&amp;"-01"),metas!D:D, "&lt;=" &amp; DATEVALUE(B393&amp;"-01")),"")</f>
        <v>3182.813937</v>
      </c>
      <c r="K393" s="49">
        <f t="shared" si="4"/>
        <v>19723.18606</v>
      </c>
      <c r="L393" s="49">
        <f t="shared" si="6"/>
        <v>7095372.279</v>
      </c>
      <c r="M393" s="49">
        <f>IF(A393&lt;&gt;"",IF(COUNTIF(investimento!F:F, B393) &gt; 0, SUM(investimento!B:B)+I393, M392+I393),"")</f>
        <v>8761810.681</v>
      </c>
    </row>
    <row r="394" ht="22.5" customHeight="1">
      <c r="A394" s="47">
        <v>50443.0</v>
      </c>
      <c r="B394" s="48" t="str">
        <f t="shared" si="1"/>
        <v>2038-02</v>
      </c>
      <c r="C394" s="49">
        <f>SUMIF(despesas_recorrentes!C:C, "&gt;="&amp;A394,despesas_recorrentes!B:B) 
+SUMIF(despesas_recorrentes!C:C, "",despesas_recorrentes!B:B)
-despesas_recorrentes!$B$12
+IF(SUMIF(gasto_cartao!E:E,saldo!B394,gasto_cartao!B:B)&gt;despesas_recorrentes!$B$12, SUMIF(gasto_cartao!E:E,saldo!B394,gasto_cartao!B:B),despesas_recorrentes!$B$12)</f>
        <v>34013</v>
      </c>
      <c r="D394" s="51">
        <f>SUM(receitas_recorrentes!B:B)+SUMIF(receitas_pontuais!E:E,B394,receitas_pontuais!B:B)</f>
        <v>56919</v>
      </c>
      <c r="E394" s="51">
        <f t="shared" si="2"/>
        <v>22906</v>
      </c>
      <c r="F394" s="53">
        <f>IFERROR(SUMIF(contas!G:G, B394, contas!B:B),0)</f>
        <v>0</v>
      </c>
      <c r="G394" s="51">
        <f>SUMIFS(previsoes!D:D, previsoes!E:E, "&lt;=" &amp; EOMONTH(DATEVALUE(B394&amp;"-01"),0), previsoes!F:F, "&gt;=" &amp; DATEVALUE(B394&amp;"-01"))</f>
        <v>0</v>
      </c>
      <c r="H394" s="52">
        <f t="shared" si="5"/>
        <v>160491.8958</v>
      </c>
      <c r="I394" s="49">
        <f t="shared" si="3"/>
        <v>22906</v>
      </c>
      <c r="J394" s="52">
        <f>IF(A394&lt;&gt;"",SUMIFS(metas!N:N, metas!E:E, "&gt;=" &amp; DATEVALUE(B394&amp;"-01"),metas!D:D, "&lt;=" &amp; DATEVALUE(B394&amp;"-01")),"")</f>
        <v>3182.813937</v>
      </c>
      <c r="K394" s="49">
        <f t="shared" si="4"/>
        <v>19723.18606</v>
      </c>
      <c r="L394" s="49">
        <f t="shared" si="6"/>
        <v>7115095.465</v>
      </c>
      <c r="M394" s="49">
        <f>IF(A394&lt;&gt;"",IF(COUNTIF(investimento!F:F, B394) &gt; 0, SUM(investimento!B:B)+I394, M393+I394),"")</f>
        <v>8784716.681</v>
      </c>
    </row>
    <row r="395" ht="22.5" customHeight="1">
      <c r="A395" s="47">
        <v>50444.0</v>
      </c>
      <c r="B395" s="48" t="str">
        <f t="shared" si="1"/>
        <v>2038-02</v>
      </c>
      <c r="C395" s="49">
        <f>SUMIF(despesas_recorrentes!C:C, "&gt;="&amp;A395,despesas_recorrentes!B:B) 
+SUMIF(despesas_recorrentes!C:C, "",despesas_recorrentes!B:B)
-despesas_recorrentes!$B$12
+IF(SUMIF(gasto_cartao!E:E,saldo!B395,gasto_cartao!B:B)&gt;despesas_recorrentes!$B$12, SUMIF(gasto_cartao!E:E,saldo!B395,gasto_cartao!B:B),despesas_recorrentes!$B$12)</f>
        <v>34013</v>
      </c>
      <c r="D395" s="51">
        <f>SUM(receitas_recorrentes!B:B)+SUMIF(receitas_pontuais!E:E,B395,receitas_pontuais!B:B)</f>
        <v>56919</v>
      </c>
      <c r="E395" s="51">
        <f t="shared" si="2"/>
        <v>22906</v>
      </c>
      <c r="F395" s="53">
        <f>IFERROR(SUMIF(contas!G:G, B395, contas!B:B),0)</f>
        <v>0</v>
      </c>
      <c r="G395" s="51">
        <f>SUMIFS(previsoes!D:D, previsoes!E:E, "&lt;=" &amp; EOMONTH(DATEVALUE(B395&amp;"-01"),0), previsoes!F:F, "&gt;=" &amp; DATEVALUE(B395&amp;"-01"))</f>
        <v>0</v>
      </c>
      <c r="H395" s="52">
        <f t="shared" si="5"/>
        <v>160491.8958</v>
      </c>
      <c r="I395" s="49">
        <f t="shared" si="3"/>
        <v>22906</v>
      </c>
      <c r="J395" s="52">
        <f>IF(A395&lt;&gt;"",SUMIFS(metas!N:N, metas!E:E, "&gt;=" &amp; DATEVALUE(B395&amp;"-01"),metas!D:D, "&lt;=" &amp; DATEVALUE(B395&amp;"-01")),"")</f>
        <v>3182.813937</v>
      </c>
      <c r="K395" s="49">
        <f t="shared" si="4"/>
        <v>19723.18606</v>
      </c>
      <c r="L395" s="49">
        <f t="shared" si="6"/>
        <v>7134818.651</v>
      </c>
      <c r="M395" s="49">
        <f>IF(A395&lt;&gt;"",IF(COUNTIF(investimento!F:F, B395) &gt; 0, SUM(investimento!B:B)+I395, M394+I395),"")</f>
        <v>8807622.681</v>
      </c>
    </row>
    <row r="396" ht="22.5" customHeight="1">
      <c r="A396" s="47">
        <v>50445.0</v>
      </c>
      <c r="B396" s="48" t="str">
        <f t="shared" si="1"/>
        <v>2038-02</v>
      </c>
      <c r="C396" s="49">
        <f>SUMIF(despesas_recorrentes!C:C, "&gt;="&amp;A396,despesas_recorrentes!B:B) 
+SUMIF(despesas_recorrentes!C:C, "",despesas_recorrentes!B:B)
-despesas_recorrentes!$B$12
+IF(SUMIF(gasto_cartao!E:E,saldo!B396,gasto_cartao!B:B)&gt;despesas_recorrentes!$B$12, SUMIF(gasto_cartao!E:E,saldo!B396,gasto_cartao!B:B),despesas_recorrentes!$B$12)</f>
        <v>34013</v>
      </c>
      <c r="D396" s="51">
        <f>SUM(receitas_recorrentes!B:B)+SUMIF(receitas_pontuais!E:E,B396,receitas_pontuais!B:B)</f>
        <v>56919</v>
      </c>
      <c r="E396" s="51">
        <f t="shared" si="2"/>
        <v>22906</v>
      </c>
      <c r="F396" s="53">
        <f>IFERROR(SUMIF(contas!G:G, B396, contas!B:B),0)</f>
        <v>0</v>
      </c>
      <c r="G396" s="51">
        <f>SUMIFS(previsoes!D:D, previsoes!E:E, "&lt;=" &amp; EOMONTH(DATEVALUE(B396&amp;"-01"),0), previsoes!F:F, "&gt;=" &amp; DATEVALUE(B396&amp;"-01"))</f>
        <v>0</v>
      </c>
      <c r="H396" s="52">
        <f t="shared" si="5"/>
        <v>160491.8958</v>
      </c>
      <c r="I396" s="49">
        <f t="shared" si="3"/>
        <v>22906</v>
      </c>
      <c r="J396" s="52">
        <f>IF(A396&lt;&gt;"",SUMIFS(metas!N:N, metas!E:E, "&gt;=" &amp; DATEVALUE(B396&amp;"-01"),metas!D:D, "&lt;=" &amp; DATEVALUE(B396&amp;"-01")),"")</f>
        <v>3182.813937</v>
      </c>
      <c r="K396" s="49">
        <f t="shared" si="4"/>
        <v>19723.18606</v>
      </c>
      <c r="L396" s="49">
        <f t="shared" si="6"/>
        <v>7154541.837</v>
      </c>
      <c r="M396" s="49">
        <f>IF(A396&lt;&gt;"",IF(COUNTIF(investimento!F:F, B396) &gt; 0, SUM(investimento!B:B)+I396, M395+I396),"")</f>
        <v>8830528.681</v>
      </c>
    </row>
    <row r="397" ht="22.5" customHeight="1">
      <c r="A397" s="47">
        <v>50446.0</v>
      </c>
      <c r="B397" s="48" t="str">
        <f t="shared" si="1"/>
        <v>2038-02</v>
      </c>
      <c r="C397" s="49">
        <f>SUMIF(despesas_recorrentes!C:C, "&gt;="&amp;A397,despesas_recorrentes!B:B) 
+SUMIF(despesas_recorrentes!C:C, "",despesas_recorrentes!B:B)
-despesas_recorrentes!$B$12
+IF(SUMIF(gasto_cartao!E:E,saldo!B397,gasto_cartao!B:B)&gt;despesas_recorrentes!$B$12, SUMIF(gasto_cartao!E:E,saldo!B397,gasto_cartao!B:B),despesas_recorrentes!$B$12)</f>
        <v>34013</v>
      </c>
      <c r="D397" s="51">
        <f>SUM(receitas_recorrentes!B:B)+SUMIF(receitas_pontuais!E:E,B397,receitas_pontuais!B:B)</f>
        <v>56919</v>
      </c>
      <c r="E397" s="51">
        <f t="shared" si="2"/>
        <v>22906</v>
      </c>
      <c r="F397" s="53">
        <f>IFERROR(SUMIF(contas!G:G, B397, contas!B:B),0)</f>
        <v>0</v>
      </c>
      <c r="G397" s="51">
        <f>SUMIFS(previsoes!D:D, previsoes!E:E, "&lt;=" &amp; EOMONTH(DATEVALUE(B397&amp;"-01"),0), previsoes!F:F, "&gt;=" &amp; DATEVALUE(B397&amp;"-01"))</f>
        <v>0</v>
      </c>
      <c r="H397" s="52">
        <f t="shared" si="5"/>
        <v>160491.8958</v>
      </c>
      <c r="I397" s="49">
        <f t="shared" si="3"/>
        <v>22906</v>
      </c>
      <c r="J397" s="52">
        <f>IF(A397&lt;&gt;"",SUMIFS(metas!N:N, metas!E:E, "&gt;=" &amp; DATEVALUE(B397&amp;"-01"),metas!D:D, "&lt;=" &amp; DATEVALUE(B397&amp;"-01")),"")</f>
        <v>3182.813937</v>
      </c>
      <c r="K397" s="49">
        <f t="shared" si="4"/>
        <v>19723.18606</v>
      </c>
      <c r="L397" s="49">
        <f t="shared" si="6"/>
        <v>7174265.023</v>
      </c>
      <c r="M397" s="49">
        <f>IF(A397&lt;&gt;"",IF(COUNTIF(investimento!F:F, B397) &gt; 0, SUM(investimento!B:B)+I397, M396+I397),"")</f>
        <v>8853434.681</v>
      </c>
    </row>
    <row r="398" ht="22.5" customHeight="1">
      <c r="A398" s="47">
        <v>50447.0</v>
      </c>
      <c r="B398" s="48" t="str">
        <f t="shared" si="1"/>
        <v>2038-02</v>
      </c>
      <c r="C398" s="49">
        <f>SUMIF(despesas_recorrentes!C:C, "&gt;="&amp;A398,despesas_recorrentes!B:B) 
+SUMIF(despesas_recorrentes!C:C, "",despesas_recorrentes!B:B)
-despesas_recorrentes!$B$12
+IF(SUMIF(gasto_cartao!E:E,saldo!B398,gasto_cartao!B:B)&gt;despesas_recorrentes!$B$12, SUMIF(gasto_cartao!E:E,saldo!B398,gasto_cartao!B:B),despesas_recorrentes!$B$12)</f>
        <v>34013</v>
      </c>
      <c r="D398" s="51">
        <f>SUM(receitas_recorrentes!B:B)+SUMIF(receitas_pontuais!E:E,B398,receitas_pontuais!B:B)</f>
        <v>56919</v>
      </c>
      <c r="E398" s="51">
        <f t="shared" si="2"/>
        <v>22906</v>
      </c>
      <c r="F398" s="53">
        <f>IFERROR(SUMIF(contas!G:G, B398, contas!B:B),0)</f>
        <v>0</v>
      </c>
      <c r="G398" s="51">
        <f>SUMIFS(previsoes!D:D, previsoes!E:E, "&lt;=" &amp; EOMONTH(DATEVALUE(B398&amp;"-01"),0), previsoes!F:F, "&gt;=" &amp; DATEVALUE(B398&amp;"-01"))</f>
        <v>0</v>
      </c>
      <c r="H398" s="52">
        <f t="shared" si="5"/>
        <v>160491.8958</v>
      </c>
      <c r="I398" s="49">
        <f t="shared" si="3"/>
        <v>22906</v>
      </c>
      <c r="J398" s="52">
        <f>IF(A398&lt;&gt;"",SUMIFS(metas!N:N, metas!E:E, "&gt;=" &amp; DATEVALUE(B398&amp;"-01"),metas!D:D, "&lt;=" &amp; DATEVALUE(B398&amp;"-01")),"")</f>
        <v>3182.813937</v>
      </c>
      <c r="K398" s="49">
        <f t="shared" si="4"/>
        <v>19723.18606</v>
      </c>
      <c r="L398" s="49">
        <f t="shared" si="6"/>
        <v>7193988.21</v>
      </c>
      <c r="M398" s="49">
        <f>IF(A398&lt;&gt;"",IF(COUNTIF(investimento!F:F, B398) &gt; 0, SUM(investimento!B:B)+I398, M397+I398),"")</f>
        <v>8876340.681</v>
      </c>
    </row>
    <row r="399" ht="22.5" customHeight="1">
      <c r="A399" s="47">
        <v>50448.0</v>
      </c>
      <c r="B399" s="48" t="str">
        <f t="shared" si="1"/>
        <v>2038-02</v>
      </c>
      <c r="C399" s="49">
        <f>SUMIF(despesas_recorrentes!C:C, "&gt;="&amp;A399,despesas_recorrentes!B:B) 
+SUMIF(despesas_recorrentes!C:C, "",despesas_recorrentes!B:B)
-despesas_recorrentes!$B$12
+IF(SUMIF(gasto_cartao!E:E,saldo!B399,gasto_cartao!B:B)&gt;despesas_recorrentes!$B$12, SUMIF(gasto_cartao!E:E,saldo!B399,gasto_cartao!B:B),despesas_recorrentes!$B$12)</f>
        <v>34013</v>
      </c>
      <c r="D399" s="51">
        <f>SUM(receitas_recorrentes!B:B)+SUMIF(receitas_pontuais!E:E,B399,receitas_pontuais!B:B)</f>
        <v>56919</v>
      </c>
      <c r="E399" s="51">
        <f t="shared" si="2"/>
        <v>22906</v>
      </c>
      <c r="F399" s="53">
        <f>IFERROR(SUMIF(contas!G:G, B399, contas!B:B),0)</f>
        <v>0</v>
      </c>
      <c r="G399" s="51">
        <f>SUMIFS(previsoes!D:D, previsoes!E:E, "&lt;=" &amp; EOMONTH(DATEVALUE(B399&amp;"-01"),0), previsoes!F:F, "&gt;=" &amp; DATEVALUE(B399&amp;"-01"))</f>
        <v>0</v>
      </c>
      <c r="H399" s="52">
        <f t="shared" si="5"/>
        <v>160491.8958</v>
      </c>
      <c r="I399" s="49">
        <f t="shared" si="3"/>
        <v>22906</v>
      </c>
      <c r="J399" s="52">
        <f>IF(A399&lt;&gt;"",SUMIFS(metas!N:N, metas!E:E, "&gt;=" &amp; DATEVALUE(B399&amp;"-01"),metas!D:D, "&lt;=" &amp; DATEVALUE(B399&amp;"-01")),"")</f>
        <v>3182.813937</v>
      </c>
      <c r="K399" s="49">
        <f t="shared" si="4"/>
        <v>19723.18606</v>
      </c>
      <c r="L399" s="49">
        <f t="shared" si="6"/>
        <v>7213711.396</v>
      </c>
      <c r="M399" s="49">
        <f>IF(A399&lt;&gt;"",IF(COUNTIF(investimento!F:F, B399) &gt; 0, SUM(investimento!B:B)+I399, M398+I399),"")</f>
        <v>8899246.681</v>
      </c>
    </row>
    <row r="400" ht="22.5" customHeight="1">
      <c r="A400" s="47">
        <v>50449.0</v>
      </c>
      <c r="B400" s="48" t="str">
        <f t="shared" si="1"/>
        <v>2038-02</v>
      </c>
      <c r="C400" s="49">
        <f>SUMIF(despesas_recorrentes!C:C, "&gt;="&amp;A400,despesas_recorrentes!B:B) 
+SUMIF(despesas_recorrentes!C:C, "",despesas_recorrentes!B:B)
-despesas_recorrentes!$B$12
+IF(SUMIF(gasto_cartao!E:E,saldo!B400,gasto_cartao!B:B)&gt;despesas_recorrentes!$B$12, SUMIF(gasto_cartao!E:E,saldo!B400,gasto_cartao!B:B),despesas_recorrentes!$B$12)</f>
        <v>34013</v>
      </c>
      <c r="D400" s="51">
        <f>SUM(receitas_recorrentes!B:B)+SUMIF(receitas_pontuais!E:E,B400,receitas_pontuais!B:B)</f>
        <v>56919</v>
      </c>
      <c r="E400" s="51">
        <f t="shared" si="2"/>
        <v>22906</v>
      </c>
      <c r="F400" s="53">
        <f>IFERROR(SUMIF(contas!G:G, B400, contas!B:B),0)</f>
        <v>0</v>
      </c>
      <c r="G400" s="51">
        <f>SUMIFS(previsoes!D:D, previsoes!E:E, "&lt;=" &amp; EOMONTH(DATEVALUE(B400&amp;"-01"),0), previsoes!F:F, "&gt;=" &amp; DATEVALUE(B400&amp;"-01"))</f>
        <v>0</v>
      </c>
      <c r="H400" s="52">
        <f t="shared" si="5"/>
        <v>160491.8958</v>
      </c>
      <c r="I400" s="49">
        <f t="shared" si="3"/>
        <v>22906</v>
      </c>
      <c r="J400" s="52">
        <f>IF(A400&lt;&gt;"",SUMIFS(metas!N:N, metas!E:E, "&gt;=" &amp; DATEVALUE(B400&amp;"-01"),metas!D:D, "&lt;=" &amp; DATEVALUE(B400&amp;"-01")),"")</f>
        <v>3182.813937</v>
      </c>
      <c r="K400" s="49">
        <f t="shared" si="4"/>
        <v>19723.18606</v>
      </c>
      <c r="L400" s="49">
        <f t="shared" si="6"/>
        <v>7233434.582</v>
      </c>
      <c r="M400" s="49">
        <f>IF(A400&lt;&gt;"",IF(COUNTIF(investimento!F:F, B400) &gt; 0, SUM(investimento!B:B)+I400, M399+I400),"")</f>
        <v>8922152.681</v>
      </c>
    </row>
    <row r="401" ht="22.5" customHeight="1">
      <c r="A401" s="47">
        <v>50450.0</v>
      </c>
      <c r="B401" s="48" t="str">
        <f t="shared" si="1"/>
        <v>2038-02</v>
      </c>
      <c r="C401" s="49">
        <f>SUMIF(despesas_recorrentes!C:C, "&gt;="&amp;A401,despesas_recorrentes!B:B) 
+SUMIF(despesas_recorrentes!C:C, "",despesas_recorrentes!B:B)
-despesas_recorrentes!$B$12
+IF(SUMIF(gasto_cartao!E:E,saldo!B401,gasto_cartao!B:B)&gt;despesas_recorrentes!$B$12, SUMIF(gasto_cartao!E:E,saldo!B401,gasto_cartao!B:B),despesas_recorrentes!$B$12)</f>
        <v>34013</v>
      </c>
      <c r="D401" s="51">
        <f>SUM(receitas_recorrentes!B:B)+SUMIF(receitas_pontuais!E:E,B401,receitas_pontuais!B:B)</f>
        <v>56919</v>
      </c>
      <c r="E401" s="51">
        <f t="shared" si="2"/>
        <v>22906</v>
      </c>
      <c r="F401" s="53">
        <f>IFERROR(SUMIF(contas!G:G, B401, contas!B:B),0)</f>
        <v>0</v>
      </c>
      <c r="G401" s="51">
        <f>SUMIFS(previsoes!D:D, previsoes!E:E, "&lt;=" &amp; EOMONTH(DATEVALUE(B401&amp;"-01"),0), previsoes!F:F, "&gt;=" &amp; DATEVALUE(B401&amp;"-01"))</f>
        <v>0</v>
      </c>
      <c r="H401" s="52">
        <f t="shared" si="5"/>
        <v>160491.8958</v>
      </c>
      <c r="I401" s="49">
        <f t="shared" si="3"/>
        <v>22906</v>
      </c>
      <c r="J401" s="52">
        <f>IF(A401&lt;&gt;"",SUMIFS(metas!N:N, metas!E:E, "&gt;=" &amp; DATEVALUE(B401&amp;"-01"),metas!D:D, "&lt;=" &amp; DATEVALUE(B401&amp;"-01")),"")</f>
        <v>3182.813937</v>
      </c>
      <c r="K401" s="49">
        <f t="shared" si="4"/>
        <v>19723.18606</v>
      </c>
      <c r="L401" s="49">
        <f t="shared" si="6"/>
        <v>7253157.768</v>
      </c>
      <c r="M401" s="49">
        <f>IF(A401&lt;&gt;"",IF(COUNTIF(investimento!F:F, B401) &gt; 0, SUM(investimento!B:B)+I401, M400+I401),"")</f>
        <v>8945058.681</v>
      </c>
    </row>
    <row r="402" ht="22.5" customHeight="1">
      <c r="A402" s="47">
        <v>50451.0</v>
      </c>
      <c r="B402" s="48" t="str">
        <f t="shared" si="1"/>
        <v>2038-02</v>
      </c>
      <c r="C402" s="49">
        <f>SUMIF(despesas_recorrentes!C:C, "&gt;="&amp;A402,despesas_recorrentes!B:B) 
+SUMIF(despesas_recorrentes!C:C, "",despesas_recorrentes!B:B)
-despesas_recorrentes!$B$12
+IF(SUMIF(gasto_cartao!E:E,saldo!B402,gasto_cartao!B:B)&gt;despesas_recorrentes!$B$12, SUMIF(gasto_cartao!E:E,saldo!B402,gasto_cartao!B:B),despesas_recorrentes!$B$12)</f>
        <v>34013</v>
      </c>
      <c r="D402" s="51">
        <f>SUM(receitas_recorrentes!B:B)+SUMIF(receitas_pontuais!E:E,B402,receitas_pontuais!B:B)</f>
        <v>56919</v>
      </c>
      <c r="E402" s="51">
        <f t="shared" si="2"/>
        <v>22906</v>
      </c>
      <c r="F402" s="53">
        <f>IFERROR(SUMIF(contas!G:G, B402, contas!B:B),0)</f>
        <v>0</v>
      </c>
      <c r="G402" s="51">
        <f>SUMIFS(previsoes!D:D, previsoes!E:E, "&lt;=" &amp; EOMONTH(DATEVALUE(B402&amp;"-01"),0), previsoes!F:F, "&gt;=" &amp; DATEVALUE(B402&amp;"-01"))</f>
        <v>0</v>
      </c>
      <c r="H402" s="52">
        <f t="shared" si="5"/>
        <v>160491.8958</v>
      </c>
      <c r="I402" s="49">
        <f t="shared" si="3"/>
        <v>22906</v>
      </c>
      <c r="J402" s="52">
        <f>IF(A402&lt;&gt;"",SUMIFS(metas!N:N, metas!E:E, "&gt;=" &amp; DATEVALUE(B402&amp;"-01"),metas!D:D, "&lt;=" &amp; DATEVALUE(B402&amp;"-01")),"")</f>
        <v>3182.813937</v>
      </c>
      <c r="K402" s="49">
        <f t="shared" si="4"/>
        <v>19723.18606</v>
      </c>
      <c r="L402" s="49">
        <f t="shared" si="6"/>
        <v>7272880.954</v>
      </c>
      <c r="M402" s="49">
        <f>IF(A402&lt;&gt;"",IF(COUNTIF(investimento!F:F, B402) &gt; 0, SUM(investimento!B:B)+I402, M401+I402),"")</f>
        <v>8967964.681</v>
      </c>
    </row>
    <row r="403" ht="22.5" customHeight="1">
      <c r="A403" s="47">
        <v>50452.0</v>
      </c>
      <c r="B403" s="48" t="str">
        <f t="shared" si="1"/>
        <v>2038-02</v>
      </c>
      <c r="C403" s="49">
        <f>SUMIF(despesas_recorrentes!C:C, "&gt;="&amp;A403,despesas_recorrentes!B:B) 
+SUMIF(despesas_recorrentes!C:C, "",despesas_recorrentes!B:B)
-despesas_recorrentes!$B$12
+IF(SUMIF(gasto_cartao!E:E,saldo!B403,gasto_cartao!B:B)&gt;despesas_recorrentes!$B$12, SUMIF(gasto_cartao!E:E,saldo!B403,gasto_cartao!B:B),despesas_recorrentes!$B$12)</f>
        <v>34013</v>
      </c>
      <c r="D403" s="51">
        <f>SUM(receitas_recorrentes!B:B)+SUMIF(receitas_pontuais!E:E,B403,receitas_pontuais!B:B)</f>
        <v>56919</v>
      </c>
      <c r="E403" s="51">
        <f t="shared" si="2"/>
        <v>22906</v>
      </c>
      <c r="F403" s="53">
        <f>IFERROR(SUMIF(contas!G:G, B403, contas!B:B),0)</f>
        <v>0</v>
      </c>
      <c r="G403" s="51">
        <f>SUMIFS(previsoes!D:D, previsoes!E:E, "&lt;=" &amp; EOMONTH(DATEVALUE(B403&amp;"-01"),0), previsoes!F:F, "&gt;=" &amp; DATEVALUE(B403&amp;"-01"))</f>
        <v>0</v>
      </c>
      <c r="H403" s="52">
        <f t="shared" si="5"/>
        <v>160491.8958</v>
      </c>
      <c r="I403" s="49">
        <f t="shared" si="3"/>
        <v>22906</v>
      </c>
      <c r="J403" s="52">
        <f>IF(A403&lt;&gt;"",SUMIFS(metas!N:N, metas!E:E, "&gt;=" &amp; DATEVALUE(B403&amp;"-01"),metas!D:D, "&lt;=" &amp; DATEVALUE(B403&amp;"-01")),"")</f>
        <v>3182.813937</v>
      </c>
      <c r="K403" s="49">
        <f t="shared" si="4"/>
        <v>19723.18606</v>
      </c>
      <c r="L403" s="49">
        <f t="shared" si="6"/>
        <v>7292604.14</v>
      </c>
      <c r="M403" s="49">
        <f>IF(A403&lt;&gt;"",IF(COUNTIF(investimento!F:F, B403) &gt; 0, SUM(investimento!B:B)+I403, M402+I403),"")</f>
        <v>8990870.681</v>
      </c>
    </row>
    <row r="404" ht="22.5" customHeight="1">
      <c r="A404" s="47">
        <v>50453.0</v>
      </c>
      <c r="B404" s="48" t="str">
        <f t="shared" si="1"/>
        <v>2038-02</v>
      </c>
      <c r="C404" s="49">
        <f>SUMIF(despesas_recorrentes!C:C, "&gt;="&amp;A404,despesas_recorrentes!B:B) 
+SUMIF(despesas_recorrentes!C:C, "",despesas_recorrentes!B:B)
-despesas_recorrentes!$B$12
+IF(SUMIF(gasto_cartao!E:E,saldo!B404,gasto_cartao!B:B)&gt;despesas_recorrentes!$B$12, SUMIF(gasto_cartao!E:E,saldo!B404,gasto_cartao!B:B),despesas_recorrentes!$B$12)</f>
        <v>34013</v>
      </c>
      <c r="D404" s="51">
        <f>SUM(receitas_recorrentes!B:B)+SUMIF(receitas_pontuais!E:E,B404,receitas_pontuais!B:B)</f>
        <v>56919</v>
      </c>
      <c r="E404" s="51">
        <f t="shared" si="2"/>
        <v>22906</v>
      </c>
      <c r="F404" s="53">
        <f>IFERROR(SUMIF(contas!G:G, B404, contas!B:B),0)</f>
        <v>0</v>
      </c>
      <c r="G404" s="51">
        <f>SUMIFS(previsoes!D:D, previsoes!E:E, "&lt;=" &amp; EOMONTH(DATEVALUE(B404&amp;"-01"),0), previsoes!F:F, "&gt;=" &amp; DATEVALUE(B404&amp;"-01"))</f>
        <v>0</v>
      </c>
      <c r="H404" s="52">
        <f t="shared" si="5"/>
        <v>160491.8958</v>
      </c>
      <c r="I404" s="49">
        <f t="shared" si="3"/>
        <v>22906</v>
      </c>
      <c r="J404" s="52">
        <f>IF(A404&lt;&gt;"",SUMIFS(metas!N:N, metas!E:E, "&gt;=" &amp; DATEVALUE(B404&amp;"-01"),metas!D:D, "&lt;=" &amp; DATEVALUE(B404&amp;"-01")),"")</f>
        <v>3182.813937</v>
      </c>
      <c r="K404" s="49">
        <f t="shared" si="4"/>
        <v>19723.18606</v>
      </c>
      <c r="L404" s="49">
        <f t="shared" si="6"/>
        <v>7312327.326</v>
      </c>
      <c r="M404" s="49">
        <f>IF(A404&lt;&gt;"",IF(COUNTIF(investimento!F:F, B404) &gt; 0, SUM(investimento!B:B)+I404, M403+I404),"")</f>
        <v>9013776.681</v>
      </c>
    </row>
    <row r="405" ht="22.5" customHeight="1">
      <c r="A405" s="47">
        <v>50454.0</v>
      </c>
      <c r="B405" s="48" t="str">
        <f t="shared" si="1"/>
        <v>2038-02</v>
      </c>
      <c r="C405" s="49">
        <f>SUMIF(despesas_recorrentes!C:C, "&gt;="&amp;A405,despesas_recorrentes!B:B) 
+SUMIF(despesas_recorrentes!C:C, "",despesas_recorrentes!B:B)
-despesas_recorrentes!$B$12
+IF(SUMIF(gasto_cartao!E:E,saldo!B405,gasto_cartao!B:B)&gt;despesas_recorrentes!$B$12, SUMIF(gasto_cartao!E:E,saldo!B405,gasto_cartao!B:B),despesas_recorrentes!$B$12)</f>
        <v>34013</v>
      </c>
      <c r="D405" s="51">
        <f>SUM(receitas_recorrentes!B:B)+SUMIF(receitas_pontuais!E:E,B405,receitas_pontuais!B:B)</f>
        <v>56919</v>
      </c>
      <c r="E405" s="51">
        <f t="shared" si="2"/>
        <v>22906</v>
      </c>
      <c r="F405" s="53">
        <f>IFERROR(SUMIF(contas!G:G, B405, contas!B:B),0)</f>
        <v>0</v>
      </c>
      <c r="G405" s="51">
        <f>SUMIFS(previsoes!D:D, previsoes!E:E, "&lt;=" &amp; EOMONTH(DATEVALUE(B405&amp;"-01"),0), previsoes!F:F, "&gt;=" &amp; DATEVALUE(B405&amp;"-01"))</f>
        <v>0</v>
      </c>
      <c r="H405" s="52">
        <f t="shared" si="5"/>
        <v>160491.8958</v>
      </c>
      <c r="I405" s="49">
        <f t="shared" si="3"/>
        <v>22906</v>
      </c>
      <c r="J405" s="52">
        <f>IF(A405&lt;&gt;"",SUMIFS(metas!N:N, metas!E:E, "&gt;=" &amp; DATEVALUE(B405&amp;"-01"),metas!D:D, "&lt;=" &amp; DATEVALUE(B405&amp;"-01")),"")</f>
        <v>3182.813937</v>
      </c>
      <c r="K405" s="49">
        <f t="shared" si="4"/>
        <v>19723.18606</v>
      </c>
      <c r="L405" s="49">
        <f t="shared" si="6"/>
        <v>7332050.512</v>
      </c>
      <c r="M405" s="49">
        <f>IF(A405&lt;&gt;"",IF(COUNTIF(investimento!F:F, B405) &gt; 0, SUM(investimento!B:B)+I405, M404+I405),"")</f>
        <v>9036682.681</v>
      </c>
    </row>
    <row r="406" ht="22.5" customHeight="1">
      <c r="A406" s="47">
        <v>50455.0</v>
      </c>
      <c r="B406" s="48" t="str">
        <f t="shared" si="1"/>
        <v>2038-02</v>
      </c>
      <c r="C406" s="49">
        <f>SUMIF(despesas_recorrentes!C:C, "&gt;="&amp;A406,despesas_recorrentes!B:B) 
+SUMIF(despesas_recorrentes!C:C, "",despesas_recorrentes!B:B)
-despesas_recorrentes!$B$12
+IF(SUMIF(gasto_cartao!E:E,saldo!B406,gasto_cartao!B:B)&gt;despesas_recorrentes!$B$12, SUMIF(gasto_cartao!E:E,saldo!B406,gasto_cartao!B:B),despesas_recorrentes!$B$12)</f>
        <v>34013</v>
      </c>
      <c r="D406" s="51">
        <f>SUM(receitas_recorrentes!B:B)+SUMIF(receitas_pontuais!E:E,B406,receitas_pontuais!B:B)</f>
        <v>56919</v>
      </c>
      <c r="E406" s="51">
        <f t="shared" si="2"/>
        <v>22906</v>
      </c>
      <c r="F406" s="53">
        <f>IFERROR(SUMIF(contas!G:G, B406, contas!B:B),0)</f>
        <v>0</v>
      </c>
      <c r="G406" s="51">
        <f>SUMIFS(previsoes!D:D, previsoes!E:E, "&lt;=" &amp; EOMONTH(DATEVALUE(B406&amp;"-01"),0), previsoes!F:F, "&gt;=" &amp; DATEVALUE(B406&amp;"-01"))</f>
        <v>0</v>
      </c>
      <c r="H406" s="52">
        <f t="shared" si="5"/>
        <v>160491.8958</v>
      </c>
      <c r="I406" s="49">
        <f t="shared" si="3"/>
        <v>22906</v>
      </c>
      <c r="J406" s="52">
        <f>IF(A406&lt;&gt;"",SUMIFS(metas!N:N, metas!E:E, "&gt;=" &amp; DATEVALUE(B406&amp;"-01"),metas!D:D, "&lt;=" &amp; DATEVALUE(B406&amp;"-01")),"")</f>
        <v>3182.813937</v>
      </c>
      <c r="K406" s="49">
        <f t="shared" si="4"/>
        <v>19723.18606</v>
      </c>
      <c r="L406" s="49">
        <f t="shared" si="6"/>
        <v>7351773.698</v>
      </c>
      <c r="M406" s="49">
        <f>IF(A406&lt;&gt;"",IF(COUNTIF(investimento!F:F, B406) &gt; 0, SUM(investimento!B:B)+I406, M405+I406),"")</f>
        <v>9059588.681</v>
      </c>
    </row>
    <row r="407" ht="22.5" customHeight="1">
      <c r="A407" s="47">
        <v>50456.0</v>
      </c>
      <c r="B407" s="48" t="str">
        <f t="shared" si="1"/>
        <v>2038-02</v>
      </c>
      <c r="C407" s="49">
        <f>SUMIF(despesas_recorrentes!C:C, "&gt;="&amp;A407,despesas_recorrentes!B:B) 
+SUMIF(despesas_recorrentes!C:C, "",despesas_recorrentes!B:B)
-despesas_recorrentes!$B$12
+IF(SUMIF(gasto_cartao!E:E,saldo!B407,gasto_cartao!B:B)&gt;despesas_recorrentes!$B$12, SUMIF(gasto_cartao!E:E,saldo!B407,gasto_cartao!B:B),despesas_recorrentes!$B$12)</f>
        <v>34013</v>
      </c>
      <c r="D407" s="51">
        <f>SUM(receitas_recorrentes!B:B)+SUMIF(receitas_pontuais!E:E,B407,receitas_pontuais!B:B)</f>
        <v>56919</v>
      </c>
      <c r="E407" s="51">
        <f t="shared" si="2"/>
        <v>22906</v>
      </c>
      <c r="F407" s="53">
        <f>IFERROR(SUMIF(contas!G:G, B407, contas!B:B),0)</f>
        <v>0</v>
      </c>
      <c r="G407" s="51">
        <f>SUMIFS(previsoes!D:D, previsoes!E:E, "&lt;=" &amp; EOMONTH(DATEVALUE(B407&amp;"-01"),0), previsoes!F:F, "&gt;=" &amp; DATEVALUE(B407&amp;"-01"))</f>
        <v>0</v>
      </c>
      <c r="H407" s="52">
        <f t="shared" si="5"/>
        <v>160491.8958</v>
      </c>
      <c r="I407" s="49">
        <f t="shared" si="3"/>
        <v>22906</v>
      </c>
      <c r="J407" s="52">
        <f>IF(A407&lt;&gt;"",SUMIFS(metas!N:N, metas!E:E, "&gt;=" &amp; DATEVALUE(B407&amp;"-01"),metas!D:D, "&lt;=" &amp; DATEVALUE(B407&amp;"-01")),"")</f>
        <v>3182.813937</v>
      </c>
      <c r="K407" s="49">
        <f t="shared" si="4"/>
        <v>19723.18606</v>
      </c>
      <c r="L407" s="49">
        <f t="shared" si="6"/>
        <v>7371496.884</v>
      </c>
      <c r="M407" s="49">
        <f>IF(A407&lt;&gt;"",IF(COUNTIF(investimento!F:F, B407) &gt; 0, SUM(investimento!B:B)+I407, M406+I407),"")</f>
        <v>9082494.681</v>
      </c>
    </row>
    <row r="408" ht="22.5" customHeight="1">
      <c r="A408" s="47">
        <v>50457.0</v>
      </c>
      <c r="B408" s="48" t="str">
        <f t="shared" si="1"/>
        <v>2038-02</v>
      </c>
      <c r="C408" s="49">
        <f>SUMIF(despesas_recorrentes!C:C, "&gt;="&amp;A408,despesas_recorrentes!B:B) 
+SUMIF(despesas_recorrentes!C:C, "",despesas_recorrentes!B:B)
-despesas_recorrentes!$B$12
+IF(SUMIF(gasto_cartao!E:E,saldo!B408,gasto_cartao!B:B)&gt;despesas_recorrentes!$B$12, SUMIF(gasto_cartao!E:E,saldo!B408,gasto_cartao!B:B),despesas_recorrentes!$B$12)</f>
        <v>34013</v>
      </c>
      <c r="D408" s="51">
        <f>SUM(receitas_recorrentes!B:B)+SUMIF(receitas_pontuais!E:E,B408,receitas_pontuais!B:B)</f>
        <v>56919</v>
      </c>
      <c r="E408" s="51">
        <f t="shared" si="2"/>
        <v>22906</v>
      </c>
      <c r="F408" s="53">
        <f>IFERROR(SUMIF(contas!G:G, B408, contas!B:B),0)</f>
        <v>0</v>
      </c>
      <c r="G408" s="51">
        <f>SUMIFS(previsoes!D:D, previsoes!E:E, "&lt;=" &amp; EOMONTH(DATEVALUE(B408&amp;"-01"),0), previsoes!F:F, "&gt;=" &amp; DATEVALUE(B408&amp;"-01"))</f>
        <v>0</v>
      </c>
      <c r="H408" s="52">
        <f t="shared" si="5"/>
        <v>160491.8958</v>
      </c>
      <c r="I408" s="49">
        <f t="shared" si="3"/>
        <v>22906</v>
      </c>
      <c r="J408" s="52">
        <f>IF(A408&lt;&gt;"",SUMIFS(metas!N:N, metas!E:E, "&gt;=" &amp; DATEVALUE(B408&amp;"-01"),metas!D:D, "&lt;=" &amp; DATEVALUE(B408&amp;"-01")),"")</f>
        <v>3182.813937</v>
      </c>
      <c r="K408" s="49">
        <f t="shared" si="4"/>
        <v>19723.18606</v>
      </c>
      <c r="L408" s="49">
        <f t="shared" si="6"/>
        <v>7391220.07</v>
      </c>
      <c r="M408" s="49">
        <f>IF(A408&lt;&gt;"",IF(COUNTIF(investimento!F:F, B408) &gt; 0, SUM(investimento!B:B)+I408, M407+I408),"")</f>
        <v>9105400.681</v>
      </c>
    </row>
    <row r="409" ht="22.5" customHeight="1">
      <c r="A409" s="47">
        <v>50458.0</v>
      </c>
      <c r="B409" s="48" t="str">
        <f t="shared" si="1"/>
        <v>2038-02</v>
      </c>
      <c r="C409" s="49">
        <f>SUMIF(despesas_recorrentes!C:C, "&gt;="&amp;A409,despesas_recorrentes!B:B) 
+SUMIF(despesas_recorrentes!C:C, "",despesas_recorrentes!B:B)
-despesas_recorrentes!$B$12
+IF(SUMIF(gasto_cartao!E:E,saldo!B409,gasto_cartao!B:B)&gt;despesas_recorrentes!$B$12, SUMIF(gasto_cartao!E:E,saldo!B409,gasto_cartao!B:B),despesas_recorrentes!$B$12)</f>
        <v>34013</v>
      </c>
      <c r="D409" s="51">
        <f>SUM(receitas_recorrentes!B:B)+SUMIF(receitas_pontuais!E:E,B409,receitas_pontuais!B:B)</f>
        <v>56919</v>
      </c>
      <c r="E409" s="51">
        <f t="shared" si="2"/>
        <v>22906</v>
      </c>
      <c r="F409" s="53">
        <f>IFERROR(SUMIF(contas!G:G, B409, contas!B:B),0)</f>
        <v>0</v>
      </c>
      <c r="G409" s="51">
        <f>SUMIFS(previsoes!D:D, previsoes!E:E, "&lt;=" &amp; EOMONTH(DATEVALUE(B409&amp;"-01"),0), previsoes!F:F, "&gt;=" &amp; DATEVALUE(B409&amp;"-01"))</f>
        <v>0</v>
      </c>
      <c r="H409" s="52">
        <f t="shared" si="5"/>
        <v>160491.8958</v>
      </c>
      <c r="I409" s="49">
        <f t="shared" si="3"/>
        <v>22906</v>
      </c>
      <c r="J409" s="52">
        <f>IF(A409&lt;&gt;"",SUMIFS(metas!N:N, metas!E:E, "&gt;=" &amp; DATEVALUE(B409&amp;"-01"),metas!D:D, "&lt;=" &amp; DATEVALUE(B409&amp;"-01")),"")</f>
        <v>3182.813937</v>
      </c>
      <c r="K409" s="49">
        <f t="shared" si="4"/>
        <v>19723.18606</v>
      </c>
      <c r="L409" s="49">
        <f t="shared" si="6"/>
        <v>7410943.256</v>
      </c>
      <c r="M409" s="49">
        <f>IF(A409&lt;&gt;"",IF(COUNTIF(investimento!F:F, B409) &gt; 0, SUM(investimento!B:B)+I409, M408+I409),"")</f>
        <v>9128306.681</v>
      </c>
    </row>
    <row r="410" ht="22.5" customHeight="1">
      <c r="A410" s="47">
        <v>50459.0</v>
      </c>
      <c r="B410" s="48" t="str">
        <f t="shared" si="1"/>
        <v>2038-02</v>
      </c>
      <c r="C410" s="49">
        <f>SUMIF(despesas_recorrentes!C:C, "&gt;="&amp;A410,despesas_recorrentes!B:B) 
+SUMIF(despesas_recorrentes!C:C, "",despesas_recorrentes!B:B)
-despesas_recorrentes!$B$12
+IF(SUMIF(gasto_cartao!E:E,saldo!B410,gasto_cartao!B:B)&gt;despesas_recorrentes!$B$12, SUMIF(gasto_cartao!E:E,saldo!B410,gasto_cartao!B:B),despesas_recorrentes!$B$12)</f>
        <v>34013</v>
      </c>
      <c r="D410" s="51">
        <f>SUM(receitas_recorrentes!B:B)+SUMIF(receitas_pontuais!E:E,B410,receitas_pontuais!B:B)</f>
        <v>56919</v>
      </c>
      <c r="E410" s="51">
        <f t="shared" si="2"/>
        <v>22906</v>
      </c>
      <c r="F410" s="53">
        <f>IFERROR(SUMIF(contas!G:G, B410, contas!B:B),0)</f>
        <v>0</v>
      </c>
      <c r="G410" s="51">
        <f>SUMIFS(previsoes!D:D, previsoes!E:E, "&lt;=" &amp; EOMONTH(DATEVALUE(B410&amp;"-01"),0), previsoes!F:F, "&gt;=" &amp; DATEVALUE(B410&amp;"-01"))</f>
        <v>0</v>
      </c>
      <c r="H410" s="52">
        <f t="shared" si="5"/>
        <v>160491.8958</v>
      </c>
      <c r="I410" s="49">
        <f t="shared" si="3"/>
        <v>22906</v>
      </c>
      <c r="J410" s="52">
        <f>IF(A410&lt;&gt;"",SUMIFS(metas!N:N, metas!E:E, "&gt;=" &amp; DATEVALUE(B410&amp;"-01"),metas!D:D, "&lt;=" &amp; DATEVALUE(B410&amp;"-01")),"")</f>
        <v>3182.813937</v>
      </c>
      <c r="K410" s="49">
        <f t="shared" si="4"/>
        <v>19723.18606</v>
      </c>
      <c r="L410" s="49">
        <f t="shared" si="6"/>
        <v>7430666.442</v>
      </c>
      <c r="M410" s="49">
        <f>IF(A410&lt;&gt;"",IF(COUNTIF(investimento!F:F, B410) &gt; 0, SUM(investimento!B:B)+I410, M409+I410),"")</f>
        <v>9151212.681</v>
      </c>
    </row>
    <row r="411" ht="22.5" customHeight="1">
      <c r="A411" s="47">
        <v>50460.0</v>
      </c>
      <c r="B411" s="48" t="str">
        <f t="shared" si="1"/>
        <v>2038-02</v>
      </c>
      <c r="C411" s="49">
        <f>SUMIF(despesas_recorrentes!C:C, "&gt;="&amp;A411,despesas_recorrentes!B:B) 
+SUMIF(despesas_recorrentes!C:C, "",despesas_recorrentes!B:B)
-despesas_recorrentes!$B$12
+IF(SUMIF(gasto_cartao!E:E,saldo!B411,gasto_cartao!B:B)&gt;despesas_recorrentes!$B$12, SUMIF(gasto_cartao!E:E,saldo!B411,gasto_cartao!B:B),despesas_recorrentes!$B$12)</f>
        <v>34013</v>
      </c>
      <c r="D411" s="51">
        <f>SUM(receitas_recorrentes!B:B)+SUMIF(receitas_pontuais!E:E,B411,receitas_pontuais!B:B)</f>
        <v>56919</v>
      </c>
      <c r="E411" s="51">
        <f t="shared" si="2"/>
        <v>22906</v>
      </c>
      <c r="F411" s="53">
        <f>IFERROR(SUMIF(contas!G:G, B411, contas!B:B),0)</f>
        <v>0</v>
      </c>
      <c r="G411" s="51">
        <f>SUMIFS(previsoes!D:D, previsoes!E:E, "&lt;=" &amp; EOMONTH(DATEVALUE(B411&amp;"-01"),0), previsoes!F:F, "&gt;=" &amp; DATEVALUE(B411&amp;"-01"))</f>
        <v>0</v>
      </c>
      <c r="H411" s="52">
        <f t="shared" si="5"/>
        <v>160491.8958</v>
      </c>
      <c r="I411" s="49">
        <f t="shared" si="3"/>
        <v>22906</v>
      </c>
      <c r="J411" s="52">
        <f>IF(A411&lt;&gt;"",SUMIFS(metas!N:N, metas!E:E, "&gt;=" &amp; DATEVALUE(B411&amp;"-01"),metas!D:D, "&lt;=" &amp; DATEVALUE(B411&amp;"-01")),"")</f>
        <v>3182.813937</v>
      </c>
      <c r="K411" s="49">
        <f t="shared" si="4"/>
        <v>19723.18606</v>
      </c>
      <c r="L411" s="49">
        <f t="shared" si="6"/>
        <v>7450389.628</v>
      </c>
      <c r="M411" s="49">
        <f>IF(A411&lt;&gt;"",IF(COUNTIF(investimento!F:F, B411) &gt; 0, SUM(investimento!B:B)+I411, M410+I411),"")</f>
        <v>9174118.681</v>
      </c>
    </row>
    <row r="412" ht="22.5" customHeight="1">
      <c r="A412" s="47">
        <v>50461.0</v>
      </c>
      <c r="B412" s="48" t="str">
        <f t="shared" si="1"/>
        <v>2038-02</v>
      </c>
      <c r="C412" s="49">
        <f>SUMIF(despesas_recorrentes!C:C, "&gt;="&amp;A412,despesas_recorrentes!B:B) 
+SUMIF(despesas_recorrentes!C:C, "",despesas_recorrentes!B:B)
-despesas_recorrentes!$B$12
+IF(SUMIF(gasto_cartao!E:E,saldo!B412,gasto_cartao!B:B)&gt;despesas_recorrentes!$B$12, SUMIF(gasto_cartao!E:E,saldo!B412,gasto_cartao!B:B),despesas_recorrentes!$B$12)</f>
        <v>34013</v>
      </c>
      <c r="D412" s="51">
        <f>SUM(receitas_recorrentes!B:B)+SUMIF(receitas_pontuais!E:E,B412,receitas_pontuais!B:B)</f>
        <v>56919</v>
      </c>
      <c r="E412" s="51">
        <f t="shared" si="2"/>
        <v>22906</v>
      </c>
      <c r="F412" s="53">
        <f>IFERROR(SUMIF(contas!G:G, B412, contas!B:B),0)</f>
        <v>0</v>
      </c>
      <c r="G412" s="51">
        <f>SUMIFS(previsoes!D:D, previsoes!E:E, "&lt;=" &amp; EOMONTH(DATEVALUE(B412&amp;"-01"),0), previsoes!F:F, "&gt;=" &amp; DATEVALUE(B412&amp;"-01"))</f>
        <v>0</v>
      </c>
      <c r="H412" s="52">
        <f t="shared" si="5"/>
        <v>160491.8958</v>
      </c>
      <c r="I412" s="49">
        <f t="shared" si="3"/>
        <v>22906</v>
      </c>
      <c r="J412" s="52">
        <f>IF(A412&lt;&gt;"",SUMIFS(metas!N:N, metas!E:E, "&gt;=" &amp; DATEVALUE(B412&amp;"-01"),metas!D:D, "&lt;=" &amp; DATEVALUE(B412&amp;"-01")),"")</f>
        <v>3182.813937</v>
      </c>
      <c r="K412" s="49">
        <f t="shared" si="4"/>
        <v>19723.18606</v>
      </c>
      <c r="L412" s="49">
        <f t="shared" si="6"/>
        <v>7470112.814</v>
      </c>
      <c r="M412" s="49">
        <f>IF(A412&lt;&gt;"",IF(COUNTIF(investimento!F:F, B412) &gt; 0, SUM(investimento!B:B)+I412, M411+I412),"")</f>
        <v>9197024.681</v>
      </c>
    </row>
    <row r="413" ht="22.5" customHeight="1">
      <c r="A413" s="47">
        <v>50462.0</v>
      </c>
      <c r="B413" s="48" t="str">
        <f t="shared" si="1"/>
        <v>2038-02</v>
      </c>
      <c r="C413" s="49">
        <f>SUMIF(despesas_recorrentes!C:C, "&gt;="&amp;A413,despesas_recorrentes!B:B) 
+SUMIF(despesas_recorrentes!C:C, "",despesas_recorrentes!B:B)
-despesas_recorrentes!$B$12
+IF(SUMIF(gasto_cartao!E:E,saldo!B413,gasto_cartao!B:B)&gt;despesas_recorrentes!$B$12, SUMIF(gasto_cartao!E:E,saldo!B413,gasto_cartao!B:B),despesas_recorrentes!$B$12)</f>
        <v>34013</v>
      </c>
      <c r="D413" s="51">
        <f>SUM(receitas_recorrentes!B:B)+SUMIF(receitas_pontuais!E:E,B413,receitas_pontuais!B:B)</f>
        <v>56919</v>
      </c>
      <c r="E413" s="51">
        <f t="shared" si="2"/>
        <v>22906</v>
      </c>
      <c r="F413" s="53">
        <f>IFERROR(SUMIF(contas!G:G, B413, contas!B:B),0)</f>
        <v>0</v>
      </c>
      <c r="G413" s="51">
        <f>SUMIFS(previsoes!D:D, previsoes!E:E, "&lt;=" &amp; EOMONTH(DATEVALUE(B413&amp;"-01"),0), previsoes!F:F, "&gt;=" &amp; DATEVALUE(B413&amp;"-01"))</f>
        <v>0</v>
      </c>
      <c r="H413" s="52">
        <f t="shared" si="5"/>
        <v>160491.8958</v>
      </c>
      <c r="I413" s="49">
        <f t="shared" si="3"/>
        <v>22906</v>
      </c>
      <c r="J413" s="52">
        <f>IF(A413&lt;&gt;"",SUMIFS(metas!N:N, metas!E:E, "&gt;=" &amp; DATEVALUE(B413&amp;"-01"),metas!D:D, "&lt;=" &amp; DATEVALUE(B413&amp;"-01")),"")</f>
        <v>3182.813937</v>
      </c>
      <c r="K413" s="49">
        <f t="shared" si="4"/>
        <v>19723.18606</v>
      </c>
      <c r="L413" s="49">
        <f t="shared" si="6"/>
        <v>7489836</v>
      </c>
      <c r="M413" s="49">
        <f>IF(A413&lt;&gt;"",IF(COUNTIF(investimento!F:F, B413) &gt; 0, SUM(investimento!B:B)+I413, M412+I413),"")</f>
        <v>9219930.681</v>
      </c>
    </row>
    <row r="414" ht="22.5" customHeight="1">
      <c r="A414" s="47">
        <v>50463.0</v>
      </c>
      <c r="B414" s="48" t="str">
        <f t="shared" si="1"/>
        <v>2038-02</v>
      </c>
      <c r="C414" s="49">
        <f>SUMIF(despesas_recorrentes!C:C, "&gt;="&amp;A414,despesas_recorrentes!B:B) 
+SUMIF(despesas_recorrentes!C:C, "",despesas_recorrentes!B:B)
-despesas_recorrentes!$B$12
+IF(SUMIF(gasto_cartao!E:E,saldo!B414,gasto_cartao!B:B)&gt;despesas_recorrentes!$B$12, SUMIF(gasto_cartao!E:E,saldo!B414,gasto_cartao!B:B),despesas_recorrentes!$B$12)</f>
        <v>34013</v>
      </c>
      <c r="D414" s="51">
        <f>SUM(receitas_recorrentes!B:B)+SUMIF(receitas_pontuais!E:E,B414,receitas_pontuais!B:B)</f>
        <v>56919</v>
      </c>
      <c r="E414" s="51">
        <f t="shared" si="2"/>
        <v>22906</v>
      </c>
      <c r="F414" s="53">
        <f>IFERROR(SUMIF(contas!G:G, B414, contas!B:B),0)</f>
        <v>0</v>
      </c>
      <c r="G414" s="51">
        <f>SUMIFS(previsoes!D:D, previsoes!E:E, "&lt;=" &amp; EOMONTH(DATEVALUE(B414&amp;"-01"),0), previsoes!F:F, "&gt;=" &amp; DATEVALUE(B414&amp;"-01"))</f>
        <v>0</v>
      </c>
      <c r="H414" s="52">
        <f t="shared" si="5"/>
        <v>160491.8958</v>
      </c>
      <c r="I414" s="49">
        <f t="shared" si="3"/>
        <v>22906</v>
      </c>
      <c r="J414" s="52">
        <f>IF(A414&lt;&gt;"",SUMIFS(metas!N:N, metas!E:E, "&gt;=" &amp; DATEVALUE(B414&amp;"-01"),metas!D:D, "&lt;=" &amp; DATEVALUE(B414&amp;"-01")),"")</f>
        <v>3182.813937</v>
      </c>
      <c r="K414" s="49">
        <f t="shared" si="4"/>
        <v>19723.18606</v>
      </c>
      <c r="L414" s="49">
        <f t="shared" si="6"/>
        <v>7509559.187</v>
      </c>
      <c r="M414" s="49">
        <f>IF(A414&lt;&gt;"",IF(COUNTIF(investimento!F:F, B414) &gt; 0, SUM(investimento!B:B)+I414, M413+I414),"")</f>
        <v>9242836.681</v>
      </c>
    </row>
    <row r="415" ht="22.5" customHeight="1">
      <c r="A415" s="47">
        <v>50464.0</v>
      </c>
      <c r="B415" s="48" t="str">
        <f t="shared" si="1"/>
        <v>2038-02</v>
      </c>
      <c r="C415" s="49">
        <f>SUMIF(despesas_recorrentes!C:C, "&gt;="&amp;A415,despesas_recorrentes!B:B) 
+SUMIF(despesas_recorrentes!C:C, "",despesas_recorrentes!B:B)
-despesas_recorrentes!$B$12
+IF(SUMIF(gasto_cartao!E:E,saldo!B415,gasto_cartao!B:B)&gt;despesas_recorrentes!$B$12, SUMIF(gasto_cartao!E:E,saldo!B415,gasto_cartao!B:B),despesas_recorrentes!$B$12)</f>
        <v>34013</v>
      </c>
      <c r="D415" s="51">
        <f>SUM(receitas_recorrentes!B:B)+SUMIF(receitas_pontuais!E:E,B415,receitas_pontuais!B:B)</f>
        <v>56919</v>
      </c>
      <c r="E415" s="51">
        <f t="shared" si="2"/>
        <v>22906</v>
      </c>
      <c r="F415" s="53">
        <f>IFERROR(SUMIF(contas!G:G, B415, contas!B:B),0)</f>
        <v>0</v>
      </c>
      <c r="G415" s="51">
        <f>SUMIFS(previsoes!D:D, previsoes!E:E, "&lt;=" &amp; EOMONTH(DATEVALUE(B415&amp;"-01"),0), previsoes!F:F, "&gt;=" &amp; DATEVALUE(B415&amp;"-01"))</f>
        <v>0</v>
      </c>
      <c r="H415" s="52">
        <f t="shared" si="5"/>
        <v>160491.8958</v>
      </c>
      <c r="I415" s="49">
        <f t="shared" si="3"/>
        <v>22906</v>
      </c>
      <c r="J415" s="52">
        <f>IF(A415&lt;&gt;"",SUMIFS(metas!N:N, metas!E:E, "&gt;=" &amp; DATEVALUE(B415&amp;"-01"),metas!D:D, "&lt;=" &amp; DATEVALUE(B415&amp;"-01")),"")</f>
        <v>3182.813937</v>
      </c>
      <c r="K415" s="49">
        <f t="shared" si="4"/>
        <v>19723.18606</v>
      </c>
      <c r="L415" s="49">
        <f t="shared" si="6"/>
        <v>7529282.373</v>
      </c>
      <c r="M415" s="49">
        <f>IF(A415&lt;&gt;"",IF(COUNTIF(investimento!F:F, B415) &gt; 0, SUM(investimento!B:B)+I415, M414+I415),"")</f>
        <v>9265742.681</v>
      </c>
    </row>
    <row r="416" ht="22.5" customHeight="1">
      <c r="A416" s="47">
        <v>50465.0</v>
      </c>
      <c r="B416" s="48" t="str">
        <f t="shared" si="1"/>
        <v>2038-03</v>
      </c>
      <c r="C416" s="49">
        <f>SUMIF(despesas_recorrentes!C:C, "&gt;="&amp;A416,despesas_recorrentes!B:B) 
+SUMIF(despesas_recorrentes!C:C, "",despesas_recorrentes!B:B)
-despesas_recorrentes!$B$12
+IF(SUMIF(gasto_cartao!E:E,saldo!B416,gasto_cartao!B:B)&gt;despesas_recorrentes!$B$12, SUMIF(gasto_cartao!E:E,saldo!B416,gasto_cartao!B:B),despesas_recorrentes!$B$12)</f>
        <v>34013</v>
      </c>
      <c r="D416" s="51">
        <f>SUM(receitas_recorrentes!B:B)+SUMIF(receitas_pontuais!E:E,B416,receitas_pontuais!B:B)</f>
        <v>56919</v>
      </c>
      <c r="E416" s="51">
        <f t="shared" si="2"/>
        <v>22906</v>
      </c>
      <c r="F416" s="53">
        <f>IFERROR(SUMIF(contas!G:G, B416, contas!B:B),0)</f>
        <v>0</v>
      </c>
      <c r="G416" s="51">
        <f>SUMIFS(previsoes!D:D, previsoes!E:E, "&lt;=" &amp; EOMONTH(DATEVALUE(B416&amp;"-01"),0), previsoes!F:F, "&gt;=" &amp; DATEVALUE(B416&amp;"-01"))</f>
        <v>0</v>
      </c>
      <c r="H416" s="52">
        <f t="shared" si="5"/>
        <v>160491.8958</v>
      </c>
      <c r="I416" s="49">
        <f t="shared" si="3"/>
        <v>22906</v>
      </c>
      <c r="J416" s="52">
        <f>IF(A416&lt;&gt;"",SUMIFS(metas!N:N, metas!E:E, "&gt;=" &amp; DATEVALUE(B416&amp;"-01"),metas!D:D, "&lt;=" &amp; DATEVALUE(B416&amp;"-01")),"")</f>
        <v>3182.813937</v>
      </c>
      <c r="K416" s="49">
        <f t="shared" si="4"/>
        <v>19723.18606</v>
      </c>
      <c r="L416" s="49">
        <f t="shared" si="6"/>
        <v>7549005.559</v>
      </c>
      <c r="M416" s="49">
        <f>IF(A416&lt;&gt;"",IF(COUNTIF(investimento!F:F, B416) &gt; 0, SUM(investimento!B:B)+I416, M415+I416),"")</f>
        <v>9288648.681</v>
      </c>
    </row>
    <row r="417" ht="22.5" customHeight="1">
      <c r="A417" s="47">
        <v>50466.0</v>
      </c>
      <c r="B417" s="48" t="str">
        <f t="shared" si="1"/>
        <v>2038-03</v>
      </c>
      <c r="C417" s="49">
        <f>SUMIF(despesas_recorrentes!C:C, "&gt;="&amp;A417,despesas_recorrentes!B:B) 
+SUMIF(despesas_recorrentes!C:C, "",despesas_recorrentes!B:B)
-despesas_recorrentes!$B$12
+IF(SUMIF(gasto_cartao!E:E,saldo!B417,gasto_cartao!B:B)&gt;despesas_recorrentes!$B$12, SUMIF(gasto_cartao!E:E,saldo!B417,gasto_cartao!B:B),despesas_recorrentes!$B$12)</f>
        <v>34013</v>
      </c>
      <c r="D417" s="51">
        <f>SUM(receitas_recorrentes!B:B)+SUMIF(receitas_pontuais!E:E,B417,receitas_pontuais!B:B)</f>
        <v>56919</v>
      </c>
      <c r="E417" s="51">
        <f t="shared" si="2"/>
        <v>22906</v>
      </c>
      <c r="F417" s="53">
        <f>IFERROR(SUMIF(contas!G:G, B417, contas!B:B),0)</f>
        <v>0</v>
      </c>
      <c r="G417" s="51">
        <f>SUMIFS(previsoes!D:D, previsoes!E:E, "&lt;=" &amp; EOMONTH(DATEVALUE(B417&amp;"-01"),0), previsoes!F:F, "&gt;=" &amp; DATEVALUE(B417&amp;"-01"))</f>
        <v>0</v>
      </c>
      <c r="H417" s="52">
        <f t="shared" si="5"/>
        <v>160491.8958</v>
      </c>
      <c r="I417" s="49">
        <f t="shared" si="3"/>
        <v>22906</v>
      </c>
      <c r="J417" s="52">
        <f>IF(A417&lt;&gt;"",SUMIFS(metas!N:N, metas!E:E, "&gt;=" &amp; DATEVALUE(B417&amp;"-01"),metas!D:D, "&lt;=" &amp; DATEVALUE(B417&amp;"-01")),"")</f>
        <v>3182.813937</v>
      </c>
      <c r="K417" s="49">
        <f t="shared" si="4"/>
        <v>19723.18606</v>
      </c>
      <c r="L417" s="49">
        <f t="shared" si="6"/>
        <v>7568728.745</v>
      </c>
      <c r="M417" s="49">
        <f>IF(A417&lt;&gt;"",IF(COUNTIF(investimento!F:F, B417) &gt; 0, SUM(investimento!B:B)+I417, M416+I417),"")</f>
        <v>9311554.681</v>
      </c>
    </row>
    <row r="418" ht="22.5" customHeight="1">
      <c r="A418" s="47">
        <v>50467.0</v>
      </c>
      <c r="B418" s="48" t="str">
        <f t="shared" si="1"/>
        <v>2038-03</v>
      </c>
      <c r="C418" s="49">
        <f>SUMIF(despesas_recorrentes!C:C, "&gt;="&amp;A418,despesas_recorrentes!B:B) 
+SUMIF(despesas_recorrentes!C:C, "",despesas_recorrentes!B:B)
-despesas_recorrentes!$B$12
+IF(SUMIF(gasto_cartao!E:E,saldo!B418,gasto_cartao!B:B)&gt;despesas_recorrentes!$B$12, SUMIF(gasto_cartao!E:E,saldo!B418,gasto_cartao!B:B),despesas_recorrentes!$B$12)</f>
        <v>34013</v>
      </c>
      <c r="D418" s="51">
        <f>SUM(receitas_recorrentes!B:B)+SUMIF(receitas_pontuais!E:E,B418,receitas_pontuais!B:B)</f>
        <v>56919</v>
      </c>
      <c r="E418" s="51">
        <f t="shared" si="2"/>
        <v>22906</v>
      </c>
      <c r="F418" s="53">
        <f>IFERROR(SUMIF(contas!G:G, B418, contas!B:B),0)</f>
        <v>0</v>
      </c>
      <c r="G418" s="51">
        <f>SUMIFS(previsoes!D:D, previsoes!E:E, "&lt;=" &amp; EOMONTH(DATEVALUE(B418&amp;"-01"),0), previsoes!F:F, "&gt;=" &amp; DATEVALUE(B418&amp;"-01"))</f>
        <v>0</v>
      </c>
      <c r="H418" s="52">
        <f t="shared" si="5"/>
        <v>160491.8958</v>
      </c>
      <c r="I418" s="49">
        <f t="shared" si="3"/>
        <v>22906</v>
      </c>
      <c r="J418" s="52">
        <f>IF(A418&lt;&gt;"",SUMIFS(metas!N:N, metas!E:E, "&gt;=" &amp; DATEVALUE(B418&amp;"-01"),metas!D:D, "&lt;=" &amp; DATEVALUE(B418&amp;"-01")),"")</f>
        <v>3182.813937</v>
      </c>
      <c r="K418" s="49">
        <f t="shared" si="4"/>
        <v>19723.18606</v>
      </c>
      <c r="L418" s="49">
        <f t="shared" si="6"/>
        <v>7588451.931</v>
      </c>
      <c r="M418" s="49">
        <f>IF(A418&lt;&gt;"",IF(COUNTIF(investimento!F:F, B418) &gt; 0, SUM(investimento!B:B)+I418, M417+I418),"")</f>
        <v>9334460.681</v>
      </c>
    </row>
    <row r="419" ht="22.5" customHeight="1">
      <c r="A419" s="47">
        <v>50468.0</v>
      </c>
      <c r="B419" s="48" t="str">
        <f t="shared" si="1"/>
        <v>2038-03</v>
      </c>
      <c r="C419" s="49">
        <f>SUMIF(despesas_recorrentes!C:C, "&gt;="&amp;A419,despesas_recorrentes!B:B) 
+SUMIF(despesas_recorrentes!C:C, "",despesas_recorrentes!B:B)
-despesas_recorrentes!$B$12
+IF(SUMIF(gasto_cartao!E:E,saldo!B419,gasto_cartao!B:B)&gt;despesas_recorrentes!$B$12, SUMIF(gasto_cartao!E:E,saldo!B419,gasto_cartao!B:B),despesas_recorrentes!$B$12)</f>
        <v>34013</v>
      </c>
      <c r="D419" s="51">
        <f>SUM(receitas_recorrentes!B:B)+SUMIF(receitas_pontuais!E:E,B419,receitas_pontuais!B:B)</f>
        <v>56919</v>
      </c>
      <c r="E419" s="51">
        <f t="shared" si="2"/>
        <v>22906</v>
      </c>
      <c r="F419" s="53">
        <f>IFERROR(SUMIF(contas!G:G, B419, contas!B:B),0)</f>
        <v>0</v>
      </c>
      <c r="G419" s="51">
        <f>SUMIFS(previsoes!D:D, previsoes!E:E, "&lt;=" &amp; EOMONTH(DATEVALUE(B419&amp;"-01"),0), previsoes!F:F, "&gt;=" &amp; DATEVALUE(B419&amp;"-01"))</f>
        <v>0</v>
      </c>
      <c r="H419" s="52">
        <f t="shared" si="5"/>
        <v>160491.8958</v>
      </c>
      <c r="I419" s="49">
        <f t="shared" si="3"/>
        <v>22906</v>
      </c>
      <c r="J419" s="52">
        <f>IF(A419&lt;&gt;"",SUMIFS(metas!N:N, metas!E:E, "&gt;=" &amp; DATEVALUE(B419&amp;"-01"),metas!D:D, "&lt;=" &amp; DATEVALUE(B419&amp;"-01")),"")</f>
        <v>3182.813937</v>
      </c>
      <c r="K419" s="49">
        <f t="shared" si="4"/>
        <v>19723.18606</v>
      </c>
      <c r="L419" s="49">
        <f t="shared" si="6"/>
        <v>7608175.117</v>
      </c>
      <c r="M419" s="49">
        <f>IF(A419&lt;&gt;"",IF(COUNTIF(investimento!F:F, B419) &gt; 0, SUM(investimento!B:B)+I419, M418+I419),"")</f>
        <v>9357366.681</v>
      </c>
    </row>
    <row r="420" ht="22.5" customHeight="1">
      <c r="A420" s="47">
        <v>50469.0</v>
      </c>
      <c r="B420" s="48" t="str">
        <f t="shared" si="1"/>
        <v>2038-03</v>
      </c>
      <c r="C420" s="49">
        <f>SUMIF(despesas_recorrentes!C:C, "&gt;="&amp;A420,despesas_recorrentes!B:B) 
+SUMIF(despesas_recorrentes!C:C, "",despesas_recorrentes!B:B)
-despesas_recorrentes!$B$12
+IF(SUMIF(gasto_cartao!E:E,saldo!B420,gasto_cartao!B:B)&gt;despesas_recorrentes!$B$12, SUMIF(gasto_cartao!E:E,saldo!B420,gasto_cartao!B:B),despesas_recorrentes!$B$12)</f>
        <v>34013</v>
      </c>
      <c r="D420" s="51">
        <f>SUM(receitas_recorrentes!B:B)+SUMIF(receitas_pontuais!E:E,B420,receitas_pontuais!B:B)</f>
        <v>56919</v>
      </c>
      <c r="E420" s="51">
        <f t="shared" si="2"/>
        <v>22906</v>
      </c>
      <c r="F420" s="53">
        <f>IFERROR(SUMIF(contas!G:G, B420, contas!B:B),0)</f>
        <v>0</v>
      </c>
      <c r="G420" s="51">
        <f>SUMIFS(previsoes!D:D, previsoes!E:E, "&lt;=" &amp; EOMONTH(DATEVALUE(B420&amp;"-01"),0), previsoes!F:F, "&gt;=" &amp; DATEVALUE(B420&amp;"-01"))</f>
        <v>0</v>
      </c>
      <c r="H420" s="52">
        <f t="shared" si="5"/>
        <v>160491.8958</v>
      </c>
      <c r="I420" s="49">
        <f t="shared" si="3"/>
        <v>22906</v>
      </c>
      <c r="J420" s="52">
        <f>IF(A420&lt;&gt;"",SUMIFS(metas!N:N, metas!E:E, "&gt;=" &amp; DATEVALUE(B420&amp;"-01"),metas!D:D, "&lt;=" &amp; DATEVALUE(B420&amp;"-01")),"")</f>
        <v>3182.813937</v>
      </c>
      <c r="K420" s="49">
        <f t="shared" si="4"/>
        <v>19723.18606</v>
      </c>
      <c r="L420" s="49">
        <f t="shared" si="6"/>
        <v>7627898.303</v>
      </c>
      <c r="M420" s="49">
        <f>IF(A420&lt;&gt;"",IF(COUNTIF(investimento!F:F, B420) &gt; 0, SUM(investimento!B:B)+I420, M419+I420),"")</f>
        <v>9380272.681</v>
      </c>
    </row>
    <row r="421" ht="22.5" customHeight="1">
      <c r="A421" s="47">
        <v>50470.0</v>
      </c>
      <c r="B421" s="48" t="str">
        <f t="shared" si="1"/>
        <v>2038-03</v>
      </c>
      <c r="C421" s="49">
        <f>SUMIF(despesas_recorrentes!C:C, "&gt;="&amp;A421,despesas_recorrentes!B:B) 
+SUMIF(despesas_recorrentes!C:C, "",despesas_recorrentes!B:B)
-despesas_recorrentes!$B$12
+IF(SUMIF(gasto_cartao!E:E,saldo!B421,gasto_cartao!B:B)&gt;despesas_recorrentes!$B$12, SUMIF(gasto_cartao!E:E,saldo!B421,gasto_cartao!B:B),despesas_recorrentes!$B$12)</f>
        <v>34013</v>
      </c>
      <c r="D421" s="51">
        <f>SUM(receitas_recorrentes!B:B)+SUMIF(receitas_pontuais!E:E,B421,receitas_pontuais!B:B)</f>
        <v>56919</v>
      </c>
      <c r="E421" s="51">
        <f t="shared" si="2"/>
        <v>22906</v>
      </c>
      <c r="F421" s="53">
        <f>IFERROR(SUMIF(contas!G:G, B421, contas!B:B),0)</f>
        <v>0</v>
      </c>
      <c r="G421" s="51">
        <f>SUMIFS(previsoes!D:D, previsoes!E:E, "&lt;=" &amp; EOMONTH(DATEVALUE(B421&amp;"-01"),0), previsoes!F:F, "&gt;=" &amp; DATEVALUE(B421&amp;"-01"))</f>
        <v>0</v>
      </c>
      <c r="H421" s="52">
        <f t="shared" si="5"/>
        <v>160491.8958</v>
      </c>
      <c r="I421" s="49">
        <f t="shared" si="3"/>
        <v>22906</v>
      </c>
      <c r="J421" s="52">
        <f>IF(A421&lt;&gt;"",SUMIFS(metas!N:N, metas!E:E, "&gt;=" &amp; DATEVALUE(B421&amp;"-01"),metas!D:D, "&lt;=" &amp; DATEVALUE(B421&amp;"-01")),"")</f>
        <v>3182.813937</v>
      </c>
      <c r="K421" s="49">
        <f t="shared" si="4"/>
        <v>19723.18606</v>
      </c>
      <c r="L421" s="49">
        <f t="shared" si="6"/>
        <v>7647621.489</v>
      </c>
      <c r="M421" s="49">
        <f>IF(A421&lt;&gt;"",IF(COUNTIF(investimento!F:F, B421) &gt; 0, SUM(investimento!B:B)+I421, M420+I421),"")</f>
        <v>9403178.681</v>
      </c>
    </row>
    <row r="422" ht="22.5" customHeight="1">
      <c r="A422" s="47">
        <v>50471.0</v>
      </c>
      <c r="B422" s="48" t="str">
        <f t="shared" si="1"/>
        <v>2038-03</v>
      </c>
      <c r="C422" s="49">
        <f>SUMIF(despesas_recorrentes!C:C, "&gt;="&amp;A422,despesas_recorrentes!B:B) 
+SUMIF(despesas_recorrentes!C:C, "",despesas_recorrentes!B:B)
-despesas_recorrentes!$B$12
+IF(SUMIF(gasto_cartao!E:E,saldo!B422,gasto_cartao!B:B)&gt;despesas_recorrentes!$B$12, SUMIF(gasto_cartao!E:E,saldo!B422,gasto_cartao!B:B),despesas_recorrentes!$B$12)</f>
        <v>34013</v>
      </c>
      <c r="D422" s="51">
        <f>SUM(receitas_recorrentes!B:B)+SUMIF(receitas_pontuais!E:E,B422,receitas_pontuais!B:B)</f>
        <v>56919</v>
      </c>
      <c r="E422" s="51">
        <f t="shared" si="2"/>
        <v>22906</v>
      </c>
      <c r="F422" s="53">
        <f>IFERROR(SUMIF(contas!G:G, B422, contas!B:B),0)</f>
        <v>0</v>
      </c>
      <c r="G422" s="51">
        <f>SUMIFS(previsoes!D:D, previsoes!E:E, "&lt;=" &amp; EOMONTH(DATEVALUE(B422&amp;"-01"),0), previsoes!F:F, "&gt;=" &amp; DATEVALUE(B422&amp;"-01"))</f>
        <v>0</v>
      </c>
      <c r="H422" s="52">
        <f t="shared" si="5"/>
        <v>160491.8958</v>
      </c>
      <c r="I422" s="49">
        <f t="shared" si="3"/>
        <v>22906</v>
      </c>
      <c r="J422" s="52">
        <f>IF(A422&lt;&gt;"",SUMIFS(metas!N:N, metas!E:E, "&gt;=" &amp; DATEVALUE(B422&amp;"-01"),metas!D:D, "&lt;=" &amp; DATEVALUE(B422&amp;"-01")),"")</f>
        <v>3182.813937</v>
      </c>
      <c r="K422" s="49">
        <f t="shared" si="4"/>
        <v>19723.18606</v>
      </c>
      <c r="L422" s="49">
        <f t="shared" si="6"/>
        <v>7667344.675</v>
      </c>
      <c r="M422" s="49">
        <f>IF(A422&lt;&gt;"",IF(COUNTIF(investimento!F:F, B422) &gt; 0, SUM(investimento!B:B)+I422, M421+I422),"")</f>
        <v>9426084.681</v>
      </c>
    </row>
    <row r="423" ht="22.5" customHeight="1">
      <c r="A423" s="47">
        <v>50472.0</v>
      </c>
      <c r="B423" s="48" t="str">
        <f t="shared" si="1"/>
        <v>2038-03</v>
      </c>
      <c r="C423" s="49">
        <f>SUMIF(despesas_recorrentes!C:C, "&gt;="&amp;A423,despesas_recorrentes!B:B) 
+SUMIF(despesas_recorrentes!C:C, "",despesas_recorrentes!B:B)
-despesas_recorrentes!$B$12
+IF(SUMIF(gasto_cartao!E:E,saldo!B423,gasto_cartao!B:B)&gt;despesas_recorrentes!$B$12, SUMIF(gasto_cartao!E:E,saldo!B423,gasto_cartao!B:B),despesas_recorrentes!$B$12)</f>
        <v>34013</v>
      </c>
      <c r="D423" s="51">
        <f>SUM(receitas_recorrentes!B:B)+SUMIF(receitas_pontuais!E:E,B423,receitas_pontuais!B:B)</f>
        <v>56919</v>
      </c>
      <c r="E423" s="51">
        <f t="shared" si="2"/>
        <v>22906</v>
      </c>
      <c r="F423" s="53">
        <f>IFERROR(SUMIF(contas!G:G, B423, contas!B:B),0)</f>
        <v>0</v>
      </c>
      <c r="G423" s="51">
        <f>SUMIFS(previsoes!D:D, previsoes!E:E, "&lt;=" &amp; EOMONTH(DATEVALUE(B423&amp;"-01"),0), previsoes!F:F, "&gt;=" &amp; DATEVALUE(B423&amp;"-01"))</f>
        <v>0</v>
      </c>
      <c r="H423" s="52">
        <f t="shared" si="5"/>
        <v>160491.8958</v>
      </c>
      <c r="I423" s="49">
        <f t="shared" si="3"/>
        <v>22906</v>
      </c>
      <c r="J423" s="52">
        <f>IF(A423&lt;&gt;"",SUMIFS(metas!N:N, metas!E:E, "&gt;=" &amp; DATEVALUE(B423&amp;"-01"),metas!D:D, "&lt;=" &amp; DATEVALUE(B423&amp;"-01")),"")</f>
        <v>3182.813937</v>
      </c>
      <c r="K423" s="49">
        <f t="shared" si="4"/>
        <v>19723.18606</v>
      </c>
      <c r="L423" s="49">
        <f t="shared" si="6"/>
        <v>7687067.861</v>
      </c>
      <c r="M423" s="49">
        <f>IF(A423&lt;&gt;"",IF(COUNTIF(investimento!F:F, B423) &gt; 0, SUM(investimento!B:B)+I423, M422+I423),"")</f>
        <v>9448990.681</v>
      </c>
    </row>
    <row r="424" ht="22.5" customHeight="1">
      <c r="A424" s="47">
        <v>50473.0</v>
      </c>
      <c r="B424" s="48" t="str">
        <f t="shared" si="1"/>
        <v>2038-03</v>
      </c>
      <c r="C424" s="49">
        <f>SUMIF(despesas_recorrentes!C:C, "&gt;="&amp;A424,despesas_recorrentes!B:B) 
+SUMIF(despesas_recorrentes!C:C, "",despesas_recorrentes!B:B)
-despesas_recorrentes!$B$12
+IF(SUMIF(gasto_cartao!E:E,saldo!B424,gasto_cartao!B:B)&gt;despesas_recorrentes!$B$12, SUMIF(gasto_cartao!E:E,saldo!B424,gasto_cartao!B:B),despesas_recorrentes!$B$12)</f>
        <v>34013</v>
      </c>
      <c r="D424" s="51">
        <f>SUM(receitas_recorrentes!B:B)+SUMIF(receitas_pontuais!E:E,B424,receitas_pontuais!B:B)</f>
        <v>56919</v>
      </c>
      <c r="E424" s="51">
        <f t="shared" si="2"/>
        <v>22906</v>
      </c>
      <c r="F424" s="53">
        <f>IFERROR(SUMIF(contas!G:G, B424, contas!B:B),0)</f>
        <v>0</v>
      </c>
      <c r="G424" s="51">
        <f>SUMIFS(previsoes!D:D, previsoes!E:E, "&lt;=" &amp; EOMONTH(DATEVALUE(B424&amp;"-01"),0), previsoes!F:F, "&gt;=" &amp; DATEVALUE(B424&amp;"-01"))</f>
        <v>0</v>
      </c>
      <c r="H424" s="52">
        <f t="shared" si="5"/>
        <v>160491.8958</v>
      </c>
      <c r="I424" s="49">
        <f t="shared" si="3"/>
        <v>22906</v>
      </c>
      <c r="J424" s="52">
        <f>IF(A424&lt;&gt;"",SUMIFS(metas!N:N, metas!E:E, "&gt;=" &amp; DATEVALUE(B424&amp;"-01"),metas!D:D, "&lt;=" &amp; DATEVALUE(B424&amp;"-01")),"")</f>
        <v>3182.813937</v>
      </c>
      <c r="K424" s="49">
        <f t="shared" si="4"/>
        <v>19723.18606</v>
      </c>
      <c r="L424" s="49">
        <f t="shared" si="6"/>
        <v>7706791.047</v>
      </c>
      <c r="M424" s="49">
        <f>IF(A424&lt;&gt;"",IF(COUNTIF(investimento!F:F, B424) &gt; 0, SUM(investimento!B:B)+I424, M423+I424),"")</f>
        <v>9471896.681</v>
      </c>
    </row>
    <row r="425" ht="22.5" customHeight="1">
      <c r="A425" s="47">
        <v>50474.0</v>
      </c>
      <c r="B425" s="48" t="str">
        <f t="shared" si="1"/>
        <v>2038-03</v>
      </c>
      <c r="C425" s="49">
        <f>SUMIF(despesas_recorrentes!C:C, "&gt;="&amp;A425,despesas_recorrentes!B:B) 
+SUMIF(despesas_recorrentes!C:C, "",despesas_recorrentes!B:B)
-despesas_recorrentes!$B$12
+IF(SUMIF(gasto_cartao!E:E,saldo!B425,gasto_cartao!B:B)&gt;despesas_recorrentes!$B$12, SUMIF(gasto_cartao!E:E,saldo!B425,gasto_cartao!B:B),despesas_recorrentes!$B$12)</f>
        <v>34013</v>
      </c>
      <c r="D425" s="51">
        <f>SUM(receitas_recorrentes!B:B)+SUMIF(receitas_pontuais!E:E,B425,receitas_pontuais!B:B)</f>
        <v>56919</v>
      </c>
      <c r="E425" s="51">
        <f t="shared" si="2"/>
        <v>22906</v>
      </c>
      <c r="F425" s="53">
        <f>IFERROR(SUMIF(contas!G:G, B425, contas!B:B),0)</f>
        <v>0</v>
      </c>
      <c r="G425" s="51">
        <f>SUMIFS(previsoes!D:D, previsoes!E:E, "&lt;=" &amp; EOMONTH(DATEVALUE(B425&amp;"-01"),0), previsoes!F:F, "&gt;=" &amp; DATEVALUE(B425&amp;"-01"))</f>
        <v>0</v>
      </c>
      <c r="H425" s="52">
        <f t="shared" si="5"/>
        <v>160491.8958</v>
      </c>
      <c r="I425" s="49">
        <f t="shared" si="3"/>
        <v>22906</v>
      </c>
      <c r="J425" s="52">
        <f>IF(A425&lt;&gt;"",SUMIFS(metas!N:N, metas!E:E, "&gt;=" &amp; DATEVALUE(B425&amp;"-01"),metas!D:D, "&lt;=" &amp; DATEVALUE(B425&amp;"-01")),"")</f>
        <v>3182.813937</v>
      </c>
      <c r="K425" s="49">
        <f t="shared" si="4"/>
        <v>19723.18606</v>
      </c>
      <c r="L425" s="49">
        <f t="shared" si="6"/>
        <v>7726514.233</v>
      </c>
      <c r="M425" s="49">
        <f>IF(A425&lt;&gt;"",IF(COUNTIF(investimento!F:F, B425) &gt; 0, SUM(investimento!B:B)+I425, M424+I425),"")</f>
        <v>9494802.681</v>
      </c>
    </row>
    <row r="426" ht="22.5" customHeight="1">
      <c r="A426" s="47">
        <v>50475.0</v>
      </c>
      <c r="B426" s="48" t="str">
        <f t="shared" si="1"/>
        <v>2038-03</v>
      </c>
      <c r="C426" s="49">
        <f>SUMIF(despesas_recorrentes!C:C, "&gt;="&amp;A426,despesas_recorrentes!B:B) 
+SUMIF(despesas_recorrentes!C:C, "",despesas_recorrentes!B:B)
-despesas_recorrentes!$B$12
+IF(SUMIF(gasto_cartao!E:E,saldo!B426,gasto_cartao!B:B)&gt;despesas_recorrentes!$B$12, SUMIF(gasto_cartao!E:E,saldo!B426,gasto_cartao!B:B),despesas_recorrentes!$B$12)</f>
        <v>34013</v>
      </c>
      <c r="D426" s="51">
        <f>SUM(receitas_recorrentes!B:B)+SUMIF(receitas_pontuais!E:E,B426,receitas_pontuais!B:B)</f>
        <v>56919</v>
      </c>
      <c r="E426" s="51">
        <f t="shared" si="2"/>
        <v>22906</v>
      </c>
      <c r="F426" s="53">
        <f>IFERROR(SUMIF(contas!G:G, B426, contas!B:B),0)</f>
        <v>0</v>
      </c>
      <c r="G426" s="51">
        <f>SUMIFS(previsoes!D:D, previsoes!E:E, "&lt;=" &amp; EOMONTH(DATEVALUE(B426&amp;"-01"),0), previsoes!F:F, "&gt;=" &amp; DATEVALUE(B426&amp;"-01"))</f>
        <v>0</v>
      </c>
      <c r="H426" s="52">
        <f t="shared" si="5"/>
        <v>160491.8958</v>
      </c>
      <c r="I426" s="49">
        <f t="shared" si="3"/>
        <v>22906</v>
      </c>
      <c r="J426" s="52">
        <f>IF(A426&lt;&gt;"",SUMIFS(metas!N:N, metas!E:E, "&gt;=" &amp; DATEVALUE(B426&amp;"-01"),metas!D:D, "&lt;=" &amp; DATEVALUE(B426&amp;"-01")),"")</f>
        <v>3182.813937</v>
      </c>
      <c r="K426" s="49">
        <f t="shared" si="4"/>
        <v>19723.18606</v>
      </c>
      <c r="L426" s="49">
        <f t="shared" si="6"/>
        <v>7746237.419</v>
      </c>
      <c r="M426" s="49">
        <f>IF(A426&lt;&gt;"",IF(COUNTIF(investimento!F:F, B426) &gt; 0, SUM(investimento!B:B)+I426, M425+I426),"")</f>
        <v>9517708.681</v>
      </c>
    </row>
    <row r="427" ht="22.5" customHeight="1">
      <c r="A427" s="47">
        <v>50476.0</v>
      </c>
      <c r="B427" s="48" t="str">
        <f t="shared" si="1"/>
        <v>2038-03</v>
      </c>
      <c r="C427" s="49">
        <f>SUMIF(despesas_recorrentes!C:C, "&gt;="&amp;A427,despesas_recorrentes!B:B) 
+SUMIF(despesas_recorrentes!C:C, "",despesas_recorrentes!B:B)
-despesas_recorrentes!$B$12
+IF(SUMIF(gasto_cartao!E:E,saldo!B427,gasto_cartao!B:B)&gt;despesas_recorrentes!$B$12, SUMIF(gasto_cartao!E:E,saldo!B427,gasto_cartao!B:B),despesas_recorrentes!$B$12)</f>
        <v>34013</v>
      </c>
      <c r="D427" s="51">
        <f>SUM(receitas_recorrentes!B:B)+SUMIF(receitas_pontuais!E:E,B427,receitas_pontuais!B:B)</f>
        <v>56919</v>
      </c>
      <c r="E427" s="51">
        <f t="shared" si="2"/>
        <v>22906</v>
      </c>
      <c r="F427" s="53">
        <f>IFERROR(SUMIF(contas!G:G, B427, contas!B:B),0)</f>
        <v>0</v>
      </c>
      <c r="G427" s="51">
        <f>SUMIFS(previsoes!D:D, previsoes!E:E, "&lt;=" &amp; EOMONTH(DATEVALUE(B427&amp;"-01"),0), previsoes!F:F, "&gt;=" &amp; DATEVALUE(B427&amp;"-01"))</f>
        <v>0</v>
      </c>
      <c r="H427" s="52">
        <f t="shared" si="5"/>
        <v>160491.8958</v>
      </c>
      <c r="I427" s="49">
        <f t="shared" si="3"/>
        <v>22906</v>
      </c>
      <c r="J427" s="52">
        <f>IF(A427&lt;&gt;"",SUMIFS(metas!N:N, metas!E:E, "&gt;=" &amp; DATEVALUE(B427&amp;"-01"),metas!D:D, "&lt;=" &amp; DATEVALUE(B427&amp;"-01")),"")</f>
        <v>3182.813937</v>
      </c>
      <c r="K427" s="49">
        <f t="shared" si="4"/>
        <v>19723.18606</v>
      </c>
      <c r="L427" s="49">
        <f t="shared" si="6"/>
        <v>7765960.605</v>
      </c>
      <c r="M427" s="49">
        <f>IF(A427&lt;&gt;"",IF(COUNTIF(investimento!F:F, B427) &gt; 0, SUM(investimento!B:B)+I427, M426+I427),"")</f>
        <v>9540614.681</v>
      </c>
    </row>
    <row r="428" ht="22.5" customHeight="1">
      <c r="A428" s="47">
        <v>50477.0</v>
      </c>
      <c r="B428" s="48" t="str">
        <f t="shared" si="1"/>
        <v>2038-03</v>
      </c>
      <c r="C428" s="49">
        <f>SUMIF(despesas_recorrentes!C:C, "&gt;="&amp;A428,despesas_recorrentes!B:B) 
+SUMIF(despesas_recorrentes!C:C, "",despesas_recorrentes!B:B)
-despesas_recorrentes!$B$12
+IF(SUMIF(gasto_cartao!E:E,saldo!B428,gasto_cartao!B:B)&gt;despesas_recorrentes!$B$12, SUMIF(gasto_cartao!E:E,saldo!B428,gasto_cartao!B:B),despesas_recorrentes!$B$12)</f>
        <v>34013</v>
      </c>
      <c r="D428" s="51">
        <f>SUM(receitas_recorrentes!B:B)+SUMIF(receitas_pontuais!E:E,B428,receitas_pontuais!B:B)</f>
        <v>56919</v>
      </c>
      <c r="E428" s="51">
        <f t="shared" si="2"/>
        <v>22906</v>
      </c>
      <c r="F428" s="53">
        <f>IFERROR(SUMIF(contas!G:G, B428, contas!B:B),0)</f>
        <v>0</v>
      </c>
      <c r="G428" s="51">
        <f>SUMIFS(previsoes!D:D, previsoes!E:E, "&lt;=" &amp; EOMONTH(DATEVALUE(B428&amp;"-01"),0), previsoes!F:F, "&gt;=" &amp; DATEVALUE(B428&amp;"-01"))</f>
        <v>0</v>
      </c>
      <c r="H428" s="52">
        <f t="shared" si="5"/>
        <v>160491.8958</v>
      </c>
      <c r="I428" s="49">
        <f t="shared" si="3"/>
        <v>22906</v>
      </c>
      <c r="J428" s="52">
        <f>IF(A428&lt;&gt;"",SUMIFS(metas!N:N, metas!E:E, "&gt;=" &amp; DATEVALUE(B428&amp;"-01"),metas!D:D, "&lt;=" &amp; DATEVALUE(B428&amp;"-01")),"")</f>
        <v>3182.813937</v>
      </c>
      <c r="K428" s="49">
        <f t="shared" si="4"/>
        <v>19723.18606</v>
      </c>
      <c r="L428" s="49">
        <f t="shared" si="6"/>
        <v>7785683.791</v>
      </c>
      <c r="M428" s="49">
        <f>IF(A428&lt;&gt;"",IF(COUNTIF(investimento!F:F, B428) &gt; 0, SUM(investimento!B:B)+I428, M427+I428),"")</f>
        <v>9563520.681</v>
      </c>
    </row>
    <row r="429" ht="22.5" customHeight="1">
      <c r="A429" s="47">
        <v>50478.0</v>
      </c>
      <c r="B429" s="48" t="str">
        <f t="shared" si="1"/>
        <v>2038-03</v>
      </c>
      <c r="C429" s="49">
        <f>SUMIF(despesas_recorrentes!C:C, "&gt;="&amp;A429,despesas_recorrentes!B:B) 
+SUMIF(despesas_recorrentes!C:C, "",despesas_recorrentes!B:B)
-despesas_recorrentes!$B$12
+IF(SUMIF(gasto_cartao!E:E,saldo!B429,gasto_cartao!B:B)&gt;despesas_recorrentes!$B$12, SUMIF(gasto_cartao!E:E,saldo!B429,gasto_cartao!B:B),despesas_recorrentes!$B$12)</f>
        <v>34013</v>
      </c>
      <c r="D429" s="51">
        <f>SUM(receitas_recorrentes!B:B)+SUMIF(receitas_pontuais!E:E,B429,receitas_pontuais!B:B)</f>
        <v>56919</v>
      </c>
      <c r="E429" s="51">
        <f t="shared" si="2"/>
        <v>22906</v>
      </c>
      <c r="F429" s="53">
        <f>IFERROR(SUMIF(contas!G:G, B429, contas!B:B),0)</f>
        <v>0</v>
      </c>
      <c r="G429" s="51">
        <f>SUMIFS(previsoes!D:D, previsoes!E:E, "&lt;=" &amp; EOMONTH(DATEVALUE(B429&amp;"-01"),0), previsoes!F:F, "&gt;=" &amp; DATEVALUE(B429&amp;"-01"))</f>
        <v>0</v>
      </c>
      <c r="H429" s="52">
        <f t="shared" si="5"/>
        <v>160491.8958</v>
      </c>
      <c r="I429" s="49">
        <f t="shared" si="3"/>
        <v>22906</v>
      </c>
      <c r="J429" s="52">
        <f>IF(A429&lt;&gt;"",SUMIFS(metas!N:N, metas!E:E, "&gt;=" &amp; DATEVALUE(B429&amp;"-01"),metas!D:D, "&lt;=" &amp; DATEVALUE(B429&amp;"-01")),"")</f>
        <v>3182.813937</v>
      </c>
      <c r="K429" s="49">
        <f t="shared" si="4"/>
        <v>19723.18606</v>
      </c>
      <c r="L429" s="49">
        <f t="shared" si="6"/>
        <v>7805406.978</v>
      </c>
      <c r="M429" s="49">
        <f>IF(A429&lt;&gt;"",IF(COUNTIF(investimento!F:F, B429) &gt; 0, SUM(investimento!B:B)+I429, M428+I429),"")</f>
        <v>9586426.681</v>
      </c>
    </row>
    <row r="430" ht="22.5" customHeight="1">
      <c r="A430" s="47">
        <v>50479.0</v>
      </c>
      <c r="B430" s="48" t="str">
        <f t="shared" si="1"/>
        <v>2038-03</v>
      </c>
      <c r="C430" s="49">
        <f>SUMIF(despesas_recorrentes!C:C, "&gt;="&amp;A430,despesas_recorrentes!B:B) 
+SUMIF(despesas_recorrentes!C:C, "",despesas_recorrentes!B:B)
-despesas_recorrentes!$B$12
+IF(SUMIF(gasto_cartao!E:E,saldo!B430,gasto_cartao!B:B)&gt;despesas_recorrentes!$B$12, SUMIF(gasto_cartao!E:E,saldo!B430,gasto_cartao!B:B),despesas_recorrentes!$B$12)</f>
        <v>34013</v>
      </c>
      <c r="D430" s="51">
        <f>SUM(receitas_recorrentes!B:B)+SUMIF(receitas_pontuais!E:E,B430,receitas_pontuais!B:B)</f>
        <v>56919</v>
      </c>
      <c r="E430" s="51">
        <f t="shared" si="2"/>
        <v>22906</v>
      </c>
      <c r="F430" s="53">
        <f>IFERROR(SUMIF(contas!G:G, B430, contas!B:B),0)</f>
        <v>0</v>
      </c>
      <c r="G430" s="51">
        <f>SUMIFS(previsoes!D:D, previsoes!E:E, "&lt;=" &amp; EOMONTH(DATEVALUE(B430&amp;"-01"),0), previsoes!F:F, "&gt;=" &amp; DATEVALUE(B430&amp;"-01"))</f>
        <v>0</v>
      </c>
      <c r="H430" s="52">
        <f t="shared" si="5"/>
        <v>160491.8958</v>
      </c>
      <c r="I430" s="49">
        <f t="shared" si="3"/>
        <v>22906</v>
      </c>
      <c r="J430" s="52">
        <f>IF(A430&lt;&gt;"",SUMIFS(metas!N:N, metas!E:E, "&gt;=" &amp; DATEVALUE(B430&amp;"-01"),metas!D:D, "&lt;=" &amp; DATEVALUE(B430&amp;"-01")),"")</f>
        <v>3182.813937</v>
      </c>
      <c r="K430" s="49">
        <f t="shared" si="4"/>
        <v>19723.18606</v>
      </c>
      <c r="L430" s="49">
        <f t="shared" si="6"/>
        <v>7825130.164</v>
      </c>
      <c r="M430" s="49">
        <f>IF(A430&lt;&gt;"",IF(COUNTIF(investimento!F:F, B430) &gt; 0, SUM(investimento!B:B)+I430, M429+I430),"")</f>
        <v>9609332.681</v>
      </c>
    </row>
    <row r="431" ht="22.5" customHeight="1">
      <c r="A431" s="47">
        <v>50480.0</v>
      </c>
      <c r="B431" s="48" t="str">
        <f t="shared" si="1"/>
        <v>2038-03</v>
      </c>
      <c r="C431" s="49">
        <f>SUMIF(despesas_recorrentes!C:C, "&gt;="&amp;A431,despesas_recorrentes!B:B) 
+SUMIF(despesas_recorrentes!C:C, "",despesas_recorrentes!B:B)
-despesas_recorrentes!$B$12
+IF(SUMIF(gasto_cartao!E:E,saldo!B431,gasto_cartao!B:B)&gt;despesas_recorrentes!$B$12, SUMIF(gasto_cartao!E:E,saldo!B431,gasto_cartao!B:B),despesas_recorrentes!$B$12)</f>
        <v>34013</v>
      </c>
      <c r="D431" s="51">
        <f>SUM(receitas_recorrentes!B:B)+SUMIF(receitas_pontuais!E:E,B431,receitas_pontuais!B:B)</f>
        <v>56919</v>
      </c>
      <c r="E431" s="51">
        <f t="shared" si="2"/>
        <v>22906</v>
      </c>
      <c r="F431" s="53">
        <f>IFERROR(SUMIF(contas!G:G, B431, contas!B:B),0)</f>
        <v>0</v>
      </c>
      <c r="G431" s="51">
        <f>SUMIFS(previsoes!D:D, previsoes!E:E, "&lt;=" &amp; EOMONTH(DATEVALUE(B431&amp;"-01"),0), previsoes!F:F, "&gt;=" &amp; DATEVALUE(B431&amp;"-01"))</f>
        <v>0</v>
      </c>
      <c r="H431" s="52">
        <f t="shared" si="5"/>
        <v>160491.8958</v>
      </c>
      <c r="I431" s="49">
        <f t="shared" si="3"/>
        <v>22906</v>
      </c>
      <c r="J431" s="52">
        <f>IF(A431&lt;&gt;"",SUMIFS(metas!N:N, metas!E:E, "&gt;=" &amp; DATEVALUE(B431&amp;"-01"),metas!D:D, "&lt;=" &amp; DATEVALUE(B431&amp;"-01")),"")</f>
        <v>3182.813937</v>
      </c>
      <c r="K431" s="49">
        <f t="shared" si="4"/>
        <v>19723.18606</v>
      </c>
      <c r="L431" s="49">
        <f t="shared" si="6"/>
        <v>7844853.35</v>
      </c>
      <c r="M431" s="49">
        <f>IF(A431&lt;&gt;"",IF(COUNTIF(investimento!F:F, B431) &gt; 0, SUM(investimento!B:B)+I431, M430+I431),"")</f>
        <v>9632238.681</v>
      </c>
    </row>
    <row r="432" ht="22.5" customHeight="1">
      <c r="A432" s="47">
        <v>50481.0</v>
      </c>
      <c r="B432" s="48" t="str">
        <f t="shared" si="1"/>
        <v>2038-03</v>
      </c>
      <c r="C432" s="49">
        <f>SUMIF(despesas_recorrentes!C:C, "&gt;="&amp;A432,despesas_recorrentes!B:B) 
+SUMIF(despesas_recorrentes!C:C, "",despesas_recorrentes!B:B)
-despesas_recorrentes!$B$12
+IF(SUMIF(gasto_cartao!E:E,saldo!B432,gasto_cartao!B:B)&gt;despesas_recorrentes!$B$12, SUMIF(gasto_cartao!E:E,saldo!B432,gasto_cartao!B:B),despesas_recorrentes!$B$12)</f>
        <v>34013</v>
      </c>
      <c r="D432" s="51">
        <f>SUM(receitas_recorrentes!B:B)+SUMIF(receitas_pontuais!E:E,B432,receitas_pontuais!B:B)</f>
        <v>56919</v>
      </c>
      <c r="E432" s="51">
        <f t="shared" si="2"/>
        <v>22906</v>
      </c>
      <c r="F432" s="53">
        <f>IFERROR(SUMIF(contas!G:G, B432, contas!B:B),0)</f>
        <v>0</v>
      </c>
      <c r="G432" s="51">
        <f>SUMIFS(previsoes!D:D, previsoes!E:E, "&lt;=" &amp; EOMONTH(DATEVALUE(B432&amp;"-01"),0), previsoes!F:F, "&gt;=" &amp; DATEVALUE(B432&amp;"-01"))</f>
        <v>0</v>
      </c>
      <c r="H432" s="52">
        <f t="shared" si="5"/>
        <v>160491.8958</v>
      </c>
      <c r="I432" s="49">
        <f t="shared" si="3"/>
        <v>22906</v>
      </c>
      <c r="J432" s="52">
        <f>IF(A432&lt;&gt;"",SUMIFS(metas!N:N, metas!E:E, "&gt;=" &amp; DATEVALUE(B432&amp;"-01"),metas!D:D, "&lt;=" &amp; DATEVALUE(B432&amp;"-01")),"")</f>
        <v>3182.813937</v>
      </c>
      <c r="K432" s="49">
        <f t="shared" si="4"/>
        <v>19723.18606</v>
      </c>
      <c r="L432" s="49">
        <f t="shared" si="6"/>
        <v>7864576.536</v>
      </c>
      <c r="M432" s="49">
        <f>IF(A432&lt;&gt;"",IF(COUNTIF(investimento!F:F, B432) &gt; 0, SUM(investimento!B:B)+I432, M431+I432),"")</f>
        <v>9655144.681</v>
      </c>
    </row>
    <row r="433" ht="22.5" customHeight="1">
      <c r="A433" s="47">
        <v>50482.0</v>
      </c>
      <c r="B433" s="48" t="str">
        <f t="shared" si="1"/>
        <v>2038-03</v>
      </c>
      <c r="C433" s="49">
        <f>SUMIF(despesas_recorrentes!C:C, "&gt;="&amp;A433,despesas_recorrentes!B:B) 
+SUMIF(despesas_recorrentes!C:C, "",despesas_recorrentes!B:B)
-despesas_recorrentes!$B$12
+IF(SUMIF(gasto_cartao!E:E,saldo!B433,gasto_cartao!B:B)&gt;despesas_recorrentes!$B$12, SUMIF(gasto_cartao!E:E,saldo!B433,gasto_cartao!B:B),despesas_recorrentes!$B$12)</f>
        <v>34013</v>
      </c>
      <c r="D433" s="51">
        <f>SUM(receitas_recorrentes!B:B)+SUMIF(receitas_pontuais!E:E,B433,receitas_pontuais!B:B)</f>
        <v>56919</v>
      </c>
      <c r="E433" s="51">
        <f t="shared" si="2"/>
        <v>22906</v>
      </c>
      <c r="F433" s="53">
        <f>IFERROR(SUMIF(contas!G:G, B433, contas!B:B),0)</f>
        <v>0</v>
      </c>
      <c r="G433" s="51">
        <f>SUMIFS(previsoes!D:D, previsoes!E:E, "&lt;=" &amp; EOMONTH(DATEVALUE(B433&amp;"-01"),0), previsoes!F:F, "&gt;=" &amp; DATEVALUE(B433&amp;"-01"))</f>
        <v>0</v>
      </c>
      <c r="H433" s="52">
        <f t="shared" si="5"/>
        <v>160491.8958</v>
      </c>
      <c r="I433" s="49">
        <f t="shared" si="3"/>
        <v>22906</v>
      </c>
      <c r="J433" s="52">
        <f>IF(A433&lt;&gt;"",SUMIFS(metas!N:N, metas!E:E, "&gt;=" &amp; DATEVALUE(B433&amp;"-01"),metas!D:D, "&lt;=" &amp; DATEVALUE(B433&amp;"-01")),"")</f>
        <v>3182.813937</v>
      </c>
      <c r="K433" s="49">
        <f t="shared" si="4"/>
        <v>19723.18606</v>
      </c>
      <c r="L433" s="49">
        <f t="shared" si="6"/>
        <v>7884299.722</v>
      </c>
      <c r="M433" s="49">
        <f>IF(A433&lt;&gt;"",IF(COUNTIF(investimento!F:F, B433) &gt; 0, SUM(investimento!B:B)+I433, M432+I433),"")</f>
        <v>9678050.681</v>
      </c>
    </row>
    <row r="434" ht="22.5" customHeight="1">
      <c r="A434" s="47">
        <v>50483.0</v>
      </c>
      <c r="B434" s="48" t="str">
        <f t="shared" si="1"/>
        <v>2038-03</v>
      </c>
      <c r="C434" s="49">
        <f>SUMIF(despesas_recorrentes!C:C, "&gt;="&amp;A434,despesas_recorrentes!B:B) 
+SUMIF(despesas_recorrentes!C:C, "",despesas_recorrentes!B:B)
-despesas_recorrentes!$B$12
+IF(SUMIF(gasto_cartao!E:E,saldo!B434,gasto_cartao!B:B)&gt;despesas_recorrentes!$B$12, SUMIF(gasto_cartao!E:E,saldo!B434,gasto_cartao!B:B),despesas_recorrentes!$B$12)</f>
        <v>34013</v>
      </c>
      <c r="D434" s="51">
        <f>SUM(receitas_recorrentes!B:B)+SUMIF(receitas_pontuais!E:E,B434,receitas_pontuais!B:B)</f>
        <v>56919</v>
      </c>
      <c r="E434" s="51">
        <f t="shared" si="2"/>
        <v>22906</v>
      </c>
      <c r="F434" s="53">
        <f>IFERROR(SUMIF(contas!G:G, B434, contas!B:B),0)</f>
        <v>0</v>
      </c>
      <c r="G434" s="51">
        <f>SUMIFS(previsoes!D:D, previsoes!E:E, "&lt;=" &amp; EOMONTH(DATEVALUE(B434&amp;"-01"),0), previsoes!F:F, "&gt;=" &amp; DATEVALUE(B434&amp;"-01"))</f>
        <v>0</v>
      </c>
      <c r="H434" s="52">
        <f t="shared" si="5"/>
        <v>160491.8958</v>
      </c>
      <c r="I434" s="49">
        <f t="shared" si="3"/>
        <v>22906</v>
      </c>
      <c r="J434" s="52">
        <f>IF(A434&lt;&gt;"",SUMIFS(metas!N:N, metas!E:E, "&gt;=" &amp; DATEVALUE(B434&amp;"-01"),metas!D:D, "&lt;=" &amp; DATEVALUE(B434&amp;"-01")),"")</f>
        <v>3182.813937</v>
      </c>
      <c r="K434" s="49">
        <f t="shared" si="4"/>
        <v>19723.18606</v>
      </c>
      <c r="L434" s="49">
        <f t="shared" si="6"/>
        <v>7904022.908</v>
      </c>
      <c r="M434" s="49">
        <f>IF(A434&lt;&gt;"",IF(COUNTIF(investimento!F:F, B434) &gt; 0, SUM(investimento!B:B)+I434, M433+I434),"")</f>
        <v>9700956.681</v>
      </c>
    </row>
    <row r="435" ht="22.5" customHeight="1">
      <c r="A435" s="47">
        <v>50484.0</v>
      </c>
      <c r="B435" s="48" t="str">
        <f t="shared" si="1"/>
        <v>2038-03</v>
      </c>
      <c r="C435" s="49">
        <f>SUMIF(despesas_recorrentes!C:C, "&gt;="&amp;A435,despesas_recorrentes!B:B) 
+SUMIF(despesas_recorrentes!C:C, "",despesas_recorrentes!B:B)
-despesas_recorrentes!$B$12
+IF(SUMIF(gasto_cartao!E:E,saldo!B435,gasto_cartao!B:B)&gt;despesas_recorrentes!$B$12, SUMIF(gasto_cartao!E:E,saldo!B435,gasto_cartao!B:B),despesas_recorrentes!$B$12)</f>
        <v>34013</v>
      </c>
      <c r="D435" s="51">
        <f>SUM(receitas_recorrentes!B:B)+SUMIF(receitas_pontuais!E:E,B435,receitas_pontuais!B:B)</f>
        <v>56919</v>
      </c>
      <c r="E435" s="51">
        <f t="shared" si="2"/>
        <v>22906</v>
      </c>
      <c r="F435" s="53">
        <f>IFERROR(SUMIF(contas!G:G, B435, contas!B:B),0)</f>
        <v>0</v>
      </c>
      <c r="G435" s="51">
        <f>SUMIFS(previsoes!D:D, previsoes!E:E, "&lt;=" &amp; EOMONTH(DATEVALUE(B435&amp;"-01"),0), previsoes!F:F, "&gt;=" &amp; DATEVALUE(B435&amp;"-01"))</f>
        <v>0</v>
      </c>
      <c r="H435" s="52">
        <f t="shared" si="5"/>
        <v>160491.8958</v>
      </c>
      <c r="I435" s="49">
        <f t="shared" si="3"/>
        <v>22906</v>
      </c>
      <c r="J435" s="52">
        <f>IF(A435&lt;&gt;"",SUMIFS(metas!N:N, metas!E:E, "&gt;=" &amp; DATEVALUE(B435&amp;"-01"),metas!D:D, "&lt;=" &amp; DATEVALUE(B435&amp;"-01")),"")</f>
        <v>3182.813937</v>
      </c>
      <c r="K435" s="49">
        <f t="shared" si="4"/>
        <v>19723.18606</v>
      </c>
      <c r="L435" s="49">
        <f t="shared" si="6"/>
        <v>7923746.094</v>
      </c>
      <c r="M435" s="49">
        <f>IF(A435&lt;&gt;"",IF(COUNTIF(investimento!F:F, B435) &gt; 0, SUM(investimento!B:B)+I435, M434+I435),"")</f>
        <v>9723862.681</v>
      </c>
    </row>
    <row r="436" ht="22.5" customHeight="1">
      <c r="A436" s="47">
        <v>50485.0</v>
      </c>
      <c r="B436" s="48" t="str">
        <f t="shared" si="1"/>
        <v>2038-03</v>
      </c>
      <c r="C436" s="49">
        <f>SUMIF(despesas_recorrentes!C:C, "&gt;="&amp;A436,despesas_recorrentes!B:B) 
+SUMIF(despesas_recorrentes!C:C, "",despesas_recorrentes!B:B)
-despesas_recorrentes!$B$12
+IF(SUMIF(gasto_cartao!E:E,saldo!B436,gasto_cartao!B:B)&gt;despesas_recorrentes!$B$12, SUMIF(gasto_cartao!E:E,saldo!B436,gasto_cartao!B:B),despesas_recorrentes!$B$12)</f>
        <v>34013</v>
      </c>
      <c r="D436" s="51">
        <f>SUM(receitas_recorrentes!B:B)+SUMIF(receitas_pontuais!E:E,B436,receitas_pontuais!B:B)</f>
        <v>56919</v>
      </c>
      <c r="E436" s="51">
        <f t="shared" si="2"/>
        <v>22906</v>
      </c>
      <c r="F436" s="53">
        <f>IFERROR(SUMIF(contas!G:G, B436, contas!B:B),0)</f>
        <v>0</v>
      </c>
      <c r="G436" s="51">
        <f>SUMIFS(previsoes!D:D, previsoes!E:E, "&lt;=" &amp; EOMONTH(DATEVALUE(B436&amp;"-01"),0), previsoes!F:F, "&gt;=" &amp; DATEVALUE(B436&amp;"-01"))</f>
        <v>0</v>
      </c>
      <c r="H436" s="52">
        <f t="shared" si="5"/>
        <v>160491.8958</v>
      </c>
      <c r="I436" s="49">
        <f t="shared" si="3"/>
        <v>22906</v>
      </c>
      <c r="J436" s="52">
        <f>IF(A436&lt;&gt;"",SUMIFS(metas!N:N, metas!E:E, "&gt;=" &amp; DATEVALUE(B436&amp;"-01"),metas!D:D, "&lt;=" &amp; DATEVALUE(B436&amp;"-01")),"")</f>
        <v>3182.813937</v>
      </c>
      <c r="K436" s="49">
        <f t="shared" si="4"/>
        <v>19723.18606</v>
      </c>
      <c r="L436" s="49">
        <f t="shared" si="6"/>
        <v>7943469.28</v>
      </c>
      <c r="M436" s="49">
        <f>IF(A436&lt;&gt;"",IF(COUNTIF(investimento!F:F, B436) &gt; 0, SUM(investimento!B:B)+I436, M435+I436),"")</f>
        <v>9746768.681</v>
      </c>
    </row>
    <row r="437" ht="22.5" customHeight="1">
      <c r="A437" s="47">
        <v>50486.0</v>
      </c>
      <c r="B437" s="48" t="str">
        <f t="shared" si="1"/>
        <v>2038-03</v>
      </c>
      <c r="C437" s="49">
        <f>SUMIF(despesas_recorrentes!C:C, "&gt;="&amp;A437,despesas_recorrentes!B:B) 
+SUMIF(despesas_recorrentes!C:C, "",despesas_recorrentes!B:B)
-despesas_recorrentes!$B$12
+IF(SUMIF(gasto_cartao!E:E,saldo!B437,gasto_cartao!B:B)&gt;despesas_recorrentes!$B$12, SUMIF(gasto_cartao!E:E,saldo!B437,gasto_cartao!B:B),despesas_recorrentes!$B$12)</f>
        <v>34013</v>
      </c>
      <c r="D437" s="51">
        <f>SUM(receitas_recorrentes!B:B)+SUMIF(receitas_pontuais!E:E,B437,receitas_pontuais!B:B)</f>
        <v>56919</v>
      </c>
      <c r="E437" s="51">
        <f t="shared" si="2"/>
        <v>22906</v>
      </c>
      <c r="F437" s="53">
        <f>IFERROR(SUMIF(contas!G:G, B437, contas!B:B),0)</f>
        <v>0</v>
      </c>
      <c r="G437" s="51">
        <f>SUMIFS(previsoes!D:D, previsoes!E:E, "&lt;=" &amp; EOMONTH(DATEVALUE(B437&amp;"-01"),0), previsoes!F:F, "&gt;=" &amp; DATEVALUE(B437&amp;"-01"))</f>
        <v>0</v>
      </c>
      <c r="H437" s="52">
        <f t="shared" si="5"/>
        <v>160491.8958</v>
      </c>
      <c r="I437" s="49">
        <f t="shared" si="3"/>
        <v>22906</v>
      </c>
      <c r="J437" s="52">
        <f>IF(A437&lt;&gt;"",SUMIFS(metas!N:N, metas!E:E, "&gt;=" &amp; DATEVALUE(B437&amp;"-01"),metas!D:D, "&lt;=" &amp; DATEVALUE(B437&amp;"-01")),"")</f>
        <v>3182.813937</v>
      </c>
      <c r="K437" s="49">
        <f t="shared" si="4"/>
        <v>19723.18606</v>
      </c>
      <c r="L437" s="49">
        <f t="shared" si="6"/>
        <v>7963192.466</v>
      </c>
      <c r="M437" s="49">
        <f>IF(A437&lt;&gt;"",IF(COUNTIF(investimento!F:F, B437) &gt; 0, SUM(investimento!B:B)+I437, M436+I437),"")</f>
        <v>9769674.681</v>
      </c>
    </row>
    <row r="438" ht="22.5" customHeight="1">
      <c r="A438" s="47">
        <v>50487.0</v>
      </c>
      <c r="B438" s="48" t="str">
        <f t="shared" si="1"/>
        <v>2038-03</v>
      </c>
      <c r="C438" s="49">
        <f>SUMIF(despesas_recorrentes!C:C, "&gt;="&amp;A438,despesas_recorrentes!B:B) 
+SUMIF(despesas_recorrentes!C:C, "",despesas_recorrentes!B:B)
-despesas_recorrentes!$B$12
+IF(SUMIF(gasto_cartao!E:E,saldo!B438,gasto_cartao!B:B)&gt;despesas_recorrentes!$B$12, SUMIF(gasto_cartao!E:E,saldo!B438,gasto_cartao!B:B),despesas_recorrentes!$B$12)</f>
        <v>34013</v>
      </c>
      <c r="D438" s="51">
        <f>SUM(receitas_recorrentes!B:B)+SUMIF(receitas_pontuais!E:E,B438,receitas_pontuais!B:B)</f>
        <v>56919</v>
      </c>
      <c r="E438" s="51">
        <f t="shared" si="2"/>
        <v>22906</v>
      </c>
      <c r="F438" s="53">
        <f>IFERROR(SUMIF(contas!G:G, B438, contas!B:B),0)</f>
        <v>0</v>
      </c>
      <c r="G438" s="51">
        <f>SUMIFS(previsoes!D:D, previsoes!E:E, "&lt;=" &amp; EOMONTH(DATEVALUE(B438&amp;"-01"),0), previsoes!F:F, "&gt;=" &amp; DATEVALUE(B438&amp;"-01"))</f>
        <v>0</v>
      </c>
      <c r="H438" s="52">
        <f t="shared" si="5"/>
        <v>160491.8958</v>
      </c>
      <c r="I438" s="49">
        <f t="shared" si="3"/>
        <v>22906</v>
      </c>
      <c r="J438" s="52">
        <f>IF(A438&lt;&gt;"",SUMIFS(metas!N:N, metas!E:E, "&gt;=" &amp; DATEVALUE(B438&amp;"-01"),metas!D:D, "&lt;=" &amp; DATEVALUE(B438&amp;"-01")),"")</f>
        <v>3182.813937</v>
      </c>
      <c r="K438" s="49">
        <f t="shared" si="4"/>
        <v>19723.18606</v>
      </c>
      <c r="L438" s="49">
        <f t="shared" si="6"/>
        <v>7982915.652</v>
      </c>
      <c r="M438" s="49">
        <f>IF(A438&lt;&gt;"",IF(COUNTIF(investimento!F:F, B438) &gt; 0, SUM(investimento!B:B)+I438, M437+I438),"")</f>
        <v>9792580.681</v>
      </c>
    </row>
    <row r="439" ht="22.5" customHeight="1">
      <c r="A439" s="47">
        <v>50488.0</v>
      </c>
      <c r="B439" s="48" t="str">
        <f t="shared" si="1"/>
        <v>2038-03</v>
      </c>
      <c r="C439" s="49">
        <f>SUMIF(despesas_recorrentes!C:C, "&gt;="&amp;A439,despesas_recorrentes!B:B) 
+SUMIF(despesas_recorrentes!C:C, "",despesas_recorrentes!B:B)
-despesas_recorrentes!$B$12
+IF(SUMIF(gasto_cartao!E:E,saldo!B439,gasto_cartao!B:B)&gt;despesas_recorrentes!$B$12, SUMIF(gasto_cartao!E:E,saldo!B439,gasto_cartao!B:B),despesas_recorrentes!$B$12)</f>
        <v>34013</v>
      </c>
      <c r="D439" s="51">
        <f>SUM(receitas_recorrentes!B:B)+SUMIF(receitas_pontuais!E:E,B439,receitas_pontuais!B:B)</f>
        <v>56919</v>
      </c>
      <c r="E439" s="51">
        <f t="shared" si="2"/>
        <v>22906</v>
      </c>
      <c r="F439" s="53">
        <f>IFERROR(SUMIF(contas!G:G, B439, contas!B:B),0)</f>
        <v>0</v>
      </c>
      <c r="G439" s="51">
        <f>SUMIFS(previsoes!D:D, previsoes!E:E, "&lt;=" &amp; EOMONTH(DATEVALUE(B439&amp;"-01"),0), previsoes!F:F, "&gt;=" &amp; DATEVALUE(B439&amp;"-01"))</f>
        <v>0</v>
      </c>
      <c r="H439" s="52">
        <f t="shared" si="5"/>
        <v>160491.8958</v>
      </c>
      <c r="I439" s="49">
        <f t="shared" si="3"/>
        <v>22906</v>
      </c>
      <c r="J439" s="52">
        <f>IF(A439&lt;&gt;"",SUMIFS(metas!N:N, metas!E:E, "&gt;=" &amp; DATEVALUE(B439&amp;"-01"),metas!D:D, "&lt;=" &amp; DATEVALUE(B439&amp;"-01")),"")</f>
        <v>3182.813937</v>
      </c>
      <c r="K439" s="49">
        <f t="shared" si="4"/>
        <v>19723.18606</v>
      </c>
      <c r="L439" s="49">
        <f t="shared" si="6"/>
        <v>8002638.838</v>
      </c>
      <c r="M439" s="49">
        <f>IF(A439&lt;&gt;"",IF(COUNTIF(investimento!F:F, B439) &gt; 0, SUM(investimento!B:B)+I439, M438+I439),"")</f>
        <v>9815486.681</v>
      </c>
    </row>
    <row r="440" ht="22.5" customHeight="1">
      <c r="A440" s="47">
        <v>50489.0</v>
      </c>
      <c r="B440" s="48" t="str">
        <f t="shared" si="1"/>
        <v>2038-03</v>
      </c>
      <c r="C440" s="49">
        <f>SUMIF(despesas_recorrentes!C:C, "&gt;="&amp;A440,despesas_recorrentes!B:B) 
+SUMIF(despesas_recorrentes!C:C, "",despesas_recorrentes!B:B)
-despesas_recorrentes!$B$12
+IF(SUMIF(gasto_cartao!E:E,saldo!B440,gasto_cartao!B:B)&gt;despesas_recorrentes!$B$12, SUMIF(gasto_cartao!E:E,saldo!B440,gasto_cartao!B:B),despesas_recorrentes!$B$12)</f>
        <v>34013</v>
      </c>
      <c r="D440" s="51">
        <f>SUM(receitas_recorrentes!B:B)+SUMIF(receitas_pontuais!E:E,B440,receitas_pontuais!B:B)</f>
        <v>56919</v>
      </c>
      <c r="E440" s="51">
        <f t="shared" si="2"/>
        <v>22906</v>
      </c>
      <c r="F440" s="53">
        <f>IFERROR(SUMIF(contas!G:G, B440, contas!B:B),0)</f>
        <v>0</v>
      </c>
      <c r="G440" s="51">
        <f>SUMIFS(previsoes!D:D, previsoes!E:E, "&lt;=" &amp; EOMONTH(DATEVALUE(B440&amp;"-01"),0), previsoes!F:F, "&gt;=" &amp; DATEVALUE(B440&amp;"-01"))</f>
        <v>0</v>
      </c>
      <c r="H440" s="52">
        <f t="shared" si="5"/>
        <v>160491.8958</v>
      </c>
      <c r="I440" s="49">
        <f t="shared" si="3"/>
        <v>22906</v>
      </c>
      <c r="J440" s="52">
        <f>IF(A440&lt;&gt;"",SUMIFS(metas!N:N, metas!E:E, "&gt;=" &amp; DATEVALUE(B440&amp;"-01"),metas!D:D, "&lt;=" &amp; DATEVALUE(B440&amp;"-01")),"")</f>
        <v>3182.813937</v>
      </c>
      <c r="K440" s="49">
        <f t="shared" si="4"/>
        <v>19723.18606</v>
      </c>
      <c r="L440" s="49">
        <f t="shared" si="6"/>
        <v>8022362.024</v>
      </c>
      <c r="M440" s="49">
        <f>IF(A440&lt;&gt;"",IF(COUNTIF(investimento!F:F, B440) &gt; 0, SUM(investimento!B:B)+I440, M439+I440),"")</f>
        <v>9838392.681</v>
      </c>
    </row>
    <row r="441" ht="22.5" customHeight="1">
      <c r="A441" s="47">
        <v>50490.0</v>
      </c>
      <c r="B441" s="48" t="str">
        <f t="shared" si="1"/>
        <v>2038-03</v>
      </c>
      <c r="C441" s="49">
        <f>SUMIF(despesas_recorrentes!C:C, "&gt;="&amp;A441,despesas_recorrentes!B:B) 
+SUMIF(despesas_recorrentes!C:C, "",despesas_recorrentes!B:B)
-despesas_recorrentes!$B$12
+IF(SUMIF(gasto_cartao!E:E,saldo!B441,gasto_cartao!B:B)&gt;despesas_recorrentes!$B$12, SUMIF(gasto_cartao!E:E,saldo!B441,gasto_cartao!B:B),despesas_recorrentes!$B$12)</f>
        <v>34013</v>
      </c>
      <c r="D441" s="51">
        <f>SUM(receitas_recorrentes!B:B)+SUMIF(receitas_pontuais!E:E,B441,receitas_pontuais!B:B)</f>
        <v>56919</v>
      </c>
      <c r="E441" s="51">
        <f t="shared" si="2"/>
        <v>22906</v>
      </c>
      <c r="F441" s="53">
        <f>IFERROR(SUMIF(contas!G:G, B441, contas!B:B),0)</f>
        <v>0</v>
      </c>
      <c r="G441" s="51">
        <f>SUMIFS(previsoes!D:D, previsoes!E:E, "&lt;=" &amp; EOMONTH(DATEVALUE(B441&amp;"-01"),0), previsoes!F:F, "&gt;=" &amp; DATEVALUE(B441&amp;"-01"))</f>
        <v>0</v>
      </c>
      <c r="H441" s="52">
        <f t="shared" si="5"/>
        <v>160491.8958</v>
      </c>
      <c r="I441" s="49">
        <f t="shared" si="3"/>
        <v>22906</v>
      </c>
      <c r="J441" s="52">
        <f>IF(A441&lt;&gt;"",SUMIFS(metas!N:N, metas!E:E, "&gt;=" &amp; DATEVALUE(B441&amp;"-01"),metas!D:D, "&lt;=" &amp; DATEVALUE(B441&amp;"-01")),"")</f>
        <v>3182.813937</v>
      </c>
      <c r="K441" s="49">
        <f t="shared" si="4"/>
        <v>19723.18606</v>
      </c>
      <c r="L441" s="49">
        <f t="shared" si="6"/>
        <v>8042085.21</v>
      </c>
      <c r="M441" s="49">
        <f>IF(A441&lt;&gt;"",IF(COUNTIF(investimento!F:F, B441) &gt; 0, SUM(investimento!B:B)+I441, M440+I441),"")</f>
        <v>9861298.681</v>
      </c>
    </row>
    <row r="442" ht="22.5" customHeight="1">
      <c r="A442" s="47">
        <v>50491.0</v>
      </c>
      <c r="B442" s="48" t="str">
        <f t="shared" si="1"/>
        <v>2038-03</v>
      </c>
      <c r="C442" s="49">
        <f>SUMIF(despesas_recorrentes!C:C, "&gt;="&amp;A442,despesas_recorrentes!B:B) 
+SUMIF(despesas_recorrentes!C:C, "",despesas_recorrentes!B:B)
-despesas_recorrentes!$B$12
+IF(SUMIF(gasto_cartao!E:E,saldo!B442,gasto_cartao!B:B)&gt;despesas_recorrentes!$B$12, SUMIF(gasto_cartao!E:E,saldo!B442,gasto_cartao!B:B),despesas_recorrentes!$B$12)</f>
        <v>34013</v>
      </c>
      <c r="D442" s="51">
        <f>SUM(receitas_recorrentes!B:B)+SUMIF(receitas_pontuais!E:E,B442,receitas_pontuais!B:B)</f>
        <v>56919</v>
      </c>
      <c r="E442" s="51">
        <f t="shared" si="2"/>
        <v>22906</v>
      </c>
      <c r="F442" s="53">
        <f>IFERROR(SUMIF(contas!G:G, B442, contas!B:B),0)</f>
        <v>0</v>
      </c>
      <c r="G442" s="51">
        <f>SUMIFS(previsoes!D:D, previsoes!E:E, "&lt;=" &amp; EOMONTH(DATEVALUE(B442&amp;"-01"),0), previsoes!F:F, "&gt;=" &amp; DATEVALUE(B442&amp;"-01"))</f>
        <v>0</v>
      </c>
      <c r="H442" s="52">
        <f t="shared" si="5"/>
        <v>160491.8958</v>
      </c>
      <c r="I442" s="49">
        <f t="shared" si="3"/>
        <v>22906</v>
      </c>
      <c r="J442" s="52">
        <f>IF(A442&lt;&gt;"",SUMIFS(metas!N:N, metas!E:E, "&gt;=" &amp; DATEVALUE(B442&amp;"-01"),metas!D:D, "&lt;=" &amp; DATEVALUE(B442&amp;"-01")),"")</f>
        <v>3182.813937</v>
      </c>
      <c r="K442" s="49">
        <f t="shared" si="4"/>
        <v>19723.18606</v>
      </c>
      <c r="L442" s="49">
        <f t="shared" si="6"/>
        <v>8061808.396</v>
      </c>
      <c r="M442" s="49">
        <f>IF(A442&lt;&gt;"",IF(COUNTIF(investimento!F:F, B442) &gt; 0, SUM(investimento!B:B)+I442, M441+I442),"")</f>
        <v>9884204.681</v>
      </c>
    </row>
    <row r="443" ht="22.5" customHeight="1">
      <c r="A443" s="47">
        <v>50492.0</v>
      </c>
      <c r="B443" s="48" t="str">
        <f t="shared" si="1"/>
        <v>2038-03</v>
      </c>
      <c r="C443" s="49">
        <f>SUMIF(despesas_recorrentes!C:C, "&gt;="&amp;A443,despesas_recorrentes!B:B) 
+SUMIF(despesas_recorrentes!C:C, "",despesas_recorrentes!B:B)
-despesas_recorrentes!$B$12
+IF(SUMIF(gasto_cartao!E:E,saldo!B443,gasto_cartao!B:B)&gt;despesas_recorrentes!$B$12, SUMIF(gasto_cartao!E:E,saldo!B443,gasto_cartao!B:B),despesas_recorrentes!$B$12)</f>
        <v>34013</v>
      </c>
      <c r="D443" s="51">
        <f>SUM(receitas_recorrentes!B:B)+SUMIF(receitas_pontuais!E:E,B443,receitas_pontuais!B:B)</f>
        <v>56919</v>
      </c>
      <c r="E443" s="51">
        <f t="shared" si="2"/>
        <v>22906</v>
      </c>
      <c r="F443" s="53">
        <f>IFERROR(SUMIF(contas!G:G, B443, contas!B:B),0)</f>
        <v>0</v>
      </c>
      <c r="G443" s="51">
        <f>SUMIFS(previsoes!D:D, previsoes!E:E, "&lt;=" &amp; EOMONTH(DATEVALUE(B443&amp;"-01"),0), previsoes!F:F, "&gt;=" &amp; DATEVALUE(B443&amp;"-01"))</f>
        <v>0</v>
      </c>
      <c r="H443" s="52">
        <f t="shared" si="5"/>
        <v>160491.8958</v>
      </c>
      <c r="I443" s="49">
        <f t="shared" si="3"/>
        <v>22906</v>
      </c>
      <c r="J443" s="52">
        <f>IF(A443&lt;&gt;"",SUMIFS(metas!N:N, metas!E:E, "&gt;=" &amp; DATEVALUE(B443&amp;"-01"),metas!D:D, "&lt;=" &amp; DATEVALUE(B443&amp;"-01")),"")</f>
        <v>3182.813937</v>
      </c>
      <c r="K443" s="49">
        <f t="shared" si="4"/>
        <v>19723.18606</v>
      </c>
      <c r="L443" s="49">
        <f t="shared" si="6"/>
        <v>8081531.582</v>
      </c>
      <c r="M443" s="49">
        <f>IF(A443&lt;&gt;"",IF(COUNTIF(investimento!F:F, B443) &gt; 0, SUM(investimento!B:B)+I443, M442+I443),"")</f>
        <v>9907110.681</v>
      </c>
    </row>
    <row r="444" ht="22.5" customHeight="1">
      <c r="A444" s="47">
        <v>50493.0</v>
      </c>
      <c r="B444" s="48" t="str">
        <f t="shared" si="1"/>
        <v>2038-03</v>
      </c>
      <c r="C444" s="49">
        <f>SUMIF(despesas_recorrentes!C:C, "&gt;="&amp;A444,despesas_recorrentes!B:B) 
+SUMIF(despesas_recorrentes!C:C, "",despesas_recorrentes!B:B)
-despesas_recorrentes!$B$12
+IF(SUMIF(gasto_cartao!E:E,saldo!B444,gasto_cartao!B:B)&gt;despesas_recorrentes!$B$12, SUMIF(gasto_cartao!E:E,saldo!B444,gasto_cartao!B:B),despesas_recorrentes!$B$12)</f>
        <v>34013</v>
      </c>
      <c r="D444" s="51">
        <f>SUM(receitas_recorrentes!B:B)+SUMIF(receitas_pontuais!E:E,B444,receitas_pontuais!B:B)</f>
        <v>56919</v>
      </c>
      <c r="E444" s="51">
        <f t="shared" si="2"/>
        <v>22906</v>
      </c>
      <c r="F444" s="53">
        <f>IFERROR(SUMIF(contas!G:G, B444, contas!B:B),0)</f>
        <v>0</v>
      </c>
      <c r="G444" s="51">
        <f>SUMIFS(previsoes!D:D, previsoes!E:E, "&lt;=" &amp; EOMONTH(DATEVALUE(B444&amp;"-01"),0), previsoes!F:F, "&gt;=" &amp; DATEVALUE(B444&amp;"-01"))</f>
        <v>0</v>
      </c>
      <c r="H444" s="52">
        <f t="shared" si="5"/>
        <v>160491.8958</v>
      </c>
      <c r="I444" s="49">
        <f t="shared" si="3"/>
        <v>22906</v>
      </c>
      <c r="J444" s="52">
        <f>IF(A444&lt;&gt;"",SUMIFS(metas!N:N, metas!E:E, "&gt;=" &amp; DATEVALUE(B444&amp;"-01"),metas!D:D, "&lt;=" &amp; DATEVALUE(B444&amp;"-01")),"")</f>
        <v>3182.813937</v>
      </c>
      <c r="K444" s="49">
        <f t="shared" si="4"/>
        <v>19723.18606</v>
      </c>
      <c r="L444" s="49">
        <f t="shared" si="6"/>
        <v>8101254.768</v>
      </c>
      <c r="M444" s="49">
        <f>IF(A444&lt;&gt;"",IF(COUNTIF(investimento!F:F, B444) &gt; 0, SUM(investimento!B:B)+I444, M443+I444),"")</f>
        <v>9930016.681</v>
      </c>
    </row>
    <row r="445" ht="22.5" customHeight="1">
      <c r="A445" s="47">
        <v>50494.0</v>
      </c>
      <c r="B445" s="48" t="str">
        <f t="shared" si="1"/>
        <v>2038-03</v>
      </c>
      <c r="C445" s="49">
        <f>SUMIF(despesas_recorrentes!C:C, "&gt;="&amp;A445,despesas_recorrentes!B:B) 
+SUMIF(despesas_recorrentes!C:C, "",despesas_recorrentes!B:B)
-despesas_recorrentes!$B$12
+IF(SUMIF(gasto_cartao!E:E,saldo!B445,gasto_cartao!B:B)&gt;despesas_recorrentes!$B$12, SUMIF(gasto_cartao!E:E,saldo!B445,gasto_cartao!B:B),despesas_recorrentes!$B$12)</f>
        <v>34013</v>
      </c>
      <c r="D445" s="51">
        <f>SUM(receitas_recorrentes!B:B)+SUMIF(receitas_pontuais!E:E,B445,receitas_pontuais!B:B)</f>
        <v>56919</v>
      </c>
      <c r="E445" s="51">
        <f t="shared" si="2"/>
        <v>22906</v>
      </c>
      <c r="F445" s="53">
        <f>IFERROR(SUMIF(contas!G:G, B445, contas!B:B),0)</f>
        <v>0</v>
      </c>
      <c r="G445" s="51">
        <f>SUMIFS(previsoes!D:D, previsoes!E:E, "&lt;=" &amp; EOMONTH(DATEVALUE(B445&amp;"-01"),0), previsoes!F:F, "&gt;=" &amp; DATEVALUE(B445&amp;"-01"))</f>
        <v>0</v>
      </c>
      <c r="H445" s="52">
        <f t="shared" si="5"/>
        <v>160491.8958</v>
      </c>
      <c r="I445" s="49">
        <f t="shared" si="3"/>
        <v>22906</v>
      </c>
      <c r="J445" s="52">
        <f>IF(A445&lt;&gt;"",SUMIFS(metas!N:N, metas!E:E, "&gt;=" &amp; DATEVALUE(B445&amp;"-01"),metas!D:D, "&lt;=" &amp; DATEVALUE(B445&amp;"-01")),"")</f>
        <v>3182.813937</v>
      </c>
      <c r="K445" s="49">
        <f t="shared" si="4"/>
        <v>19723.18606</v>
      </c>
      <c r="L445" s="49">
        <f t="shared" si="6"/>
        <v>8120977.955</v>
      </c>
      <c r="M445" s="49">
        <f>IF(A445&lt;&gt;"",IF(COUNTIF(investimento!F:F, B445) &gt; 0, SUM(investimento!B:B)+I445, M444+I445),"")</f>
        <v>9952922.681</v>
      </c>
    </row>
    <row r="446" ht="22.5" customHeight="1">
      <c r="A446" s="47">
        <v>50495.0</v>
      </c>
      <c r="B446" s="48" t="str">
        <f t="shared" si="1"/>
        <v>2038-03</v>
      </c>
      <c r="C446" s="49">
        <f>SUMIF(despesas_recorrentes!C:C, "&gt;="&amp;A446,despesas_recorrentes!B:B) 
+SUMIF(despesas_recorrentes!C:C, "",despesas_recorrentes!B:B)
-despesas_recorrentes!$B$12
+IF(SUMIF(gasto_cartao!E:E,saldo!B446,gasto_cartao!B:B)&gt;despesas_recorrentes!$B$12, SUMIF(gasto_cartao!E:E,saldo!B446,gasto_cartao!B:B),despesas_recorrentes!$B$12)</f>
        <v>34013</v>
      </c>
      <c r="D446" s="51">
        <f>SUM(receitas_recorrentes!B:B)+SUMIF(receitas_pontuais!E:E,B446,receitas_pontuais!B:B)</f>
        <v>56919</v>
      </c>
      <c r="E446" s="51">
        <f t="shared" si="2"/>
        <v>22906</v>
      </c>
      <c r="F446" s="53">
        <f>IFERROR(SUMIF(contas!G:G, B446, contas!B:B),0)</f>
        <v>0</v>
      </c>
      <c r="G446" s="51">
        <f>SUMIFS(previsoes!D:D, previsoes!E:E, "&lt;=" &amp; EOMONTH(DATEVALUE(B446&amp;"-01"),0), previsoes!F:F, "&gt;=" &amp; DATEVALUE(B446&amp;"-01"))</f>
        <v>0</v>
      </c>
      <c r="H446" s="52">
        <f t="shared" si="5"/>
        <v>160491.8958</v>
      </c>
      <c r="I446" s="49">
        <f t="shared" si="3"/>
        <v>22906</v>
      </c>
      <c r="J446" s="52">
        <f>IF(A446&lt;&gt;"",SUMIFS(metas!N:N, metas!E:E, "&gt;=" &amp; DATEVALUE(B446&amp;"-01"),metas!D:D, "&lt;=" &amp; DATEVALUE(B446&amp;"-01")),"")</f>
        <v>3182.813937</v>
      </c>
      <c r="K446" s="49">
        <f t="shared" si="4"/>
        <v>19723.18606</v>
      </c>
      <c r="L446" s="49">
        <f t="shared" si="6"/>
        <v>8140701.141</v>
      </c>
      <c r="M446" s="49">
        <f>IF(A446&lt;&gt;"",IF(COUNTIF(investimento!F:F, B446) &gt; 0, SUM(investimento!B:B)+I446, M445+I446),"")</f>
        <v>9975828.681</v>
      </c>
    </row>
    <row r="447" ht="22.5" customHeight="1">
      <c r="A447" s="47">
        <v>50496.0</v>
      </c>
      <c r="B447" s="48" t="str">
        <f t="shared" si="1"/>
        <v>2038-04</v>
      </c>
      <c r="C447" s="49">
        <f>SUMIF(despesas_recorrentes!C:C, "&gt;="&amp;A447,despesas_recorrentes!B:B) 
+SUMIF(despesas_recorrentes!C:C, "",despesas_recorrentes!B:B)
-despesas_recorrentes!$B$12
+IF(SUMIF(gasto_cartao!E:E,saldo!B447,gasto_cartao!B:B)&gt;despesas_recorrentes!$B$12, SUMIF(gasto_cartao!E:E,saldo!B447,gasto_cartao!B:B),despesas_recorrentes!$B$12)</f>
        <v>34013</v>
      </c>
      <c r="D447" s="51">
        <f>SUM(receitas_recorrentes!B:B)+SUMIF(receitas_pontuais!E:E,B447,receitas_pontuais!B:B)</f>
        <v>56919</v>
      </c>
      <c r="E447" s="51">
        <f t="shared" si="2"/>
        <v>22906</v>
      </c>
      <c r="F447" s="53">
        <f>IFERROR(SUMIF(contas!G:G, B447, contas!B:B),0)</f>
        <v>0</v>
      </c>
      <c r="G447" s="51">
        <f>SUMIFS(previsoes!D:D, previsoes!E:E, "&lt;=" &amp; EOMONTH(DATEVALUE(B447&amp;"-01"),0), previsoes!F:F, "&gt;=" &amp; DATEVALUE(B447&amp;"-01"))</f>
        <v>0</v>
      </c>
      <c r="H447" s="52">
        <f t="shared" si="5"/>
        <v>160491.8958</v>
      </c>
      <c r="I447" s="49">
        <f t="shared" si="3"/>
        <v>22906</v>
      </c>
      <c r="J447" s="52">
        <f>IF(A447&lt;&gt;"",SUMIFS(metas!N:N, metas!E:E, "&gt;=" &amp; DATEVALUE(B447&amp;"-01"),metas!D:D, "&lt;=" &amp; DATEVALUE(B447&amp;"-01")),"")</f>
        <v>3182.813937</v>
      </c>
      <c r="K447" s="49">
        <f t="shared" si="4"/>
        <v>19723.18606</v>
      </c>
      <c r="L447" s="49">
        <f t="shared" si="6"/>
        <v>8160424.327</v>
      </c>
      <c r="M447" s="49">
        <f>IF(A447&lt;&gt;"",IF(COUNTIF(investimento!F:F, B447) &gt; 0, SUM(investimento!B:B)+I447, M446+I447),"")</f>
        <v>9998734.681</v>
      </c>
    </row>
    <row r="448" ht="22.5" customHeight="1">
      <c r="A448" s="47">
        <v>50497.0</v>
      </c>
      <c r="B448" s="48" t="str">
        <f t="shared" si="1"/>
        <v>2038-04</v>
      </c>
      <c r="C448" s="49">
        <f>SUMIF(despesas_recorrentes!C:C, "&gt;="&amp;A448,despesas_recorrentes!B:B) 
+SUMIF(despesas_recorrentes!C:C, "",despesas_recorrentes!B:B)
-despesas_recorrentes!$B$12
+IF(SUMIF(gasto_cartao!E:E,saldo!B448,gasto_cartao!B:B)&gt;despesas_recorrentes!$B$12, SUMIF(gasto_cartao!E:E,saldo!B448,gasto_cartao!B:B),despesas_recorrentes!$B$12)</f>
        <v>34013</v>
      </c>
      <c r="D448" s="51">
        <f>SUM(receitas_recorrentes!B:B)+SUMIF(receitas_pontuais!E:E,B448,receitas_pontuais!B:B)</f>
        <v>56919</v>
      </c>
      <c r="E448" s="51">
        <f t="shared" si="2"/>
        <v>22906</v>
      </c>
      <c r="F448" s="53">
        <f>IFERROR(SUMIF(contas!G:G, B448, contas!B:B),0)</f>
        <v>0</v>
      </c>
      <c r="G448" s="51">
        <f>SUMIFS(previsoes!D:D, previsoes!E:E, "&lt;=" &amp; EOMONTH(DATEVALUE(B448&amp;"-01"),0), previsoes!F:F, "&gt;=" &amp; DATEVALUE(B448&amp;"-01"))</f>
        <v>0</v>
      </c>
      <c r="H448" s="52">
        <f t="shared" si="5"/>
        <v>160491.8958</v>
      </c>
      <c r="I448" s="49">
        <f t="shared" si="3"/>
        <v>22906</v>
      </c>
      <c r="J448" s="52">
        <f>IF(A448&lt;&gt;"",SUMIFS(metas!N:N, metas!E:E, "&gt;=" &amp; DATEVALUE(B448&amp;"-01"),metas!D:D, "&lt;=" &amp; DATEVALUE(B448&amp;"-01")),"")</f>
        <v>3182.813937</v>
      </c>
      <c r="K448" s="49">
        <f t="shared" si="4"/>
        <v>19723.18606</v>
      </c>
      <c r="L448" s="49">
        <f t="shared" si="6"/>
        <v>8180147.513</v>
      </c>
      <c r="M448" s="49">
        <f>IF(A448&lt;&gt;"",IF(COUNTIF(investimento!F:F, B448) &gt; 0, SUM(investimento!B:B)+I448, M447+I448),"")</f>
        <v>10021640.68</v>
      </c>
    </row>
    <row r="449" ht="22.5" customHeight="1">
      <c r="A449" s="47">
        <v>50498.0</v>
      </c>
      <c r="B449" s="48" t="str">
        <f t="shared" si="1"/>
        <v>2038-04</v>
      </c>
      <c r="C449" s="49">
        <f>SUMIF(despesas_recorrentes!C:C, "&gt;="&amp;A449,despesas_recorrentes!B:B) 
+SUMIF(despesas_recorrentes!C:C, "",despesas_recorrentes!B:B)
-despesas_recorrentes!$B$12
+IF(SUMIF(gasto_cartao!E:E,saldo!B449,gasto_cartao!B:B)&gt;despesas_recorrentes!$B$12, SUMIF(gasto_cartao!E:E,saldo!B449,gasto_cartao!B:B),despesas_recorrentes!$B$12)</f>
        <v>34013</v>
      </c>
      <c r="D449" s="51">
        <f>SUM(receitas_recorrentes!B:B)+SUMIF(receitas_pontuais!E:E,B449,receitas_pontuais!B:B)</f>
        <v>56919</v>
      </c>
      <c r="E449" s="51">
        <f t="shared" si="2"/>
        <v>22906</v>
      </c>
      <c r="F449" s="53">
        <f>IFERROR(SUMIF(contas!G:G, B449, contas!B:B),0)</f>
        <v>0</v>
      </c>
      <c r="G449" s="51">
        <f>SUMIFS(previsoes!D:D, previsoes!E:E, "&lt;=" &amp; EOMONTH(DATEVALUE(B449&amp;"-01"),0), previsoes!F:F, "&gt;=" &amp; DATEVALUE(B449&amp;"-01"))</f>
        <v>0</v>
      </c>
      <c r="H449" s="52">
        <f t="shared" si="5"/>
        <v>160491.8958</v>
      </c>
      <c r="I449" s="49">
        <f t="shared" si="3"/>
        <v>22906</v>
      </c>
      <c r="J449" s="52">
        <f>IF(A449&lt;&gt;"",SUMIFS(metas!N:N, metas!E:E, "&gt;=" &amp; DATEVALUE(B449&amp;"-01"),metas!D:D, "&lt;=" &amp; DATEVALUE(B449&amp;"-01")),"")</f>
        <v>3182.813937</v>
      </c>
      <c r="K449" s="49">
        <f t="shared" si="4"/>
        <v>19723.18606</v>
      </c>
      <c r="L449" s="49">
        <f t="shared" si="6"/>
        <v>8199870.699</v>
      </c>
      <c r="M449" s="49">
        <f>IF(A449&lt;&gt;"",IF(COUNTIF(investimento!F:F, B449) &gt; 0, SUM(investimento!B:B)+I449, M448+I449),"")</f>
        <v>10044546.68</v>
      </c>
    </row>
    <row r="450" ht="22.5" customHeight="1">
      <c r="A450" s="47">
        <v>50499.0</v>
      </c>
      <c r="B450" s="48" t="str">
        <f t="shared" si="1"/>
        <v>2038-04</v>
      </c>
      <c r="C450" s="49">
        <f>SUMIF(despesas_recorrentes!C:C, "&gt;="&amp;A450,despesas_recorrentes!B:B) 
+SUMIF(despesas_recorrentes!C:C, "",despesas_recorrentes!B:B)
-despesas_recorrentes!$B$12
+IF(SUMIF(gasto_cartao!E:E,saldo!B450,gasto_cartao!B:B)&gt;despesas_recorrentes!$B$12, SUMIF(gasto_cartao!E:E,saldo!B450,gasto_cartao!B:B),despesas_recorrentes!$B$12)</f>
        <v>34013</v>
      </c>
      <c r="D450" s="51">
        <f>SUM(receitas_recorrentes!B:B)+SUMIF(receitas_pontuais!E:E,B450,receitas_pontuais!B:B)</f>
        <v>56919</v>
      </c>
      <c r="E450" s="51">
        <f t="shared" si="2"/>
        <v>22906</v>
      </c>
      <c r="F450" s="53">
        <f>IFERROR(SUMIF(contas!G:G, B450, contas!B:B),0)</f>
        <v>0</v>
      </c>
      <c r="G450" s="51">
        <f>SUMIFS(previsoes!D:D, previsoes!E:E, "&lt;=" &amp; EOMONTH(DATEVALUE(B450&amp;"-01"),0), previsoes!F:F, "&gt;=" &amp; DATEVALUE(B450&amp;"-01"))</f>
        <v>0</v>
      </c>
      <c r="H450" s="52">
        <f t="shared" si="5"/>
        <v>160491.8958</v>
      </c>
      <c r="I450" s="49">
        <f t="shared" si="3"/>
        <v>22906</v>
      </c>
      <c r="J450" s="52">
        <f>IF(A450&lt;&gt;"",SUMIFS(metas!N:N, metas!E:E, "&gt;=" &amp; DATEVALUE(B450&amp;"-01"),metas!D:D, "&lt;=" &amp; DATEVALUE(B450&amp;"-01")),"")</f>
        <v>3182.813937</v>
      </c>
      <c r="K450" s="49">
        <f t="shared" si="4"/>
        <v>19723.18606</v>
      </c>
      <c r="L450" s="49">
        <f t="shared" si="6"/>
        <v>8219593.885</v>
      </c>
      <c r="M450" s="49">
        <f>IF(A450&lt;&gt;"",IF(COUNTIF(investimento!F:F, B450) &gt; 0, SUM(investimento!B:B)+I450, M449+I450),"")</f>
        <v>10067452.68</v>
      </c>
    </row>
    <row r="451" ht="22.5" customHeight="1">
      <c r="A451" s="47">
        <v>50500.0</v>
      </c>
      <c r="B451" s="48" t="str">
        <f t="shared" si="1"/>
        <v>2038-04</v>
      </c>
      <c r="C451" s="49">
        <f>SUMIF(despesas_recorrentes!C:C, "&gt;="&amp;A451,despesas_recorrentes!B:B) 
+SUMIF(despesas_recorrentes!C:C, "",despesas_recorrentes!B:B)
-despesas_recorrentes!$B$12
+IF(SUMIF(gasto_cartao!E:E,saldo!B451,gasto_cartao!B:B)&gt;despesas_recorrentes!$B$12, SUMIF(gasto_cartao!E:E,saldo!B451,gasto_cartao!B:B),despesas_recorrentes!$B$12)</f>
        <v>34013</v>
      </c>
      <c r="D451" s="51">
        <f>SUM(receitas_recorrentes!B:B)+SUMIF(receitas_pontuais!E:E,B451,receitas_pontuais!B:B)</f>
        <v>56919</v>
      </c>
      <c r="E451" s="51">
        <f t="shared" si="2"/>
        <v>22906</v>
      </c>
      <c r="F451" s="53">
        <f>IFERROR(SUMIF(contas!G:G, B451, contas!B:B),0)</f>
        <v>0</v>
      </c>
      <c r="G451" s="51">
        <f>SUMIFS(previsoes!D:D, previsoes!E:E, "&lt;=" &amp; EOMONTH(DATEVALUE(B451&amp;"-01"),0), previsoes!F:F, "&gt;=" &amp; DATEVALUE(B451&amp;"-01"))</f>
        <v>0</v>
      </c>
      <c r="H451" s="52">
        <f t="shared" si="5"/>
        <v>160491.8958</v>
      </c>
      <c r="I451" s="49">
        <f t="shared" si="3"/>
        <v>22906</v>
      </c>
      <c r="J451" s="52">
        <f>IF(A451&lt;&gt;"",SUMIFS(metas!N:N, metas!E:E, "&gt;=" &amp; DATEVALUE(B451&amp;"-01"),metas!D:D, "&lt;=" &amp; DATEVALUE(B451&amp;"-01")),"")</f>
        <v>3182.813937</v>
      </c>
      <c r="K451" s="49">
        <f t="shared" si="4"/>
        <v>19723.18606</v>
      </c>
      <c r="L451" s="49">
        <f t="shared" si="6"/>
        <v>8239317.071</v>
      </c>
      <c r="M451" s="49">
        <f>IF(A451&lt;&gt;"",IF(COUNTIF(investimento!F:F, B451) &gt; 0, SUM(investimento!B:B)+I451, M450+I451),"")</f>
        <v>10090358.68</v>
      </c>
    </row>
    <row r="452" ht="22.5" customHeight="1">
      <c r="A452" s="47">
        <v>50501.0</v>
      </c>
      <c r="B452" s="48" t="str">
        <f t="shared" si="1"/>
        <v>2038-04</v>
      </c>
      <c r="C452" s="49">
        <f>SUMIF(despesas_recorrentes!C:C, "&gt;="&amp;A452,despesas_recorrentes!B:B) 
+SUMIF(despesas_recorrentes!C:C, "",despesas_recorrentes!B:B)
-despesas_recorrentes!$B$12
+IF(SUMIF(gasto_cartao!E:E,saldo!B452,gasto_cartao!B:B)&gt;despesas_recorrentes!$B$12, SUMIF(gasto_cartao!E:E,saldo!B452,gasto_cartao!B:B),despesas_recorrentes!$B$12)</f>
        <v>34013</v>
      </c>
      <c r="D452" s="51">
        <f>SUM(receitas_recorrentes!B:B)+SUMIF(receitas_pontuais!E:E,B452,receitas_pontuais!B:B)</f>
        <v>56919</v>
      </c>
      <c r="E452" s="51">
        <f t="shared" si="2"/>
        <v>22906</v>
      </c>
      <c r="F452" s="53">
        <f>IFERROR(SUMIF(contas!G:G, B452, contas!B:B),0)</f>
        <v>0</v>
      </c>
      <c r="G452" s="51">
        <f>SUMIFS(previsoes!D:D, previsoes!E:E, "&lt;=" &amp; EOMONTH(DATEVALUE(B452&amp;"-01"),0), previsoes!F:F, "&gt;=" &amp; DATEVALUE(B452&amp;"-01"))</f>
        <v>0</v>
      </c>
      <c r="H452" s="52">
        <f t="shared" si="5"/>
        <v>160491.8958</v>
      </c>
      <c r="I452" s="49">
        <f t="shared" si="3"/>
        <v>22906</v>
      </c>
      <c r="J452" s="52">
        <f>IF(A452&lt;&gt;"",SUMIFS(metas!N:N, metas!E:E, "&gt;=" &amp; DATEVALUE(B452&amp;"-01"),metas!D:D, "&lt;=" &amp; DATEVALUE(B452&amp;"-01")),"")</f>
        <v>3182.813937</v>
      </c>
      <c r="K452" s="49">
        <f t="shared" si="4"/>
        <v>19723.18606</v>
      </c>
      <c r="L452" s="49">
        <f t="shared" si="6"/>
        <v>8259040.257</v>
      </c>
      <c r="M452" s="49">
        <f>IF(A452&lt;&gt;"",IF(COUNTIF(investimento!F:F, B452) &gt; 0, SUM(investimento!B:B)+I452, M451+I452),"")</f>
        <v>10113264.68</v>
      </c>
    </row>
    <row r="453" ht="22.5" customHeight="1">
      <c r="A453" s="47">
        <v>50502.0</v>
      </c>
      <c r="B453" s="48" t="str">
        <f t="shared" si="1"/>
        <v>2038-04</v>
      </c>
      <c r="C453" s="49">
        <f>SUMIF(despesas_recorrentes!C:C, "&gt;="&amp;A453,despesas_recorrentes!B:B) 
+SUMIF(despesas_recorrentes!C:C, "",despesas_recorrentes!B:B)
-despesas_recorrentes!$B$12
+IF(SUMIF(gasto_cartao!E:E,saldo!B453,gasto_cartao!B:B)&gt;despesas_recorrentes!$B$12, SUMIF(gasto_cartao!E:E,saldo!B453,gasto_cartao!B:B),despesas_recorrentes!$B$12)</f>
        <v>34013</v>
      </c>
      <c r="D453" s="51">
        <f>SUM(receitas_recorrentes!B:B)+SUMIF(receitas_pontuais!E:E,B453,receitas_pontuais!B:B)</f>
        <v>56919</v>
      </c>
      <c r="E453" s="51">
        <f t="shared" si="2"/>
        <v>22906</v>
      </c>
      <c r="F453" s="53">
        <f>IFERROR(SUMIF(contas!G:G, B453, contas!B:B),0)</f>
        <v>0</v>
      </c>
      <c r="G453" s="51">
        <f>SUMIFS(previsoes!D:D, previsoes!E:E, "&lt;=" &amp; EOMONTH(DATEVALUE(B453&amp;"-01"),0), previsoes!F:F, "&gt;=" &amp; DATEVALUE(B453&amp;"-01"))</f>
        <v>0</v>
      </c>
      <c r="H453" s="52">
        <f t="shared" si="5"/>
        <v>160491.8958</v>
      </c>
      <c r="I453" s="49">
        <f t="shared" si="3"/>
        <v>22906</v>
      </c>
      <c r="J453" s="52">
        <f>IF(A453&lt;&gt;"",SUMIFS(metas!N:N, metas!E:E, "&gt;=" &amp; DATEVALUE(B453&amp;"-01"),metas!D:D, "&lt;=" &amp; DATEVALUE(B453&amp;"-01")),"")</f>
        <v>3182.813937</v>
      </c>
      <c r="K453" s="49">
        <f t="shared" si="4"/>
        <v>19723.18606</v>
      </c>
      <c r="L453" s="49">
        <f t="shared" si="6"/>
        <v>8278763.443</v>
      </c>
      <c r="M453" s="49">
        <f>IF(A453&lt;&gt;"",IF(COUNTIF(investimento!F:F, B453) &gt; 0, SUM(investimento!B:B)+I453, M452+I453),"")</f>
        <v>10136170.68</v>
      </c>
    </row>
    <row r="454" ht="22.5" customHeight="1">
      <c r="A454" s="47">
        <v>50503.0</v>
      </c>
      <c r="B454" s="48" t="str">
        <f t="shared" si="1"/>
        <v>2038-04</v>
      </c>
      <c r="C454" s="49">
        <f>SUMIF(despesas_recorrentes!C:C, "&gt;="&amp;A454,despesas_recorrentes!B:B) 
+SUMIF(despesas_recorrentes!C:C, "",despesas_recorrentes!B:B)
-despesas_recorrentes!$B$12
+IF(SUMIF(gasto_cartao!E:E,saldo!B454,gasto_cartao!B:B)&gt;despesas_recorrentes!$B$12, SUMIF(gasto_cartao!E:E,saldo!B454,gasto_cartao!B:B),despesas_recorrentes!$B$12)</f>
        <v>34013</v>
      </c>
      <c r="D454" s="51">
        <f>SUM(receitas_recorrentes!B:B)+SUMIF(receitas_pontuais!E:E,B454,receitas_pontuais!B:B)</f>
        <v>56919</v>
      </c>
      <c r="E454" s="51">
        <f t="shared" si="2"/>
        <v>22906</v>
      </c>
      <c r="F454" s="53">
        <f>IFERROR(SUMIF(contas!G:G, B454, contas!B:B),0)</f>
        <v>0</v>
      </c>
      <c r="G454" s="51">
        <f>SUMIFS(previsoes!D:D, previsoes!E:E, "&lt;=" &amp; EOMONTH(DATEVALUE(B454&amp;"-01"),0), previsoes!F:F, "&gt;=" &amp; DATEVALUE(B454&amp;"-01"))</f>
        <v>0</v>
      </c>
      <c r="H454" s="52">
        <f t="shared" si="5"/>
        <v>160491.8958</v>
      </c>
      <c r="I454" s="49">
        <f t="shared" si="3"/>
        <v>22906</v>
      </c>
      <c r="J454" s="52">
        <f>IF(A454&lt;&gt;"",SUMIFS(metas!N:N, metas!E:E, "&gt;=" &amp; DATEVALUE(B454&amp;"-01"),metas!D:D, "&lt;=" &amp; DATEVALUE(B454&amp;"-01")),"")</f>
        <v>3182.813937</v>
      </c>
      <c r="K454" s="49">
        <f t="shared" si="4"/>
        <v>19723.18606</v>
      </c>
      <c r="L454" s="49">
        <f t="shared" si="6"/>
        <v>8298486.629</v>
      </c>
      <c r="M454" s="49">
        <f>IF(A454&lt;&gt;"",IF(COUNTIF(investimento!F:F, B454) &gt; 0, SUM(investimento!B:B)+I454, M453+I454),"")</f>
        <v>10159076.68</v>
      </c>
    </row>
    <row r="455" ht="22.5" customHeight="1">
      <c r="A455" s="47">
        <v>50504.0</v>
      </c>
      <c r="B455" s="48" t="str">
        <f t="shared" si="1"/>
        <v>2038-04</v>
      </c>
      <c r="C455" s="49">
        <f>SUMIF(despesas_recorrentes!C:C, "&gt;="&amp;A455,despesas_recorrentes!B:B) 
+SUMIF(despesas_recorrentes!C:C, "",despesas_recorrentes!B:B)
-despesas_recorrentes!$B$12
+IF(SUMIF(gasto_cartao!E:E,saldo!B455,gasto_cartao!B:B)&gt;despesas_recorrentes!$B$12, SUMIF(gasto_cartao!E:E,saldo!B455,gasto_cartao!B:B),despesas_recorrentes!$B$12)</f>
        <v>34013</v>
      </c>
      <c r="D455" s="51">
        <f>SUM(receitas_recorrentes!B:B)+SUMIF(receitas_pontuais!E:E,B455,receitas_pontuais!B:B)</f>
        <v>56919</v>
      </c>
      <c r="E455" s="51">
        <f t="shared" si="2"/>
        <v>22906</v>
      </c>
      <c r="F455" s="53">
        <f>IFERROR(SUMIF(contas!G:G, B455, contas!B:B),0)</f>
        <v>0</v>
      </c>
      <c r="G455" s="51">
        <f>SUMIFS(previsoes!D:D, previsoes!E:E, "&lt;=" &amp; EOMONTH(DATEVALUE(B455&amp;"-01"),0), previsoes!F:F, "&gt;=" &amp; DATEVALUE(B455&amp;"-01"))</f>
        <v>0</v>
      </c>
      <c r="H455" s="52">
        <f t="shared" si="5"/>
        <v>160491.8958</v>
      </c>
      <c r="I455" s="49">
        <f t="shared" si="3"/>
        <v>22906</v>
      </c>
      <c r="J455" s="52">
        <f>IF(A455&lt;&gt;"",SUMIFS(metas!N:N, metas!E:E, "&gt;=" &amp; DATEVALUE(B455&amp;"-01"),metas!D:D, "&lt;=" &amp; DATEVALUE(B455&amp;"-01")),"")</f>
        <v>3182.813937</v>
      </c>
      <c r="K455" s="49">
        <f t="shared" si="4"/>
        <v>19723.18606</v>
      </c>
      <c r="L455" s="49">
        <f t="shared" si="6"/>
        <v>8318209.815</v>
      </c>
      <c r="M455" s="49">
        <f>IF(A455&lt;&gt;"",IF(COUNTIF(investimento!F:F, B455) &gt; 0, SUM(investimento!B:B)+I455, M454+I455),"")</f>
        <v>10181982.68</v>
      </c>
    </row>
    <row r="456" ht="22.5" customHeight="1">
      <c r="A456" s="47">
        <v>50505.0</v>
      </c>
      <c r="B456" s="48" t="str">
        <f t="shared" si="1"/>
        <v>2038-04</v>
      </c>
      <c r="C456" s="49">
        <f>SUMIF(despesas_recorrentes!C:C, "&gt;="&amp;A456,despesas_recorrentes!B:B) 
+SUMIF(despesas_recorrentes!C:C, "",despesas_recorrentes!B:B)
-despesas_recorrentes!$B$12
+IF(SUMIF(gasto_cartao!E:E,saldo!B456,gasto_cartao!B:B)&gt;despesas_recorrentes!$B$12, SUMIF(gasto_cartao!E:E,saldo!B456,gasto_cartao!B:B),despesas_recorrentes!$B$12)</f>
        <v>34013</v>
      </c>
      <c r="D456" s="51">
        <f>SUM(receitas_recorrentes!B:B)+SUMIF(receitas_pontuais!E:E,B456,receitas_pontuais!B:B)</f>
        <v>56919</v>
      </c>
      <c r="E456" s="51">
        <f t="shared" si="2"/>
        <v>22906</v>
      </c>
      <c r="F456" s="53">
        <f>IFERROR(SUMIF(contas!G:G, B456, contas!B:B),0)</f>
        <v>0</v>
      </c>
      <c r="G456" s="51">
        <f>SUMIFS(previsoes!D:D, previsoes!E:E, "&lt;=" &amp; EOMONTH(DATEVALUE(B456&amp;"-01"),0), previsoes!F:F, "&gt;=" &amp; DATEVALUE(B456&amp;"-01"))</f>
        <v>0</v>
      </c>
      <c r="H456" s="52">
        <f t="shared" si="5"/>
        <v>160491.8958</v>
      </c>
      <c r="I456" s="49">
        <f t="shared" si="3"/>
        <v>22906</v>
      </c>
      <c r="J456" s="52">
        <f>IF(A456&lt;&gt;"",SUMIFS(metas!N:N, metas!E:E, "&gt;=" &amp; DATEVALUE(B456&amp;"-01"),metas!D:D, "&lt;=" &amp; DATEVALUE(B456&amp;"-01")),"")</f>
        <v>3182.813937</v>
      </c>
      <c r="K456" s="49">
        <f t="shared" si="4"/>
        <v>19723.18606</v>
      </c>
      <c r="L456" s="49">
        <f t="shared" si="6"/>
        <v>8337933.001</v>
      </c>
      <c r="M456" s="49">
        <f>IF(A456&lt;&gt;"",IF(COUNTIF(investimento!F:F, B456) &gt; 0, SUM(investimento!B:B)+I456, M455+I456),"")</f>
        <v>10204888.68</v>
      </c>
    </row>
    <row r="457" ht="22.5" customHeight="1">
      <c r="A457" s="47">
        <v>50506.0</v>
      </c>
      <c r="B457" s="48" t="str">
        <f t="shared" si="1"/>
        <v>2038-04</v>
      </c>
      <c r="C457" s="49">
        <f>SUMIF(despesas_recorrentes!C:C, "&gt;="&amp;A457,despesas_recorrentes!B:B) 
+SUMIF(despesas_recorrentes!C:C, "",despesas_recorrentes!B:B)
-despesas_recorrentes!$B$12
+IF(SUMIF(gasto_cartao!E:E,saldo!B457,gasto_cartao!B:B)&gt;despesas_recorrentes!$B$12, SUMIF(gasto_cartao!E:E,saldo!B457,gasto_cartao!B:B),despesas_recorrentes!$B$12)</f>
        <v>34013</v>
      </c>
      <c r="D457" s="51">
        <f>SUM(receitas_recorrentes!B:B)+SUMIF(receitas_pontuais!E:E,B457,receitas_pontuais!B:B)</f>
        <v>56919</v>
      </c>
      <c r="E457" s="51">
        <f t="shared" si="2"/>
        <v>22906</v>
      </c>
      <c r="F457" s="53">
        <f>IFERROR(SUMIF(contas!G:G, B457, contas!B:B),0)</f>
        <v>0</v>
      </c>
      <c r="G457" s="51">
        <f>SUMIFS(previsoes!D:D, previsoes!E:E, "&lt;=" &amp; EOMONTH(DATEVALUE(B457&amp;"-01"),0), previsoes!F:F, "&gt;=" &amp; DATEVALUE(B457&amp;"-01"))</f>
        <v>0</v>
      </c>
      <c r="H457" s="52">
        <f t="shared" si="5"/>
        <v>160491.8958</v>
      </c>
      <c r="I457" s="49">
        <f t="shared" si="3"/>
        <v>22906</v>
      </c>
      <c r="J457" s="52">
        <f>IF(A457&lt;&gt;"",SUMIFS(metas!N:N, metas!E:E, "&gt;=" &amp; DATEVALUE(B457&amp;"-01"),metas!D:D, "&lt;=" &amp; DATEVALUE(B457&amp;"-01")),"")</f>
        <v>3182.813937</v>
      </c>
      <c r="K457" s="49">
        <f t="shared" si="4"/>
        <v>19723.18606</v>
      </c>
      <c r="L457" s="49">
        <f t="shared" si="6"/>
        <v>8357656.187</v>
      </c>
      <c r="M457" s="49">
        <f>IF(A457&lt;&gt;"",IF(COUNTIF(investimento!F:F, B457) &gt; 0, SUM(investimento!B:B)+I457, M456+I457),"")</f>
        <v>10227794.68</v>
      </c>
    </row>
    <row r="458" ht="22.5" customHeight="1">
      <c r="A458" s="47">
        <v>50507.0</v>
      </c>
      <c r="B458" s="48" t="str">
        <f t="shared" si="1"/>
        <v>2038-04</v>
      </c>
      <c r="C458" s="49">
        <f>SUMIF(despesas_recorrentes!C:C, "&gt;="&amp;A458,despesas_recorrentes!B:B) 
+SUMIF(despesas_recorrentes!C:C, "",despesas_recorrentes!B:B)
-despesas_recorrentes!$B$12
+IF(SUMIF(gasto_cartao!E:E,saldo!B458,gasto_cartao!B:B)&gt;despesas_recorrentes!$B$12, SUMIF(gasto_cartao!E:E,saldo!B458,gasto_cartao!B:B),despesas_recorrentes!$B$12)</f>
        <v>34013</v>
      </c>
      <c r="D458" s="51">
        <f>SUM(receitas_recorrentes!B:B)+SUMIF(receitas_pontuais!E:E,B458,receitas_pontuais!B:B)</f>
        <v>56919</v>
      </c>
      <c r="E458" s="51">
        <f t="shared" si="2"/>
        <v>22906</v>
      </c>
      <c r="F458" s="53">
        <f>IFERROR(SUMIF(contas!G:G, B458, contas!B:B),0)</f>
        <v>0</v>
      </c>
      <c r="G458" s="51">
        <f>SUMIFS(previsoes!D:D, previsoes!E:E, "&lt;=" &amp; EOMONTH(DATEVALUE(B458&amp;"-01"),0), previsoes!F:F, "&gt;=" &amp; DATEVALUE(B458&amp;"-01"))</f>
        <v>0</v>
      </c>
      <c r="H458" s="52">
        <f t="shared" si="5"/>
        <v>160491.8958</v>
      </c>
      <c r="I458" s="49">
        <f t="shared" si="3"/>
        <v>22906</v>
      </c>
      <c r="J458" s="52">
        <f>IF(A458&lt;&gt;"",SUMIFS(metas!N:N, metas!E:E, "&gt;=" &amp; DATEVALUE(B458&amp;"-01"),metas!D:D, "&lt;=" &amp; DATEVALUE(B458&amp;"-01")),"")</f>
        <v>3182.813937</v>
      </c>
      <c r="K458" s="49">
        <f t="shared" si="4"/>
        <v>19723.18606</v>
      </c>
      <c r="L458" s="49">
        <f t="shared" si="6"/>
        <v>8377379.373</v>
      </c>
      <c r="M458" s="49">
        <f>IF(A458&lt;&gt;"",IF(COUNTIF(investimento!F:F, B458) &gt; 0, SUM(investimento!B:B)+I458, M457+I458),"")</f>
        <v>10250700.68</v>
      </c>
    </row>
    <row r="459" ht="22.5" customHeight="1">
      <c r="A459" s="47">
        <v>50508.0</v>
      </c>
      <c r="B459" s="48" t="str">
        <f t="shared" si="1"/>
        <v>2038-04</v>
      </c>
      <c r="C459" s="49">
        <f>SUMIF(despesas_recorrentes!C:C, "&gt;="&amp;A459,despesas_recorrentes!B:B) 
+SUMIF(despesas_recorrentes!C:C, "",despesas_recorrentes!B:B)
-despesas_recorrentes!$B$12
+IF(SUMIF(gasto_cartao!E:E,saldo!B459,gasto_cartao!B:B)&gt;despesas_recorrentes!$B$12, SUMIF(gasto_cartao!E:E,saldo!B459,gasto_cartao!B:B),despesas_recorrentes!$B$12)</f>
        <v>34013</v>
      </c>
      <c r="D459" s="51">
        <f>SUM(receitas_recorrentes!B:B)+SUMIF(receitas_pontuais!E:E,B459,receitas_pontuais!B:B)</f>
        <v>56919</v>
      </c>
      <c r="E459" s="51">
        <f t="shared" si="2"/>
        <v>22906</v>
      </c>
      <c r="F459" s="53">
        <f>IFERROR(SUMIF(contas!G:G, B459, contas!B:B),0)</f>
        <v>0</v>
      </c>
      <c r="G459" s="51">
        <f>SUMIFS(previsoes!D:D, previsoes!E:E, "&lt;=" &amp; EOMONTH(DATEVALUE(B459&amp;"-01"),0), previsoes!F:F, "&gt;=" &amp; DATEVALUE(B459&amp;"-01"))</f>
        <v>0</v>
      </c>
      <c r="H459" s="52">
        <f t="shared" si="5"/>
        <v>160491.8958</v>
      </c>
      <c r="I459" s="49">
        <f t="shared" si="3"/>
        <v>22906</v>
      </c>
      <c r="J459" s="52">
        <f>IF(A459&lt;&gt;"",SUMIFS(metas!N:N, metas!E:E, "&gt;=" &amp; DATEVALUE(B459&amp;"-01"),metas!D:D, "&lt;=" &amp; DATEVALUE(B459&amp;"-01")),"")</f>
        <v>3182.813937</v>
      </c>
      <c r="K459" s="49">
        <f t="shared" si="4"/>
        <v>19723.18606</v>
      </c>
      <c r="L459" s="49">
        <f t="shared" si="6"/>
        <v>8397102.559</v>
      </c>
      <c r="M459" s="49">
        <f>IF(A459&lt;&gt;"",IF(COUNTIF(investimento!F:F, B459) &gt; 0, SUM(investimento!B:B)+I459, M458+I459),"")</f>
        <v>10273606.68</v>
      </c>
    </row>
    <row r="460" ht="22.5" customHeight="1">
      <c r="A460" s="47">
        <v>50509.0</v>
      </c>
      <c r="B460" s="48" t="str">
        <f t="shared" si="1"/>
        <v>2038-04</v>
      </c>
      <c r="C460" s="49">
        <f>SUMIF(despesas_recorrentes!C:C, "&gt;="&amp;A460,despesas_recorrentes!B:B) 
+SUMIF(despesas_recorrentes!C:C, "",despesas_recorrentes!B:B)
-despesas_recorrentes!$B$12
+IF(SUMIF(gasto_cartao!E:E,saldo!B460,gasto_cartao!B:B)&gt;despesas_recorrentes!$B$12, SUMIF(gasto_cartao!E:E,saldo!B460,gasto_cartao!B:B),despesas_recorrentes!$B$12)</f>
        <v>34013</v>
      </c>
      <c r="D460" s="51">
        <f>SUM(receitas_recorrentes!B:B)+SUMIF(receitas_pontuais!E:E,B460,receitas_pontuais!B:B)</f>
        <v>56919</v>
      </c>
      <c r="E460" s="51">
        <f t="shared" si="2"/>
        <v>22906</v>
      </c>
      <c r="F460" s="53">
        <f>IFERROR(SUMIF(contas!G:G, B460, contas!B:B),0)</f>
        <v>0</v>
      </c>
      <c r="G460" s="51">
        <f>SUMIFS(previsoes!D:D, previsoes!E:E, "&lt;=" &amp; EOMONTH(DATEVALUE(B460&amp;"-01"),0), previsoes!F:F, "&gt;=" &amp; DATEVALUE(B460&amp;"-01"))</f>
        <v>0</v>
      </c>
      <c r="H460" s="52">
        <f t="shared" si="5"/>
        <v>160491.8958</v>
      </c>
      <c r="I460" s="49">
        <f t="shared" si="3"/>
        <v>22906</v>
      </c>
      <c r="J460" s="52">
        <f>IF(A460&lt;&gt;"",SUMIFS(metas!N:N, metas!E:E, "&gt;=" &amp; DATEVALUE(B460&amp;"-01"),metas!D:D, "&lt;=" &amp; DATEVALUE(B460&amp;"-01")),"")</f>
        <v>3182.813937</v>
      </c>
      <c r="K460" s="49">
        <f t="shared" si="4"/>
        <v>19723.18606</v>
      </c>
      <c r="L460" s="49">
        <f t="shared" si="6"/>
        <v>8416825.745</v>
      </c>
      <c r="M460" s="49">
        <f>IF(A460&lt;&gt;"",IF(COUNTIF(investimento!F:F, B460) &gt; 0, SUM(investimento!B:B)+I460, M459+I460),"")</f>
        <v>10296512.68</v>
      </c>
    </row>
    <row r="461" ht="22.5" customHeight="1">
      <c r="A461" s="47">
        <v>50510.0</v>
      </c>
      <c r="B461" s="48" t="str">
        <f t="shared" si="1"/>
        <v>2038-04</v>
      </c>
      <c r="C461" s="49">
        <f>SUMIF(despesas_recorrentes!C:C, "&gt;="&amp;A461,despesas_recorrentes!B:B) 
+SUMIF(despesas_recorrentes!C:C, "",despesas_recorrentes!B:B)
-despesas_recorrentes!$B$12
+IF(SUMIF(gasto_cartao!E:E,saldo!B461,gasto_cartao!B:B)&gt;despesas_recorrentes!$B$12, SUMIF(gasto_cartao!E:E,saldo!B461,gasto_cartao!B:B),despesas_recorrentes!$B$12)</f>
        <v>34013</v>
      </c>
      <c r="D461" s="51">
        <f>SUM(receitas_recorrentes!B:B)+SUMIF(receitas_pontuais!E:E,B461,receitas_pontuais!B:B)</f>
        <v>56919</v>
      </c>
      <c r="E461" s="51">
        <f t="shared" si="2"/>
        <v>22906</v>
      </c>
      <c r="F461" s="53">
        <f>IFERROR(SUMIF(contas!G:G, B461, contas!B:B),0)</f>
        <v>0</v>
      </c>
      <c r="G461" s="51">
        <f>SUMIFS(previsoes!D:D, previsoes!E:E, "&lt;=" &amp; EOMONTH(DATEVALUE(B461&amp;"-01"),0), previsoes!F:F, "&gt;=" &amp; DATEVALUE(B461&amp;"-01"))</f>
        <v>0</v>
      </c>
      <c r="H461" s="52">
        <f t="shared" si="5"/>
        <v>160491.8958</v>
      </c>
      <c r="I461" s="49">
        <f t="shared" si="3"/>
        <v>22906</v>
      </c>
      <c r="J461" s="52">
        <f>IF(A461&lt;&gt;"",SUMIFS(metas!N:N, metas!E:E, "&gt;=" &amp; DATEVALUE(B461&amp;"-01"),metas!D:D, "&lt;=" &amp; DATEVALUE(B461&amp;"-01")),"")</f>
        <v>3182.813937</v>
      </c>
      <c r="K461" s="49">
        <f t="shared" si="4"/>
        <v>19723.18606</v>
      </c>
      <c r="L461" s="49">
        <f t="shared" si="6"/>
        <v>8436548.932</v>
      </c>
      <c r="M461" s="49">
        <f>IF(A461&lt;&gt;"",IF(COUNTIF(investimento!F:F, B461) &gt; 0, SUM(investimento!B:B)+I461, M460+I461),"")</f>
        <v>10319418.68</v>
      </c>
    </row>
    <row r="462" ht="22.5" customHeight="1">
      <c r="A462" s="47">
        <v>50511.0</v>
      </c>
      <c r="B462" s="48" t="str">
        <f t="shared" si="1"/>
        <v>2038-04</v>
      </c>
      <c r="C462" s="49">
        <f>SUMIF(despesas_recorrentes!C:C, "&gt;="&amp;A462,despesas_recorrentes!B:B) 
+SUMIF(despesas_recorrentes!C:C, "",despesas_recorrentes!B:B)
-despesas_recorrentes!$B$12
+IF(SUMIF(gasto_cartao!E:E,saldo!B462,gasto_cartao!B:B)&gt;despesas_recorrentes!$B$12, SUMIF(gasto_cartao!E:E,saldo!B462,gasto_cartao!B:B),despesas_recorrentes!$B$12)</f>
        <v>34013</v>
      </c>
      <c r="D462" s="51">
        <f>SUM(receitas_recorrentes!B:B)+SUMIF(receitas_pontuais!E:E,B462,receitas_pontuais!B:B)</f>
        <v>56919</v>
      </c>
      <c r="E462" s="51">
        <f t="shared" si="2"/>
        <v>22906</v>
      </c>
      <c r="F462" s="53">
        <f>IFERROR(SUMIF(contas!G:G, B462, contas!B:B),0)</f>
        <v>0</v>
      </c>
      <c r="G462" s="51">
        <f>SUMIFS(previsoes!D:D, previsoes!E:E, "&lt;=" &amp; EOMONTH(DATEVALUE(B462&amp;"-01"),0), previsoes!F:F, "&gt;=" &amp; DATEVALUE(B462&amp;"-01"))</f>
        <v>0</v>
      </c>
      <c r="H462" s="52">
        <f t="shared" si="5"/>
        <v>160491.8958</v>
      </c>
      <c r="I462" s="49">
        <f t="shared" si="3"/>
        <v>22906</v>
      </c>
      <c r="J462" s="52">
        <f>IF(A462&lt;&gt;"",SUMIFS(metas!N:N, metas!E:E, "&gt;=" &amp; DATEVALUE(B462&amp;"-01"),metas!D:D, "&lt;=" &amp; DATEVALUE(B462&amp;"-01")),"")</f>
        <v>3182.813937</v>
      </c>
      <c r="K462" s="49">
        <f t="shared" si="4"/>
        <v>19723.18606</v>
      </c>
      <c r="L462" s="49">
        <f t="shared" si="6"/>
        <v>8456272.118</v>
      </c>
      <c r="M462" s="49">
        <f>IF(A462&lt;&gt;"",IF(COUNTIF(investimento!F:F, B462) &gt; 0, SUM(investimento!B:B)+I462, M461+I462),"")</f>
        <v>10342324.68</v>
      </c>
    </row>
    <row r="463" ht="22.5" customHeight="1">
      <c r="A463" s="47">
        <v>50512.0</v>
      </c>
      <c r="B463" s="48" t="str">
        <f t="shared" si="1"/>
        <v>2038-04</v>
      </c>
      <c r="C463" s="49">
        <f>SUMIF(despesas_recorrentes!C:C, "&gt;="&amp;A463,despesas_recorrentes!B:B) 
+SUMIF(despesas_recorrentes!C:C, "",despesas_recorrentes!B:B)
-despesas_recorrentes!$B$12
+IF(SUMIF(gasto_cartao!E:E,saldo!B463,gasto_cartao!B:B)&gt;despesas_recorrentes!$B$12, SUMIF(gasto_cartao!E:E,saldo!B463,gasto_cartao!B:B),despesas_recorrentes!$B$12)</f>
        <v>34013</v>
      </c>
      <c r="D463" s="51">
        <f>SUM(receitas_recorrentes!B:B)+SUMIF(receitas_pontuais!E:E,B463,receitas_pontuais!B:B)</f>
        <v>56919</v>
      </c>
      <c r="E463" s="51">
        <f t="shared" si="2"/>
        <v>22906</v>
      </c>
      <c r="F463" s="53">
        <f>IFERROR(SUMIF(contas!G:G, B463, contas!B:B),0)</f>
        <v>0</v>
      </c>
      <c r="G463" s="51">
        <f>SUMIFS(previsoes!D:D, previsoes!E:E, "&lt;=" &amp; EOMONTH(DATEVALUE(B463&amp;"-01"),0), previsoes!F:F, "&gt;=" &amp; DATEVALUE(B463&amp;"-01"))</f>
        <v>0</v>
      </c>
      <c r="H463" s="52">
        <f t="shared" si="5"/>
        <v>160491.8958</v>
      </c>
      <c r="I463" s="49">
        <f t="shared" si="3"/>
        <v>22906</v>
      </c>
      <c r="J463" s="52">
        <f>IF(A463&lt;&gt;"",SUMIFS(metas!N:N, metas!E:E, "&gt;=" &amp; DATEVALUE(B463&amp;"-01"),metas!D:D, "&lt;=" &amp; DATEVALUE(B463&amp;"-01")),"")</f>
        <v>3182.813937</v>
      </c>
      <c r="K463" s="49">
        <f t="shared" si="4"/>
        <v>19723.18606</v>
      </c>
      <c r="L463" s="49">
        <f t="shared" si="6"/>
        <v>8475995.304</v>
      </c>
      <c r="M463" s="49">
        <f>IF(A463&lt;&gt;"",IF(COUNTIF(investimento!F:F, B463) &gt; 0, SUM(investimento!B:B)+I463, M462+I463),"")</f>
        <v>10365230.68</v>
      </c>
    </row>
    <row r="464" ht="22.5" customHeight="1">
      <c r="A464" s="47">
        <v>50513.0</v>
      </c>
      <c r="B464" s="48" t="str">
        <f t="shared" si="1"/>
        <v>2038-04</v>
      </c>
      <c r="C464" s="49">
        <f>SUMIF(despesas_recorrentes!C:C, "&gt;="&amp;A464,despesas_recorrentes!B:B) 
+SUMIF(despesas_recorrentes!C:C, "",despesas_recorrentes!B:B)
-despesas_recorrentes!$B$12
+IF(SUMIF(gasto_cartao!E:E,saldo!B464,gasto_cartao!B:B)&gt;despesas_recorrentes!$B$12, SUMIF(gasto_cartao!E:E,saldo!B464,gasto_cartao!B:B),despesas_recorrentes!$B$12)</f>
        <v>34013</v>
      </c>
      <c r="D464" s="51">
        <f>SUM(receitas_recorrentes!B:B)+SUMIF(receitas_pontuais!E:E,B464,receitas_pontuais!B:B)</f>
        <v>56919</v>
      </c>
      <c r="E464" s="51">
        <f t="shared" si="2"/>
        <v>22906</v>
      </c>
      <c r="F464" s="53">
        <f>IFERROR(SUMIF(contas!G:G, B464, contas!B:B),0)</f>
        <v>0</v>
      </c>
      <c r="G464" s="51">
        <f>SUMIFS(previsoes!D:D, previsoes!E:E, "&lt;=" &amp; EOMONTH(DATEVALUE(B464&amp;"-01"),0), previsoes!F:F, "&gt;=" &amp; DATEVALUE(B464&amp;"-01"))</f>
        <v>0</v>
      </c>
      <c r="H464" s="52">
        <f t="shared" si="5"/>
        <v>160491.8958</v>
      </c>
      <c r="I464" s="49">
        <f t="shared" si="3"/>
        <v>22906</v>
      </c>
      <c r="J464" s="52">
        <f>IF(A464&lt;&gt;"",SUMIFS(metas!N:N, metas!E:E, "&gt;=" &amp; DATEVALUE(B464&amp;"-01"),metas!D:D, "&lt;=" &amp; DATEVALUE(B464&amp;"-01")),"")</f>
        <v>3182.813937</v>
      </c>
      <c r="K464" s="49">
        <f t="shared" si="4"/>
        <v>19723.18606</v>
      </c>
      <c r="L464" s="49">
        <f t="shared" si="6"/>
        <v>8495718.49</v>
      </c>
      <c r="M464" s="49">
        <f>IF(A464&lt;&gt;"",IF(COUNTIF(investimento!F:F, B464) &gt; 0, SUM(investimento!B:B)+I464, M463+I464),"")</f>
        <v>10388136.68</v>
      </c>
    </row>
    <row r="465" ht="22.5" customHeight="1">
      <c r="A465" s="47">
        <v>50514.0</v>
      </c>
      <c r="B465" s="48" t="str">
        <f t="shared" si="1"/>
        <v>2038-04</v>
      </c>
      <c r="C465" s="49">
        <f>SUMIF(despesas_recorrentes!C:C, "&gt;="&amp;A465,despesas_recorrentes!B:B) 
+SUMIF(despesas_recorrentes!C:C, "",despesas_recorrentes!B:B)
-despesas_recorrentes!$B$12
+IF(SUMIF(gasto_cartao!E:E,saldo!B465,gasto_cartao!B:B)&gt;despesas_recorrentes!$B$12, SUMIF(gasto_cartao!E:E,saldo!B465,gasto_cartao!B:B),despesas_recorrentes!$B$12)</f>
        <v>34013</v>
      </c>
      <c r="D465" s="51">
        <f>SUM(receitas_recorrentes!B:B)+SUMIF(receitas_pontuais!E:E,B465,receitas_pontuais!B:B)</f>
        <v>56919</v>
      </c>
      <c r="E465" s="51">
        <f t="shared" si="2"/>
        <v>22906</v>
      </c>
      <c r="F465" s="53">
        <f>IFERROR(SUMIF(contas!G:G, B465, contas!B:B),0)</f>
        <v>0</v>
      </c>
      <c r="G465" s="51">
        <f>SUMIFS(previsoes!D:D, previsoes!E:E, "&lt;=" &amp; EOMONTH(DATEVALUE(B465&amp;"-01"),0), previsoes!F:F, "&gt;=" &amp; DATEVALUE(B465&amp;"-01"))</f>
        <v>0</v>
      </c>
      <c r="H465" s="52">
        <f t="shared" si="5"/>
        <v>160491.8958</v>
      </c>
      <c r="I465" s="49">
        <f t="shared" si="3"/>
        <v>22906</v>
      </c>
      <c r="J465" s="52">
        <f>IF(A465&lt;&gt;"",SUMIFS(metas!N:N, metas!E:E, "&gt;=" &amp; DATEVALUE(B465&amp;"-01"),metas!D:D, "&lt;=" &amp; DATEVALUE(B465&amp;"-01")),"")</f>
        <v>3182.813937</v>
      </c>
      <c r="K465" s="49">
        <f t="shared" si="4"/>
        <v>19723.18606</v>
      </c>
      <c r="L465" s="49">
        <f t="shared" si="6"/>
        <v>8515441.676</v>
      </c>
      <c r="M465" s="49">
        <f>IF(A465&lt;&gt;"",IF(COUNTIF(investimento!F:F, B465) &gt; 0, SUM(investimento!B:B)+I465, M464+I465),"")</f>
        <v>10411042.68</v>
      </c>
    </row>
    <row r="466" ht="22.5" customHeight="1">
      <c r="A466" s="47">
        <v>50515.0</v>
      </c>
      <c r="B466" s="48" t="str">
        <f t="shared" si="1"/>
        <v>2038-04</v>
      </c>
      <c r="C466" s="49">
        <f>SUMIF(despesas_recorrentes!C:C, "&gt;="&amp;A466,despesas_recorrentes!B:B) 
+SUMIF(despesas_recorrentes!C:C, "",despesas_recorrentes!B:B)
-despesas_recorrentes!$B$12
+IF(SUMIF(gasto_cartao!E:E,saldo!B466,gasto_cartao!B:B)&gt;despesas_recorrentes!$B$12, SUMIF(gasto_cartao!E:E,saldo!B466,gasto_cartao!B:B),despesas_recorrentes!$B$12)</f>
        <v>34013</v>
      </c>
      <c r="D466" s="51">
        <f>SUM(receitas_recorrentes!B:B)+SUMIF(receitas_pontuais!E:E,B466,receitas_pontuais!B:B)</f>
        <v>56919</v>
      </c>
      <c r="E466" s="51">
        <f t="shared" si="2"/>
        <v>22906</v>
      </c>
      <c r="F466" s="53">
        <f>IFERROR(SUMIF(contas!G:G, B466, contas!B:B),0)</f>
        <v>0</v>
      </c>
      <c r="G466" s="51">
        <f>SUMIFS(previsoes!D:D, previsoes!E:E, "&lt;=" &amp; EOMONTH(DATEVALUE(B466&amp;"-01"),0), previsoes!F:F, "&gt;=" &amp; DATEVALUE(B466&amp;"-01"))</f>
        <v>0</v>
      </c>
      <c r="H466" s="52">
        <f t="shared" si="5"/>
        <v>160491.8958</v>
      </c>
      <c r="I466" s="49">
        <f t="shared" si="3"/>
        <v>22906</v>
      </c>
      <c r="J466" s="52">
        <f>IF(A466&lt;&gt;"",SUMIFS(metas!N:N, metas!E:E, "&gt;=" &amp; DATEVALUE(B466&amp;"-01"),metas!D:D, "&lt;=" &amp; DATEVALUE(B466&amp;"-01")),"")</f>
        <v>3182.813937</v>
      </c>
      <c r="K466" s="49">
        <f t="shared" si="4"/>
        <v>19723.18606</v>
      </c>
      <c r="L466" s="49">
        <f t="shared" si="6"/>
        <v>8535164.862</v>
      </c>
      <c r="M466" s="49">
        <f>IF(A466&lt;&gt;"",IF(COUNTIF(investimento!F:F, B466) &gt; 0, SUM(investimento!B:B)+I466, M465+I466),"")</f>
        <v>10433948.68</v>
      </c>
    </row>
    <row r="467" ht="22.5" customHeight="1">
      <c r="A467" s="47">
        <v>50516.0</v>
      </c>
      <c r="B467" s="48" t="str">
        <f t="shared" si="1"/>
        <v>2038-04</v>
      </c>
      <c r="C467" s="49">
        <f>SUMIF(despesas_recorrentes!C:C, "&gt;="&amp;A467,despesas_recorrentes!B:B) 
+SUMIF(despesas_recorrentes!C:C, "",despesas_recorrentes!B:B)
-despesas_recorrentes!$B$12
+IF(SUMIF(gasto_cartao!E:E,saldo!B467,gasto_cartao!B:B)&gt;despesas_recorrentes!$B$12, SUMIF(gasto_cartao!E:E,saldo!B467,gasto_cartao!B:B),despesas_recorrentes!$B$12)</f>
        <v>34013</v>
      </c>
      <c r="D467" s="51">
        <f>SUM(receitas_recorrentes!B:B)+SUMIF(receitas_pontuais!E:E,B467,receitas_pontuais!B:B)</f>
        <v>56919</v>
      </c>
      <c r="E467" s="51">
        <f t="shared" si="2"/>
        <v>22906</v>
      </c>
      <c r="F467" s="53">
        <f>IFERROR(SUMIF(contas!G:G, B467, contas!B:B),0)</f>
        <v>0</v>
      </c>
      <c r="G467" s="51">
        <f>SUMIFS(previsoes!D:D, previsoes!E:E, "&lt;=" &amp; EOMONTH(DATEVALUE(B467&amp;"-01"),0), previsoes!F:F, "&gt;=" &amp; DATEVALUE(B467&amp;"-01"))</f>
        <v>0</v>
      </c>
      <c r="H467" s="52">
        <f t="shared" si="5"/>
        <v>160491.8958</v>
      </c>
      <c r="I467" s="49">
        <f t="shared" si="3"/>
        <v>22906</v>
      </c>
      <c r="J467" s="52">
        <f>IF(A467&lt;&gt;"",SUMIFS(metas!N:N, metas!E:E, "&gt;=" &amp; DATEVALUE(B467&amp;"-01"),metas!D:D, "&lt;=" &amp; DATEVALUE(B467&amp;"-01")),"")</f>
        <v>3182.813937</v>
      </c>
      <c r="K467" s="49">
        <f t="shared" si="4"/>
        <v>19723.18606</v>
      </c>
      <c r="L467" s="49">
        <f t="shared" si="6"/>
        <v>8554888.048</v>
      </c>
      <c r="M467" s="49">
        <f>IF(A467&lt;&gt;"",IF(COUNTIF(investimento!F:F, B467) &gt; 0, SUM(investimento!B:B)+I467, M466+I467),"")</f>
        <v>10456854.68</v>
      </c>
    </row>
    <row r="468" ht="22.5" customHeight="1">
      <c r="A468" s="47">
        <v>50517.0</v>
      </c>
      <c r="B468" s="48" t="str">
        <f t="shared" si="1"/>
        <v>2038-04</v>
      </c>
      <c r="C468" s="49">
        <f>SUMIF(despesas_recorrentes!C:C, "&gt;="&amp;A468,despesas_recorrentes!B:B) 
+SUMIF(despesas_recorrentes!C:C, "",despesas_recorrentes!B:B)
-despesas_recorrentes!$B$12
+IF(SUMIF(gasto_cartao!E:E,saldo!B468,gasto_cartao!B:B)&gt;despesas_recorrentes!$B$12, SUMIF(gasto_cartao!E:E,saldo!B468,gasto_cartao!B:B),despesas_recorrentes!$B$12)</f>
        <v>34013</v>
      </c>
      <c r="D468" s="51">
        <f>SUM(receitas_recorrentes!B:B)+SUMIF(receitas_pontuais!E:E,B468,receitas_pontuais!B:B)</f>
        <v>56919</v>
      </c>
      <c r="E468" s="51">
        <f t="shared" si="2"/>
        <v>22906</v>
      </c>
      <c r="F468" s="53">
        <f>IFERROR(SUMIF(contas!G:G, B468, contas!B:B),0)</f>
        <v>0</v>
      </c>
      <c r="G468" s="51">
        <f>SUMIFS(previsoes!D:D, previsoes!E:E, "&lt;=" &amp; EOMONTH(DATEVALUE(B468&amp;"-01"),0), previsoes!F:F, "&gt;=" &amp; DATEVALUE(B468&amp;"-01"))</f>
        <v>0</v>
      </c>
      <c r="H468" s="52">
        <f t="shared" si="5"/>
        <v>160491.8958</v>
      </c>
      <c r="I468" s="49">
        <f t="shared" si="3"/>
        <v>22906</v>
      </c>
      <c r="J468" s="52">
        <f>IF(A468&lt;&gt;"",SUMIFS(metas!N:N, metas!E:E, "&gt;=" &amp; DATEVALUE(B468&amp;"-01"),metas!D:D, "&lt;=" &amp; DATEVALUE(B468&amp;"-01")),"")</f>
        <v>3182.813937</v>
      </c>
      <c r="K468" s="49">
        <f t="shared" si="4"/>
        <v>19723.18606</v>
      </c>
      <c r="L468" s="49">
        <f t="shared" si="6"/>
        <v>8574611.234</v>
      </c>
      <c r="M468" s="49">
        <f>IF(A468&lt;&gt;"",IF(COUNTIF(investimento!F:F, B468) &gt; 0, SUM(investimento!B:B)+I468, M467+I468),"")</f>
        <v>10479760.68</v>
      </c>
    </row>
    <row r="469" ht="22.5" customHeight="1">
      <c r="A469" s="47">
        <v>50518.0</v>
      </c>
      <c r="B469" s="48" t="str">
        <f t="shared" si="1"/>
        <v>2038-04</v>
      </c>
      <c r="C469" s="49">
        <f>SUMIF(despesas_recorrentes!C:C, "&gt;="&amp;A469,despesas_recorrentes!B:B) 
+SUMIF(despesas_recorrentes!C:C, "",despesas_recorrentes!B:B)
-despesas_recorrentes!$B$12
+IF(SUMIF(gasto_cartao!E:E,saldo!B469,gasto_cartao!B:B)&gt;despesas_recorrentes!$B$12, SUMIF(gasto_cartao!E:E,saldo!B469,gasto_cartao!B:B),despesas_recorrentes!$B$12)</f>
        <v>34013</v>
      </c>
      <c r="D469" s="51">
        <f>SUM(receitas_recorrentes!B:B)+SUMIF(receitas_pontuais!E:E,B469,receitas_pontuais!B:B)</f>
        <v>56919</v>
      </c>
      <c r="E469" s="51">
        <f t="shared" si="2"/>
        <v>22906</v>
      </c>
      <c r="F469" s="53">
        <f>IFERROR(SUMIF(contas!G:G, B469, contas!B:B),0)</f>
        <v>0</v>
      </c>
      <c r="G469" s="51">
        <f>SUMIFS(previsoes!D:D, previsoes!E:E, "&lt;=" &amp; EOMONTH(DATEVALUE(B469&amp;"-01"),0), previsoes!F:F, "&gt;=" &amp; DATEVALUE(B469&amp;"-01"))</f>
        <v>0</v>
      </c>
      <c r="H469" s="52">
        <f t="shared" si="5"/>
        <v>160491.8958</v>
      </c>
      <c r="I469" s="49">
        <f t="shared" si="3"/>
        <v>22906</v>
      </c>
      <c r="J469" s="52">
        <f>IF(A469&lt;&gt;"",SUMIFS(metas!N:N, metas!E:E, "&gt;=" &amp; DATEVALUE(B469&amp;"-01"),metas!D:D, "&lt;=" &amp; DATEVALUE(B469&amp;"-01")),"")</f>
        <v>3182.813937</v>
      </c>
      <c r="K469" s="49">
        <f t="shared" si="4"/>
        <v>19723.18606</v>
      </c>
      <c r="L469" s="49">
        <f t="shared" si="6"/>
        <v>8594334.42</v>
      </c>
      <c r="M469" s="49">
        <f>IF(A469&lt;&gt;"",IF(COUNTIF(investimento!F:F, B469) &gt; 0, SUM(investimento!B:B)+I469, M468+I469),"")</f>
        <v>10502666.68</v>
      </c>
    </row>
    <row r="470" ht="22.5" customHeight="1">
      <c r="A470" s="47">
        <v>50519.0</v>
      </c>
      <c r="B470" s="48" t="str">
        <f t="shared" si="1"/>
        <v>2038-04</v>
      </c>
      <c r="C470" s="49">
        <f>SUMIF(despesas_recorrentes!C:C, "&gt;="&amp;A470,despesas_recorrentes!B:B) 
+SUMIF(despesas_recorrentes!C:C, "",despesas_recorrentes!B:B)
-despesas_recorrentes!$B$12
+IF(SUMIF(gasto_cartao!E:E,saldo!B470,gasto_cartao!B:B)&gt;despesas_recorrentes!$B$12, SUMIF(gasto_cartao!E:E,saldo!B470,gasto_cartao!B:B),despesas_recorrentes!$B$12)</f>
        <v>34013</v>
      </c>
      <c r="D470" s="51">
        <f>SUM(receitas_recorrentes!B:B)+SUMIF(receitas_pontuais!E:E,B470,receitas_pontuais!B:B)</f>
        <v>56919</v>
      </c>
      <c r="E470" s="51">
        <f t="shared" si="2"/>
        <v>22906</v>
      </c>
      <c r="F470" s="53">
        <f>IFERROR(SUMIF(contas!G:G, B470, contas!B:B),0)</f>
        <v>0</v>
      </c>
      <c r="G470" s="51">
        <f>SUMIFS(previsoes!D:D, previsoes!E:E, "&lt;=" &amp; EOMONTH(DATEVALUE(B470&amp;"-01"),0), previsoes!F:F, "&gt;=" &amp; DATEVALUE(B470&amp;"-01"))</f>
        <v>0</v>
      </c>
      <c r="H470" s="52">
        <f t="shared" si="5"/>
        <v>160491.8958</v>
      </c>
      <c r="I470" s="49">
        <f t="shared" si="3"/>
        <v>22906</v>
      </c>
      <c r="J470" s="52">
        <f>IF(A470&lt;&gt;"",SUMIFS(metas!N:N, metas!E:E, "&gt;=" &amp; DATEVALUE(B470&amp;"-01"),metas!D:D, "&lt;=" &amp; DATEVALUE(B470&amp;"-01")),"")</f>
        <v>3182.813937</v>
      </c>
      <c r="K470" s="49">
        <f t="shared" si="4"/>
        <v>19723.18606</v>
      </c>
      <c r="L470" s="49">
        <f t="shared" si="6"/>
        <v>8614057.606</v>
      </c>
      <c r="M470" s="49">
        <f>IF(A470&lt;&gt;"",IF(COUNTIF(investimento!F:F, B470) &gt; 0, SUM(investimento!B:B)+I470, M469+I470),"")</f>
        <v>10525572.68</v>
      </c>
    </row>
    <row r="471" ht="22.5" customHeight="1">
      <c r="A471" s="47">
        <v>50520.0</v>
      </c>
      <c r="B471" s="48" t="str">
        <f t="shared" si="1"/>
        <v>2038-04</v>
      </c>
      <c r="C471" s="49">
        <f>SUMIF(despesas_recorrentes!C:C, "&gt;="&amp;A471,despesas_recorrentes!B:B) 
+SUMIF(despesas_recorrentes!C:C, "",despesas_recorrentes!B:B)
-despesas_recorrentes!$B$12
+IF(SUMIF(gasto_cartao!E:E,saldo!B471,gasto_cartao!B:B)&gt;despesas_recorrentes!$B$12, SUMIF(gasto_cartao!E:E,saldo!B471,gasto_cartao!B:B),despesas_recorrentes!$B$12)</f>
        <v>34013</v>
      </c>
      <c r="D471" s="51">
        <f>SUM(receitas_recorrentes!B:B)+SUMIF(receitas_pontuais!E:E,B471,receitas_pontuais!B:B)</f>
        <v>56919</v>
      </c>
      <c r="E471" s="51">
        <f t="shared" si="2"/>
        <v>22906</v>
      </c>
      <c r="F471" s="53">
        <f>IFERROR(SUMIF(contas!G:G, B471, contas!B:B),0)</f>
        <v>0</v>
      </c>
      <c r="G471" s="51">
        <f>SUMIFS(previsoes!D:D, previsoes!E:E, "&lt;=" &amp; EOMONTH(DATEVALUE(B471&amp;"-01"),0), previsoes!F:F, "&gt;=" &amp; DATEVALUE(B471&amp;"-01"))</f>
        <v>0</v>
      </c>
      <c r="H471" s="52">
        <f t="shared" si="5"/>
        <v>160491.8958</v>
      </c>
      <c r="I471" s="49">
        <f t="shared" si="3"/>
        <v>22906</v>
      </c>
      <c r="J471" s="52">
        <f>IF(A471&lt;&gt;"",SUMIFS(metas!N:N, metas!E:E, "&gt;=" &amp; DATEVALUE(B471&amp;"-01"),metas!D:D, "&lt;=" &amp; DATEVALUE(B471&amp;"-01")),"")</f>
        <v>3182.813937</v>
      </c>
      <c r="K471" s="49">
        <f t="shared" si="4"/>
        <v>19723.18606</v>
      </c>
      <c r="L471" s="49">
        <f t="shared" si="6"/>
        <v>8633780.792</v>
      </c>
      <c r="M471" s="49">
        <f>IF(A471&lt;&gt;"",IF(COUNTIF(investimento!F:F, B471) &gt; 0, SUM(investimento!B:B)+I471, M470+I471),"")</f>
        <v>10548478.68</v>
      </c>
    </row>
    <row r="472" ht="22.5" customHeight="1">
      <c r="A472" s="47">
        <v>50521.0</v>
      </c>
      <c r="B472" s="48" t="str">
        <f t="shared" si="1"/>
        <v>2038-04</v>
      </c>
      <c r="C472" s="49">
        <f>SUMIF(despesas_recorrentes!C:C, "&gt;="&amp;A472,despesas_recorrentes!B:B) 
+SUMIF(despesas_recorrentes!C:C, "",despesas_recorrentes!B:B)
-despesas_recorrentes!$B$12
+IF(SUMIF(gasto_cartao!E:E,saldo!B472,gasto_cartao!B:B)&gt;despesas_recorrentes!$B$12, SUMIF(gasto_cartao!E:E,saldo!B472,gasto_cartao!B:B),despesas_recorrentes!$B$12)</f>
        <v>34013</v>
      </c>
      <c r="D472" s="51">
        <f>SUM(receitas_recorrentes!B:B)+SUMIF(receitas_pontuais!E:E,B472,receitas_pontuais!B:B)</f>
        <v>56919</v>
      </c>
      <c r="E472" s="51">
        <f t="shared" si="2"/>
        <v>22906</v>
      </c>
      <c r="F472" s="53">
        <f>IFERROR(SUMIF(contas!G:G, B472, contas!B:B),0)</f>
        <v>0</v>
      </c>
      <c r="G472" s="51">
        <f>SUMIFS(previsoes!D:D, previsoes!E:E, "&lt;=" &amp; EOMONTH(DATEVALUE(B472&amp;"-01"),0), previsoes!F:F, "&gt;=" &amp; DATEVALUE(B472&amp;"-01"))</f>
        <v>0</v>
      </c>
      <c r="H472" s="52">
        <f t="shared" si="5"/>
        <v>160491.8958</v>
      </c>
      <c r="I472" s="49">
        <f t="shared" si="3"/>
        <v>22906</v>
      </c>
      <c r="J472" s="52">
        <f>IF(A472&lt;&gt;"",SUMIFS(metas!N:N, metas!E:E, "&gt;=" &amp; DATEVALUE(B472&amp;"-01"),metas!D:D, "&lt;=" &amp; DATEVALUE(B472&amp;"-01")),"")</f>
        <v>3182.813937</v>
      </c>
      <c r="K472" s="49">
        <f t="shared" si="4"/>
        <v>19723.18606</v>
      </c>
      <c r="L472" s="49">
        <f t="shared" si="6"/>
        <v>8653503.978</v>
      </c>
      <c r="M472" s="49">
        <f>IF(A472&lt;&gt;"",IF(COUNTIF(investimento!F:F, B472) &gt; 0, SUM(investimento!B:B)+I472, M471+I472),"")</f>
        <v>10571384.68</v>
      </c>
    </row>
    <row r="473" ht="22.5" customHeight="1">
      <c r="A473" s="47">
        <v>50522.0</v>
      </c>
      <c r="B473" s="48" t="str">
        <f t="shared" si="1"/>
        <v>2038-04</v>
      </c>
      <c r="C473" s="49">
        <f>SUMIF(despesas_recorrentes!C:C, "&gt;="&amp;A473,despesas_recorrentes!B:B) 
+SUMIF(despesas_recorrentes!C:C, "",despesas_recorrentes!B:B)
-despesas_recorrentes!$B$12
+IF(SUMIF(gasto_cartao!E:E,saldo!B473,gasto_cartao!B:B)&gt;despesas_recorrentes!$B$12, SUMIF(gasto_cartao!E:E,saldo!B473,gasto_cartao!B:B),despesas_recorrentes!$B$12)</f>
        <v>34013</v>
      </c>
      <c r="D473" s="51">
        <f>SUM(receitas_recorrentes!B:B)+SUMIF(receitas_pontuais!E:E,B473,receitas_pontuais!B:B)</f>
        <v>56919</v>
      </c>
      <c r="E473" s="51">
        <f t="shared" si="2"/>
        <v>22906</v>
      </c>
      <c r="F473" s="53">
        <f>IFERROR(SUMIF(contas!G:G, B473, contas!B:B),0)</f>
        <v>0</v>
      </c>
      <c r="G473" s="51">
        <f>SUMIFS(previsoes!D:D, previsoes!E:E, "&lt;=" &amp; EOMONTH(DATEVALUE(B473&amp;"-01"),0), previsoes!F:F, "&gt;=" &amp; DATEVALUE(B473&amp;"-01"))</f>
        <v>0</v>
      </c>
      <c r="H473" s="52">
        <f t="shared" si="5"/>
        <v>160491.8958</v>
      </c>
      <c r="I473" s="49">
        <f t="shared" si="3"/>
        <v>22906</v>
      </c>
      <c r="J473" s="52">
        <f>IF(A473&lt;&gt;"",SUMIFS(metas!N:N, metas!E:E, "&gt;=" &amp; DATEVALUE(B473&amp;"-01"),metas!D:D, "&lt;=" &amp; DATEVALUE(B473&amp;"-01")),"")</f>
        <v>3182.813937</v>
      </c>
      <c r="K473" s="49">
        <f t="shared" si="4"/>
        <v>19723.18606</v>
      </c>
      <c r="L473" s="49">
        <f t="shared" si="6"/>
        <v>8673227.164</v>
      </c>
      <c r="M473" s="49">
        <f>IF(A473&lt;&gt;"",IF(COUNTIF(investimento!F:F, B473) &gt; 0, SUM(investimento!B:B)+I473, M472+I473),"")</f>
        <v>10594290.68</v>
      </c>
    </row>
    <row r="474" ht="22.5" customHeight="1">
      <c r="A474" s="47">
        <v>50523.0</v>
      </c>
      <c r="B474" s="48" t="str">
        <f t="shared" si="1"/>
        <v>2038-04</v>
      </c>
      <c r="C474" s="49">
        <f>SUMIF(despesas_recorrentes!C:C, "&gt;="&amp;A474,despesas_recorrentes!B:B) 
+SUMIF(despesas_recorrentes!C:C, "",despesas_recorrentes!B:B)
-despesas_recorrentes!$B$12
+IF(SUMIF(gasto_cartao!E:E,saldo!B474,gasto_cartao!B:B)&gt;despesas_recorrentes!$B$12, SUMIF(gasto_cartao!E:E,saldo!B474,gasto_cartao!B:B),despesas_recorrentes!$B$12)</f>
        <v>34013</v>
      </c>
      <c r="D474" s="51">
        <f>SUM(receitas_recorrentes!B:B)+SUMIF(receitas_pontuais!E:E,B474,receitas_pontuais!B:B)</f>
        <v>56919</v>
      </c>
      <c r="E474" s="51">
        <f t="shared" si="2"/>
        <v>22906</v>
      </c>
      <c r="F474" s="53">
        <f>IFERROR(SUMIF(contas!G:G, B474, contas!B:B),0)</f>
        <v>0</v>
      </c>
      <c r="G474" s="51">
        <f>SUMIFS(previsoes!D:D, previsoes!E:E, "&lt;=" &amp; EOMONTH(DATEVALUE(B474&amp;"-01"),0), previsoes!F:F, "&gt;=" &amp; DATEVALUE(B474&amp;"-01"))</f>
        <v>0</v>
      </c>
      <c r="H474" s="52">
        <f t="shared" si="5"/>
        <v>160491.8958</v>
      </c>
      <c r="I474" s="49">
        <f t="shared" si="3"/>
        <v>22906</v>
      </c>
      <c r="J474" s="52">
        <f>IF(A474&lt;&gt;"",SUMIFS(metas!N:N, metas!E:E, "&gt;=" &amp; DATEVALUE(B474&amp;"-01"),metas!D:D, "&lt;=" &amp; DATEVALUE(B474&amp;"-01")),"")</f>
        <v>3182.813937</v>
      </c>
      <c r="K474" s="49">
        <f t="shared" si="4"/>
        <v>19723.18606</v>
      </c>
      <c r="L474" s="49">
        <f t="shared" si="6"/>
        <v>8692950.35</v>
      </c>
      <c r="M474" s="49">
        <f>IF(A474&lt;&gt;"",IF(COUNTIF(investimento!F:F, B474) &gt; 0, SUM(investimento!B:B)+I474, M473+I474),"")</f>
        <v>10617196.68</v>
      </c>
    </row>
    <row r="475" ht="22.5" customHeight="1">
      <c r="A475" s="47">
        <v>50524.0</v>
      </c>
      <c r="B475" s="48" t="str">
        <f t="shared" si="1"/>
        <v>2038-04</v>
      </c>
      <c r="C475" s="49">
        <f>SUMIF(despesas_recorrentes!C:C, "&gt;="&amp;A475,despesas_recorrentes!B:B) 
+SUMIF(despesas_recorrentes!C:C, "",despesas_recorrentes!B:B)
-despesas_recorrentes!$B$12
+IF(SUMIF(gasto_cartao!E:E,saldo!B475,gasto_cartao!B:B)&gt;despesas_recorrentes!$B$12, SUMIF(gasto_cartao!E:E,saldo!B475,gasto_cartao!B:B),despesas_recorrentes!$B$12)</f>
        <v>34013</v>
      </c>
      <c r="D475" s="51">
        <f>SUM(receitas_recorrentes!B:B)+SUMIF(receitas_pontuais!E:E,B475,receitas_pontuais!B:B)</f>
        <v>56919</v>
      </c>
      <c r="E475" s="51">
        <f t="shared" si="2"/>
        <v>22906</v>
      </c>
      <c r="F475" s="53">
        <f>IFERROR(SUMIF(contas!G:G, B475, contas!B:B),0)</f>
        <v>0</v>
      </c>
      <c r="G475" s="51">
        <f>SUMIFS(previsoes!D:D, previsoes!E:E, "&lt;=" &amp; EOMONTH(DATEVALUE(B475&amp;"-01"),0), previsoes!F:F, "&gt;=" &amp; DATEVALUE(B475&amp;"-01"))</f>
        <v>0</v>
      </c>
      <c r="H475" s="52">
        <f t="shared" si="5"/>
        <v>160491.8958</v>
      </c>
      <c r="I475" s="49">
        <f t="shared" si="3"/>
        <v>22906</v>
      </c>
      <c r="J475" s="52">
        <f>IF(A475&lt;&gt;"",SUMIFS(metas!N:N, metas!E:E, "&gt;=" &amp; DATEVALUE(B475&amp;"-01"),metas!D:D, "&lt;=" &amp; DATEVALUE(B475&amp;"-01")),"")</f>
        <v>3182.813937</v>
      </c>
      <c r="K475" s="49">
        <f t="shared" si="4"/>
        <v>19723.18606</v>
      </c>
      <c r="L475" s="49">
        <f t="shared" si="6"/>
        <v>8712673.536</v>
      </c>
      <c r="M475" s="49">
        <f>IF(A475&lt;&gt;"",IF(COUNTIF(investimento!F:F, B475) &gt; 0, SUM(investimento!B:B)+I475, M474+I475),"")</f>
        <v>10640102.68</v>
      </c>
    </row>
    <row r="476" ht="22.5" customHeight="1">
      <c r="A476" s="47">
        <v>50525.0</v>
      </c>
      <c r="B476" s="48" t="str">
        <f t="shared" si="1"/>
        <v>2038-04</v>
      </c>
      <c r="C476" s="49">
        <f>SUMIF(despesas_recorrentes!C:C, "&gt;="&amp;A476,despesas_recorrentes!B:B) 
+SUMIF(despesas_recorrentes!C:C, "",despesas_recorrentes!B:B)
-despesas_recorrentes!$B$12
+IF(SUMIF(gasto_cartao!E:E,saldo!B476,gasto_cartao!B:B)&gt;despesas_recorrentes!$B$12, SUMIF(gasto_cartao!E:E,saldo!B476,gasto_cartao!B:B),despesas_recorrentes!$B$12)</f>
        <v>34013</v>
      </c>
      <c r="D476" s="51">
        <f>SUM(receitas_recorrentes!B:B)+SUMIF(receitas_pontuais!E:E,B476,receitas_pontuais!B:B)</f>
        <v>56919</v>
      </c>
      <c r="E476" s="51">
        <f t="shared" si="2"/>
        <v>22906</v>
      </c>
      <c r="F476" s="53">
        <f>IFERROR(SUMIF(contas!G:G, B476, contas!B:B),0)</f>
        <v>0</v>
      </c>
      <c r="G476" s="51">
        <f>SUMIFS(previsoes!D:D, previsoes!E:E, "&lt;=" &amp; EOMONTH(DATEVALUE(B476&amp;"-01"),0), previsoes!F:F, "&gt;=" &amp; DATEVALUE(B476&amp;"-01"))</f>
        <v>0</v>
      </c>
      <c r="H476" s="52">
        <f t="shared" si="5"/>
        <v>160491.8958</v>
      </c>
      <c r="I476" s="49">
        <f t="shared" si="3"/>
        <v>22906</v>
      </c>
      <c r="J476" s="52">
        <f>IF(A476&lt;&gt;"",SUMIFS(metas!N:N, metas!E:E, "&gt;=" &amp; DATEVALUE(B476&amp;"-01"),metas!D:D, "&lt;=" &amp; DATEVALUE(B476&amp;"-01")),"")</f>
        <v>3182.813937</v>
      </c>
      <c r="K476" s="49">
        <f t="shared" si="4"/>
        <v>19723.18606</v>
      </c>
      <c r="L476" s="49">
        <f t="shared" si="6"/>
        <v>8732396.722</v>
      </c>
      <c r="M476" s="49">
        <f>IF(A476&lt;&gt;"",IF(COUNTIF(investimento!F:F, B476) &gt; 0, SUM(investimento!B:B)+I476, M475+I476),"")</f>
        <v>10663008.68</v>
      </c>
    </row>
    <row r="477" ht="22.5" customHeight="1">
      <c r="A477" s="47">
        <v>50526.0</v>
      </c>
      <c r="B477" s="48" t="str">
        <f t="shared" si="1"/>
        <v>2038-05</v>
      </c>
      <c r="C477" s="49">
        <f>SUMIF(despesas_recorrentes!C:C, "&gt;="&amp;A477,despesas_recorrentes!B:B) 
+SUMIF(despesas_recorrentes!C:C, "",despesas_recorrentes!B:B)
-despesas_recorrentes!$B$12
+IF(SUMIF(gasto_cartao!E:E,saldo!B477,gasto_cartao!B:B)&gt;despesas_recorrentes!$B$12, SUMIF(gasto_cartao!E:E,saldo!B477,gasto_cartao!B:B),despesas_recorrentes!$B$12)</f>
        <v>34013</v>
      </c>
      <c r="D477" s="51">
        <f>SUM(receitas_recorrentes!B:B)+SUMIF(receitas_pontuais!E:E,B477,receitas_pontuais!B:B)</f>
        <v>56919</v>
      </c>
      <c r="E477" s="51">
        <f t="shared" si="2"/>
        <v>22906</v>
      </c>
      <c r="F477" s="53">
        <f>IFERROR(SUMIF(contas!G:G, B477, contas!B:B),0)</f>
        <v>0</v>
      </c>
      <c r="G477" s="51">
        <f>SUMIFS(previsoes!D:D, previsoes!E:E, "&lt;=" &amp; EOMONTH(DATEVALUE(B477&amp;"-01"),0), previsoes!F:F, "&gt;=" &amp; DATEVALUE(B477&amp;"-01"))</f>
        <v>0</v>
      </c>
      <c r="H477" s="52">
        <f t="shared" si="5"/>
        <v>160491.8958</v>
      </c>
      <c r="I477" s="49">
        <f t="shared" si="3"/>
        <v>22906</v>
      </c>
      <c r="J477" s="52">
        <f>IF(A477&lt;&gt;"",SUMIFS(metas!N:N, metas!E:E, "&gt;=" &amp; DATEVALUE(B477&amp;"-01"),metas!D:D, "&lt;=" &amp; DATEVALUE(B477&amp;"-01")),"")</f>
        <v>3182.813937</v>
      </c>
      <c r="K477" s="49">
        <f t="shared" si="4"/>
        <v>19723.18606</v>
      </c>
      <c r="L477" s="49">
        <f t="shared" si="6"/>
        <v>8752119.909</v>
      </c>
      <c r="M477" s="49">
        <f>IF(A477&lt;&gt;"",IF(COUNTIF(investimento!F:F, B477) &gt; 0, SUM(investimento!B:B)+I477, M476+I477),"")</f>
        <v>10685914.68</v>
      </c>
    </row>
    <row r="478" ht="22.5" customHeight="1">
      <c r="A478" s="47">
        <v>50527.0</v>
      </c>
      <c r="B478" s="48" t="str">
        <f t="shared" si="1"/>
        <v>2038-05</v>
      </c>
      <c r="C478" s="49">
        <f>SUMIF(despesas_recorrentes!C:C, "&gt;="&amp;A478,despesas_recorrentes!B:B) 
+SUMIF(despesas_recorrentes!C:C, "",despesas_recorrentes!B:B)
-despesas_recorrentes!$B$12
+IF(SUMIF(gasto_cartao!E:E,saldo!B478,gasto_cartao!B:B)&gt;despesas_recorrentes!$B$12, SUMIF(gasto_cartao!E:E,saldo!B478,gasto_cartao!B:B),despesas_recorrentes!$B$12)</f>
        <v>34013</v>
      </c>
      <c r="D478" s="51">
        <f>SUM(receitas_recorrentes!B:B)+SUMIF(receitas_pontuais!E:E,B478,receitas_pontuais!B:B)</f>
        <v>56919</v>
      </c>
      <c r="E478" s="51">
        <f t="shared" si="2"/>
        <v>22906</v>
      </c>
      <c r="F478" s="53">
        <f>IFERROR(SUMIF(contas!G:G, B478, contas!B:B),0)</f>
        <v>0</v>
      </c>
      <c r="G478" s="51">
        <f>SUMIFS(previsoes!D:D, previsoes!E:E, "&lt;=" &amp; EOMONTH(DATEVALUE(B478&amp;"-01"),0), previsoes!F:F, "&gt;=" &amp; DATEVALUE(B478&amp;"-01"))</f>
        <v>0</v>
      </c>
      <c r="H478" s="52">
        <f t="shared" si="5"/>
        <v>160491.8958</v>
      </c>
      <c r="I478" s="49">
        <f t="shared" si="3"/>
        <v>22906</v>
      </c>
      <c r="J478" s="52">
        <f>IF(A478&lt;&gt;"",SUMIFS(metas!N:N, metas!E:E, "&gt;=" &amp; DATEVALUE(B478&amp;"-01"),metas!D:D, "&lt;=" &amp; DATEVALUE(B478&amp;"-01")),"")</f>
        <v>3182.813937</v>
      </c>
      <c r="K478" s="49">
        <f t="shared" si="4"/>
        <v>19723.18606</v>
      </c>
      <c r="L478" s="49">
        <f t="shared" si="6"/>
        <v>8771843.095</v>
      </c>
      <c r="M478" s="49">
        <f>IF(A478&lt;&gt;"",IF(COUNTIF(investimento!F:F, B478) &gt; 0, SUM(investimento!B:B)+I478, M477+I478),"")</f>
        <v>10708820.68</v>
      </c>
    </row>
    <row r="479" ht="22.5" customHeight="1">
      <c r="A479" s="47">
        <v>50528.0</v>
      </c>
      <c r="B479" s="48" t="str">
        <f t="shared" si="1"/>
        <v>2038-05</v>
      </c>
      <c r="C479" s="49">
        <f>SUMIF(despesas_recorrentes!C:C, "&gt;="&amp;A479,despesas_recorrentes!B:B) 
+SUMIF(despesas_recorrentes!C:C, "",despesas_recorrentes!B:B)
-despesas_recorrentes!$B$12
+IF(SUMIF(gasto_cartao!E:E,saldo!B479,gasto_cartao!B:B)&gt;despesas_recorrentes!$B$12, SUMIF(gasto_cartao!E:E,saldo!B479,gasto_cartao!B:B),despesas_recorrentes!$B$12)</f>
        <v>34013</v>
      </c>
      <c r="D479" s="51">
        <f>SUM(receitas_recorrentes!B:B)+SUMIF(receitas_pontuais!E:E,B479,receitas_pontuais!B:B)</f>
        <v>56919</v>
      </c>
      <c r="E479" s="51">
        <f t="shared" si="2"/>
        <v>22906</v>
      </c>
      <c r="F479" s="53">
        <f>IFERROR(SUMIF(contas!G:G, B479, contas!B:B),0)</f>
        <v>0</v>
      </c>
      <c r="G479" s="51">
        <f>SUMIFS(previsoes!D:D, previsoes!E:E, "&lt;=" &amp; EOMONTH(DATEVALUE(B479&amp;"-01"),0), previsoes!F:F, "&gt;=" &amp; DATEVALUE(B479&amp;"-01"))</f>
        <v>0</v>
      </c>
      <c r="H479" s="52">
        <f t="shared" si="5"/>
        <v>160491.8958</v>
      </c>
      <c r="I479" s="49">
        <f t="shared" si="3"/>
        <v>22906</v>
      </c>
      <c r="J479" s="52">
        <f>IF(A479&lt;&gt;"",SUMIFS(metas!N:N, metas!E:E, "&gt;=" &amp; DATEVALUE(B479&amp;"-01"),metas!D:D, "&lt;=" &amp; DATEVALUE(B479&amp;"-01")),"")</f>
        <v>3182.813937</v>
      </c>
      <c r="K479" s="49">
        <f t="shared" si="4"/>
        <v>19723.18606</v>
      </c>
      <c r="L479" s="49">
        <f t="shared" si="6"/>
        <v>8791566.281</v>
      </c>
      <c r="M479" s="49">
        <f>IF(A479&lt;&gt;"",IF(COUNTIF(investimento!F:F, B479) &gt; 0, SUM(investimento!B:B)+I479, M478+I479),"")</f>
        <v>10731726.68</v>
      </c>
    </row>
    <row r="480" ht="22.5" customHeight="1">
      <c r="A480" s="47">
        <v>50529.0</v>
      </c>
      <c r="B480" s="48" t="str">
        <f t="shared" si="1"/>
        <v>2038-05</v>
      </c>
      <c r="C480" s="49">
        <f>SUMIF(despesas_recorrentes!C:C, "&gt;="&amp;A480,despesas_recorrentes!B:B) 
+SUMIF(despesas_recorrentes!C:C, "",despesas_recorrentes!B:B)
-despesas_recorrentes!$B$12
+IF(SUMIF(gasto_cartao!E:E,saldo!B480,gasto_cartao!B:B)&gt;despesas_recorrentes!$B$12, SUMIF(gasto_cartao!E:E,saldo!B480,gasto_cartao!B:B),despesas_recorrentes!$B$12)</f>
        <v>34013</v>
      </c>
      <c r="D480" s="51">
        <f>SUM(receitas_recorrentes!B:B)+SUMIF(receitas_pontuais!E:E,B480,receitas_pontuais!B:B)</f>
        <v>56919</v>
      </c>
      <c r="E480" s="51">
        <f t="shared" si="2"/>
        <v>22906</v>
      </c>
      <c r="F480" s="53">
        <f>IFERROR(SUMIF(contas!G:G, B480, contas!B:B),0)</f>
        <v>0</v>
      </c>
      <c r="G480" s="51">
        <f>SUMIFS(previsoes!D:D, previsoes!E:E, "&lt;=" &amp; EOMONTH(DATEVALUE(B480&amp;"-01"),0), previsoes!F:F, "&gt;=" &amp; DATEVALUE(B480&amp;"-01"))</f>
        <v>0</v>
      </c>
      <c r="H480" s="52">
        <f t="shared" si="5"/>
        <v>160491.8958</v>
      </c>
      <c r="I480" s="49">
        <f t="shared" si="3"/>
        <v>22906</v>
      </c>
      <c r="J480" s="52">
        <f>IF(A480&lt;&gt;"",SUMIFS(metas!N:N, metas!E:E, "&gt;=" &amp; DATEVALUE(B480&amp;"-01"),metas!D:D, "&lt;=" &amp; DATEVALUE(B480&amp;"-01")),"")</f>
        <v>3182.813937</v>
      </c>
      <c r="K480" s="49">
        <f t="shared" si="4"/>
        <v>19723.18606</v>
      </c>
      <c r="L480" s="49">
        <f t="shared" si="6"/>
        <v>8811289.467</v>
      </c>
      <c r="M480" s="49">
        <f>IF(A480&lt;&gt;"",IF(COUNTIF(investimento!F:F, B480) &gt; 0, SUM(investimento!B:B)+I480, M479+I480),"")</f>
        <v>10754632.68</v>
      </c>
    </row>
    <row r="481" ht="22.5" customHeight="1">
      <c r="A481" s="47">
        <v>50530.0</v>
      </c>
      <c r="B481" s="48" t="str">
        <f t="shared" si="1"/>
        <v>2038-05</v>
      </c>
      <c r="C481" s="49">
        <f>SUMIF(despesas_recorrentes!C:C, "&gt;="&amp;A481,despesas_recorrentes!B:B) 
+SUMIF(despesas_recorrentes!C:C, "",despesas_recorrentes!B:B)
-despesas_recorrentes!$B$12
+IF(SUMIF(gasto_cartao!E:E,saldo!B481,gasto_cartao!B:B)&gt;despesas_recorrentes!$B$12, SUMIF(gasto_cartao!E:E,saldo!B481,gasto_cartao!B:B),despesas_recorrentes!$B$12)</f>
        <v>34013</v>
      </c>
      <c r="D481" s="51">
        <f>SUM(receitas_recorrentes!B:B)+SUMIF(receitas_pontuais!E:E,B481,receitas_pontuais!B:B)</f>
        <v>56919</v>
      </c>
      <c r="E481" s="51">
        <f t="shared" si="2"/>
        <v>22906</v>
      </c>
      <c r="F481" s="53">
        <f>IFERROR(SUMIF(contas!G:G, B481, contas!B:B),0)</f>
        <v>0</v>
      </c>
      <c r="G481" s="51">
        <f>SUMIFS(previsoes!D:D, previsoes!E:E, "&lt;=" &amp; EOMONTH(DATEVALUE(B481&amp;"-01"),0), previsoes!F:F, "&gt;=" &amp; DATEVALUE(B481&amp;"-01"))</f>
        <v>0</v>
      </c>
      <c r="H481" s="52">
        <f t="shared" si="5"/>
        <v>160491.8958</v>
      </c>
      <c r="I481" s="49">
        <f t="shared" si="3"/>
        <v>22906</v>
      </c>
      <c r="J481" s="52">
        <f>IF(A481&lt;&gt;"",SUMIFS(metas!N:N, metas!E:E, "&gt;=" &amp; DATEVALUE(B481&amp;"-01"),metas!D:D, "&lt;=" &amp; DATEVALUE(B481&amp;"-01")),"")</f>
        <v>3182.813937</v>
      </c>
      <c r="K481" s="49">
        <f t="shared" si="4"/>
        <v>19723.18606</v>
      </c>
      <c r="L481" s="49">
        <f t="shared" si="6"/>
        <v>8831012.653</v>
      </c>
      <c r="M481" s="49">
        <f>IF(A481&lt;&gt;"",IF(COUNTIF(investimento!F:F, B481) &gt; 0, SUM(investimento!B:B)+I481, M480+I481),"")</f>
        <v>10777538.68</v>
      </c>
    </row>
    <row r="482" ht="22.5" customHeight="1">
      <c r="A482" s="47">
        <v>50531.0</v>
      </c>
      <c r="B482" s="48" t="str">
        <f t="shared" si="1"/>
        <v>2038-05</v>
      </c>
      <c r="C482" s="49">
        <f>SUMIF(despesas_recorrentes!C:C, "&gt;="&amp;A482,despesas_recorrentes!B:B) 
+SUMIF(despesas_recorrentes!C:C, "",despesas_recorrentes!B:B)
-despesas_recorrentes!$B$12
+IF(SUMIF(gasto_cartao!E:E,saldo!B482,gasto_cartao!B:B)&gt;despesas_recorrentes!$B$12, SUMIF(gasto_cartao!E:E,saldo!B482,gasto_cartao!B:B),despesas_recorrentes!$B$12)</f>
        <v>34013</v>
      </c>
      <c r="D482" s="51">
        <f>SUM(receitas_recorrentes!B:B)+SUMIF(receitas_pontuais!E:E,B482,receitas_pontuais!B:B)</f>
        <v>56919</v>
      </c>
      <c r="E482" s="51">
        <f t="shared" si="2"/>
        <v>22906</v>
      </c>
      <c r="F482" s="53">
        <f>IFERROR(SUMIF(contas!G:G, B482, contas!B:B),0)</f>
        <v>0</v>
      </c>
      <c r="G482" s="51">
        <f>SUMIFS(previsoes!D:D, previsoes!E:E, "&lt;=" &amp; EOMONTH(DATEVALUE(B482&amp;"-01"),0), previsoes!F:F, "&gt;=" &amp; DATEVALUE(B482&amp;"-01"))</f>
        <v>0</v>
      </c>
      <c r="H482" s="52">
        <f t="shared" si="5"/>
        <v>160491.8958</v>
      </c>
      <c r="I482" s="49">
        <f t="shared" si="3"/>
        <v>22906</v>
      </c>
      <c r="J482" s="52">
        <f>IF(A482&lt;&gt;"",SUMIFS(metas!N:N, metas!E:E, "&gt;=" &amp; DATEVALUE(B482&amp;"-01"),metas!D:D, "&lt;=" &amp; DATEVALUE(B482&amp;"-01")),"")</f>
        <v>3182.813937</v>
      </c>
      <c r="K482" s="49">
        <f t="shared" si="4"/>
        <v>19723.18606</v>
      </c>
      <c r="L482" s="49">
        <f t="shared" si="6"/>
        <v>8850735.839</v>
      </c>
      <c r="M482" s="49">
        <f>IF(A482&lt;&gt;"",IF(COUNTIF(investimento!F:F, B482) &gt; 0, SUM(investimento!B:B)+I482, M481+I482),"")</f>
        <v>10800444.68</v>
      </c>
    </row>
    <row r="483" ht="22.5" customHeight="1">
      <c r="A483" s="47">
        <v>50532.0</v>
      </c>
      <c r="B483" s="48" t="str">
        <f t="shared" si="1"/>
        <v>2038-05</v>
      </c>
      <c r="C483" s="49">
        <f>SUMIF(despesas_recorrentes!C:C, "&gt;="&amp;A483,despesas_recorrentes!B:B) 
+SUMIF(despesas_recorrentes!C:C, "",despesas_recorrentes!B:B)
-despesas_recorrentes!$B$12
+IF(SUMIF(gasto_cartao!E:E,saldo!B483,gasto_cartao!B:B)&gt;despesas_recorrentes!$B$12, SUMIF(gasto_cartao!E:E,saldo!B483,gasto_cartao!B:B),despesas_recorrentes!$B$12)</f>
        <v>34013</v>
      </c>
      <c r="D483" s="51">
        <f>SUM(receitas_recorrentes!B:B)+SUMIF(receitas_pontuais!E:E,B483,receitas_pontuais!B:B)</f>
        <v>56919</v>
      </c>
      <c r="E483" s="51">
        <f t="shared" si="2"/>
        <v>22906</v>
      </c>
      <c r="F483" s="53">
        <f>IFERROR(SUMIF(contas!G:G, B483, contas!B:B),0)</f>
        <v>0</v>
      </c>
      <c r="G483" s="51">
        <f>SUMIFS(previsoes!D:D, previsoes!E:E, "&lt;=" &amp; EOMONTH(DATEVALUE(B483&amp;"-01"),0), previsoes!F:F, "&gt;=" &amp; DATEVALUE(B483&amp;"-01"))</f>
        <v>0</v>
      </c>
      <c r="H483" s="52">
        <f t="shared" si="5"/>
        <v>160491.8958</v>
      </c>
      <c r="I483" s="49">
        <f t="shared" si="3"/>
        <v>22906</v>
      </c>
      <c r="J483" s="52">
        <f>IF(A483&lt;&gt;"",SUMIFS(metas!N:N, metas!E:E, "&gt;=" &amp; DATEVALUE(B483&amp;"-01"),metas!D:D, "&lt;=" &amp; DATEVALUE(B483&amp;"-01")),"")</f>
        <v>3182.813937</v>
      </c>
      <c r="K483" s="49">
        <f t="shared" si="4"/>
        <v>19723.18606</v>
      </c>
      <c r="L483" s="49">
        <f t="shared" si="6"/>
        <v>8870459.025</v>
      </c>
      <c r="M483" s="49">
        <f>IF(A483&lt;&gt;"",IF(COUNTIF(investimento!F:F, B483) &gt; 0, SUM(investimento!B:B)+I483, M482+I483),"")</f>
        <v>10823350.68</v>
      </c>
    </row>
    <row r="484" ht="22.5" customHeight="1">
      <c r="A484" s="47">
        <v>50533.0</v>
      </c>
      <c r="B484" s="48" t="str">
        <f t="shared" si="1"/>
        <v>2038-05</v>
      </c>
      <c r="C484" s="49">
        <f>SUMIF(despesas_recorrentes!C:C, "&gt;="&amp;A484,despesas_recorrentes!B:B) 
+SUMIF(despesas_recorrentes!C:C, "",despesas_recorrentes!B:B)
-despesas_recorrentes!$B$12
+IF(SUMIF(gasto_cartao!E:E,saldo!B484,gasto_cartao!B:B)&gt;despesas_recorrentes!$B$12, SUMIF(gasto_cartao!E:E,saldo!B484,gasto_cartao!B:B),despesas_recorrentes!$B$12)</f>
        <v>34013</v>
      </c>
      <c r="D484" s="51">
        <f>SUM(receitas_recorrentes!B:B)+SUMIF(receitas_pontuais!E:E,B484,receitas_pontuais!B:B)</f>
        <v>56919</v>
      </c>
      <c r="E484" s="51">
        <f t="shared" si="2"/>
        <v>22906</v>
      </c>
      <c r="F484" s="53">
        <f>IFERROR(SUMIF(contas!G:G, B484, contas!B:B),0)</f>
        <v>0</v>
      </c>
      <c r="G484" s="51">
        <f>SUMIFS(previsoes!D:D, previsoes!E:E, "&lt;=" &amp; EOMONTH(DATEVALUE(B484&amp;"-01"),0), previsoes!F:F, "&gt;=" &amp; DATEVALUE(B484&amp;"-01"))</f>
        <v>0</v>
      </c>
      <c r="H484" s="52">
        <f t="shared" si="5"/>
        <v>160491.8958</v>
      </c>
      <c r="I484" s="49">
        <f t="shared" si="3"/>
        <v>22906</v>
      </c>
      <c r="J484" s="52">
        <f>IF(A484&lt;&gt;"",SUMIFS(metas!N:N, metas!E:E, "&gt;=" &amp; DATEVALUE(B484&amp;"-01"),metas!D:D, "&lt;=" &amp; DATEVALUE(B484&amp;"-01")),"")</f>
        <v>3182.813937</v>
      </c>
      <c r="K484" s="49">
        <f t="shared" si="4"/>
        <v>19723.18606</v>
      </c>
      <c r="L484" s="49">
        <f t="shared" si="6"/>
        <v>8890182.211</v>
      </c>
      <c r="M484" s="49">
        <f>IF(A484&lt;&gt;"",IF(COUNTIF(investimento!F:F, B484) &gt; 0, SUM(investimento!B:B)+I484, M483+I484),"")</f>
        <v>10846256.68</v>
      </c>
    </row>
    <row r="485" ht="22.5" customHeight="1">
      <c r="A485" s="47">
        <v>50534.0</v>
      </c>
      <c r="B485" s="48" t="str">
        <f t="shared" si="1"/>
        <v>2038-05</v>
      </c>
      <c r="C485" s="49">
        <f>SUMIF(despesas_recorrentes!C:C, "&gt;="&amp;A485,despesas_recorrentes!B:B) 
+SUMIF(despesas_recorrentes!C:C, "",despesas_recorrentes!B:B)
-despesas_recorrentes!$B$12
+IF(SUMIF(gasto_cartao!E:E,saldo!B485,gasto_cartao!B:B)&gt;despesas_recorrentes!$B$12, SUMIF(gasto_cartao!E:E,saldo!B485,gasto_cartao!B:B),despesas_recorrentes!$B$12)</f>
        <v>34013</v>
      </c>
      <c r="D485" s="51">
        <f>SUM(receitas_recorrentes!B:B)+SUMIF(receitas_pontuais!E:E,B485,receitas_pontuais!B:B)</f>
        <v>56919</v>
      </c>
      <c r="E485" s="51">
        <f t="shared" si="2"/>
        <v>22906</v>
      </c>
      <c r="F485" s="53">
        <f>IFERROR(SUMIF(contas!G:G, B485, contas!B:B),0)</f>
        <v>0</v>
      </c>
      <c r="G485" s="51">
        <f>SUMIFS(previsoes!D:D, previsoes!E:E, "&lt;=" &amp; EOMONTH(DATEVALUE(B485&amp;"-01"),0), previsoes!F:F, "&gt;=" &amp; DATEVALUE(B485&amp;"-01"))</f>
        <v>0</v>
      </c>
      <c r="H485" s="52">
        <f t="shared" si="5"/>
        <v>160491.8958</v>
      </c>
      <c r="I485" s="49">
        <f t="shared" si="3"/>
        <v>22906</v>
      </c>
      <c r="J485" s="52">
        <f>IF(A485&lt;&gt;"",SUMIFS(metas!N:N, metas!E:E, "&gt;=" &amp; DATEVALUE(B485&amp;"-01"),metas!D:D, "&lt;=" &amp; DATEVALUE(B485&amp;"-01")),"")</f>
        <v>3182.813937</v>
      </c>
      <c r="K485" s="49">
        <f t="shared" si="4"/>
        <v>19723.18606</v>
      </c>
      <c r="L485" s="49">
        <f t="shared" si="6"/>
        <v>8909905.397</v>
      </c>
      <c r="M485" s="49">
        <f>IF(A485&lt;&gt;"",IF(COUNTIF(investimento!F:F, B485) &gt; 0, SUM(investimento!B:B)+I485, M484+I485),"")</f>
        <v>10869162.68</v>
      </c>
    </row>
    <row r="486" ht="22.5" customHeight="1">
      <c r="A486" s="47">
        <v>50535.0</v>
      </c>
      <c r="B486" s="48" t="str">
        <f t="shared" si="1"/>
        <v>2038-05</v>
      </c>
      <c r="C486" s="49">
        <f>SUMIF(despesas_recorrentes!C:C, "&gt;="&amp;A486,despesas_recorrentes!B:B) 
+SUMIF(despesas_recorrentes!C:C, "",despesas_recorrentes!B:B)
-despesas_recorrentes!$B$12
+IF(SUMIF(gasto_cartao!E:E,saldo!B486,gasto_cartao!B:B)&gt;despesas_recorrentes!$B$12, SUMIF(gasto_cartao!E:E,saldo!B486,gasto_cartao!B:B),despesas_recorrentes!$B$12)</f>
        <v>34013</v>
      </c>
      <c r="D486" s="51">
        <f>SUM(receitas_recorrentes!B:B)+SUMIF(receitas_pontuais!E:E,B486,receitas_pontuais!B:B)</f>
        <v>56919</v>
      </c>
      <c r="E486" s="51">
        <f t="shared" si="2"/>
        <v>22906</v>
      </c>
      <c r="F486" s="53">
        <f>IFERROR(SUMIF(contas!G:G, B486, contas!B:B),0)</f>
        <v>0</v>
      </c>
      <c r="G486" s="51">
        <f>SUMIFS(previsoes!D:D, previsoes!E:E, "&lt;=" &amp; EOMONTH(DATEVALUE(B486&amp;"-01"),0), previsoes!F:F, "&gt;=" &amp; DATEVALUE(B486&amp;"-01"))</f>
        <v>0</v>
      </c>
      <c r="H486" s="52">
        <f t="shared" si="5"/>
        <v>160491.8958</v>
      </c>
      <c r="I486" s="49">
        <f t="shared" si="3"/>
        <v>22906</v>
      </c>
      <c r="J486" s="52">
        <f>IF(A486&lt;&gt;"",SUMIFS(metas!N:N, metas!E:E, "&gt;=" &amp; DATEVALUE(B486&amp;"-01"),metas!D:D, "&lt;=" &amp; DATEVALUE(B486&amp;"-01")),"")</f>
        <v>3182.813937</v>
      </c>
      <c r="K486" s="49">
        <f t="shared" si="4"/>
        <v>19723.18606</v>
      </c>
      <c r="L486" s="49">
        <f t="shared" si="6"/>
        <v>8929628.583</v>
      </c>
      <c r="M486" s="49">
        <f>IF(A486&lt;&gt;"",IF(COUNTIF(investimento!F:F, B486) &gt; 0, SUM(investimento!B:B)+I486, M485+I486),"")</f>
        <v>10892068.68</v>
      </c>
    </row>
    <row r="487" ht="22.5" customHeight="1">
      <c r="A487" s="47">
        <v>50536.0</v>
      </c>
      <c r="B487" s="48" t="str">
        <f t="shared" si="1"/>
        <v>2038-05</v>
      </c>
      <c r="C487" s="49">
        <f>SUMIF(despesas_recorrentes!C:C, "&gt;="&amp;A487,despesas_recorrentes!B:B) 
+SUMIF(despesas_recorrentes!C:C, "",despesas_recorrentes!B:B)
-despesas_recorrentes!$B$12
+IF(SUMIF(gasto_cartao!E:E,saldo!B487,gasto_cartao!B:B)&gt;despesas_recorrentes!$B$12, SUMIF(gasto_cartao!E:E,saldo!B487,gasto_cartao!B:B),despesas_recorrentes!$B$12)</f>
        <v>34013</v>
      </c>
      <c r="D487" s="51">
        <f>SUM(receitas_recorrentes!B:B)+SUMIF(receitas_pontuais!E:E,B487,receitas_pontuais!B:B)</f>
        <v>56919</v>
      </c>
      <c r="E487" s="51">
        <f t="shared" si="2"/>
        <v>22906</v>
      </c>
      <c r="F487" s="53">
        <f>IFERROR(SUMIF(contas!G:G, B487, contas!B:B),0)</f>
        <v>0</v>
      </c>
      <c r="G487" s="51">
        <f>SUMIFS(previsoes!D:D, previsoes!E:E, "&lt;=" &amp; EOMONTH(DATEVALUE(B487&amp;"-01"),0), previsoes!F:F, "&gt;=" &amp; DATEVALUE(B487&amp;"-01"))</f>
        <v>0</v>
      </c>
      <c r="H487" s="52">
        <f t="shared" si="5"/>
        <v>160491.8958</v>
      </c>
      <c r="I487" s="49">
        <f t="shared" si="3"/>
        <v>22906</v>
      </c>
      <c r="J487" s="52">
        <f>IF(A487&lt;&gt;"",SUMIFS(metas!N:N, metas!E:E, "&gt;=" &amp; DATEVALUE(B487&amp;"-01"),metas!D:D, "&lt;=" &amp; DATEVALUE(B487&amp;"-01")),"")</f>
        <v>3182.813937</v>
      </c>
      <c r="K487" s="49">
        <f t="shared" si="4"/>
        <v>19723.18606</v>
      </c>
      <c r="L487" s="49">
        <f t="shared" si="6"/>
        <v>8949351.769</v>
      </c>
      <c r="M487" s="49">
        <f>IF(A487&lt;&gt;"",IF(COUNTIF(investimento!F:F, B487) &gt; 0, SUM(investimento!B:B)+I487, M486+I487),"")</f>
        <v>10914974.68</v>
      </c>
    </row>
    <row r="488" ht="22.5" customHeight="1">
      <c r="A488" s="47">
        <v>50537.0</v>
      </c>
      <c r="B488" s="48" t="str">
        <f t="shared" si="1"/>
        <v>2038-05</v>
      </c>
      <c r="C488" s="49">
        <f>SUMIF(despesas_recorrentes!C:C, "&gt;="&amp;A488,despesas_recorrentes!B:B) 
+SUMIF(despesas_recorrentes!C:C, "",despesas_recorrentes!B:B)
-despesas_recorrentes!$B$12
+IF(SUMIF(gasto_cartao!E:E,saldo!B488,gasto_cartao!B:B)&gt;despesas_recorrentes!$B$12, SUMIF(gasto_cartao!E:E,saldo!B488,gasto_cartao!B:B),despesas_recorrentes!$B$12)</f>
        <v>34013</v>
      </c>
      <c r="D488" s="51">
        <f>SUM(receitas_recorrentes!B:B)+SUMIF(receitas_pontuais!E:E,B488,receitas_pontuais!B:B)</f>
        <v>56919</v>
      </c>
      <c r="E488" s="51">
        <f t="shared" si="2"/>
        <v>22906</v>
      </c>
      <c r="F488" s="53">
        <f>IFERROR(SUMIF(contas!G:G, B488, contas!B:B),0)</f>
        <v>0</v>
      </c>
      <c r="G488" s="51">
        <f>SUMIFS(previsoes!D:D, previsoes!E:E, "&lt;=" &amp; EOMONTH(DATEVALUE(B488&amp;"-01"),0), previsoes!F:F, "&gt;=" &amp; DATEVALUE(B488&amp;"-01"))</f>
        <v>0</v>
      </c>
      <c r="H488" s="52">
        <f t="shared" si="5"/>
        <v>160491.8958</v>
      </c>
      <c r="I488" s="49">
        <f t="shared" si="3"/>
        <v>22906</v>
      </c>
      <c r="J488" s="52">
        <f>IF(A488&lt;&gt;"",SUMIFS(metas!N:N, metas!E:E, "&gt;=" &amp; DATEVALUE(B488&amp;"-01"),metas!D:D, "&lt;=" &amp; DATEVALUE(B488&amp;"-01")),"")</f>
        <v>3182.813937</v>
      </c>
      <c r="K488" s="49">
        <f t="shared" si="4"/>
        <v>19723.18606</v>
      </c>
      <c r="L488" s="49">
        <f t="shared" si="6"/>
        <v>8969074.955</v>
      </c>
      <c r="M488" s="49">
        <f>IF(A488&lt;&gt;"",IF(COUNTIF(investimento!F:F, B488) &gt; 0, SUM(investimento!B:B)+I488, M487+I488),"")</f>
        <v>10937880.68</v>
      </c>
    </row>
    <row r="489" ht="22.5" customHeight="1">
      <c r="A489" s="47">
        <v>50538.0</v>
      </c>
      <c r="B489" s="48" t="str">
        <f t="shared" si="1"/>
        <v>2038-05</v>
      </c>
      <c r="C489" s="49">
        <f>SUMIF(despesas_recorrentes!C:C, "&gt;="&amp;A489,despesas_recorrentes!B:B) 
+SUMIF(despesas_recorrentes!C:C, "",despesas_recorrentes!B:B)
-despesas_recorrentes!$B$12
+IF(SUMIF(gasto_cartao!E:E,saldo!B489,gasto_cartao!B:B)&gt;despesas_recorrentes!$B$12, SUMIF(gasto_cartao!E:E,saldo!B489,gasto_cartao!B:B),despesas_recorrentes!$B$12)</f>
        <v>34013</v>
      </c>
      <c r="D489" s="51">
        <f>SUM(receitas_recorrentes!B:B)+SUMIF(receitas_pontuais!E:E,B489,receitas_pontuais!B:B)</f>
        <v>56919</v>
      </c>
      <c r="E489" s="51">
        <f t="shared" si="2"/>
        <v>22906</v>
      </c>
      <c r="F489" s="53">
        <f>IFERROR(SUMIF(contas!G:G, B489, contas!B:B),0)</f>
        <v>0</v>
      </c>
      <c r="G489" s="51">
        <f>SUMIFS(previsoes!D:D, previsoes!E:E, "&lt;=" &amp; EOMONTH(DATEVALUE(B489&amp;"-01"),0), previsoes!F:F, "&gt;=" &amp; DATEVALUE(B489&amp;"-01"))</f>
        <v>0</v>
      </c>
      <c r="H489" s="52">
        <f t="shared" si="5"/>
        <v>160491.8958</v>
      </c>
      <c r="I489" s="49">
        <f t="shared" si="3"/>
        <v>22906</v>
      </c>
      <c r="J489" s="52">
        <f>IF(A489&lt;&gt;"",SUMIFS(metas!N:N, metas!E:E, "&gt;=" &amp; DATEVALUE(B489&amp;"-01"),metas!D:D, "&lt;=" &amp; DATEVALUE(B489&amp;"-01")),"")</f>
        <v>3182.813937</v>
      </c>
      <c r="K489" s="49">
        <f t="shared" si="4"/>
        <v>19723.18606</v>
      </c>
      <c r="L489" s="49">
        <f t="shared" si="6"/>
        <v>8988798.141</v>
      </c>
      <c r="M489" s="49">
        <f>IF(A489&lt;&gt;"",IF(COUNTIF(investimento!F:F, B489) &gt; 0, SUM(investimento!B:B)+I489, M488+I489),"")</f>
        <v>10960786.68</v>
      </c>
    </row>
    <row r="490" ht="22.5" customHeight="1">
      <c r="A490" s="47">
        <v>50539.0</v>
      </c>
      <c r="B490" s="48" t="str">
        <f t="shared" si="1"/>
        <v>2038-05</v>
      </c>
      <c r="C490" s="49">
        <f>SUMIF(despesas_recorrentes!C:C, "&gt;="&amp;A490,despesas_recorrentes!B:B) 
+SUMIF(despesas_recorrentes!C:C, "",despesas_recorrentes!B:B)
-despesas_recorrentes!$B$12
+IF(SUMIF(gasto_cartao!E:E,saldo!B490,gasto_cartao!B:B)&gt;despesas_recorrentes!$B$12, SUMIF(gasto_cartao!E:E,saldo!B490,gasto_cartao!B:B),despesas_recorrentes!$B$12)</f>
        <v>34013</v>
      </c>
      <c r="D490" s="51">
        <f>SUM(receitas_recorrentes!B:B)+SUMIF(receitas_pontuais!E:E,B490,receitas_pontuais!B:B)</f>
        <v>56919</v>
      </c>
      <c r="E490" s="51">
        <f t="shared" si="2"/>
        <v>22906</v>
      </c>
      <c r="F490" s="53">
        <f>IFERROR(SUMIF(contas!G:G, B490, contas!B:B),0)</f>
        <v>0</v>
      </c>
      <c r="G490" s="51">
        <f>SUMIFS(previsoes!D:D, previsoes!E:E, "&lt;=" &amp; EOMONTH(DATEVALUE(B490&amp;"-01"),0), previsoes!F:F, "&gt;=" &amp; DATEVALUE(B490&amp;"-01"))</f>
        <v>0</v>
      </c>
      <c r="H490" s="52">
        <f t="shared" si="5"/>
        <v>160491.8958</v>
      </c>
      <c r="I490" s="49">
        <f t="shared" si="3"/>
        <v>22906</v>
      </c>
      <c r="J490" s="52">
        <f>IF(A490&lt;&gt;"",SUMIFS(metas!N:N, metas!E:E, "&gt;=" &amp; DATEVALUE(B490&amp;"-01"),metas!D:D, "&lt;=" &amp; DATEVALUE(B490&amp;"-01")),"")</f>
        <v>3182.813937</v>
      </c>
      <c r="K490" s="49">
        <f t="shared" si="4"/>
        <v>19723.18606</v>
      </c>
      <c r="L490" s="49">
        <f t="shared" si="6"/>
        <v>9008521.327</v>
      </c>
      <c r="M490" s="49">
        <f>IF(A490&lt;&gt;"",IF(COUNTIF(investimento!F:F, B490) &gt; 0, SUM(investimento!B:B)+I490, M489+I490),"")</f>
        <v>10983692.68</v>
      </c>
    </row>
    <row r="491" ht="22.5" customHeight="1">
      <c r="A491" s="47">
        <v>50540.0</v>
      </c>
      <c r="B491" s="48" t="str">
        <f t="shared" si="1"/>
        <v>2038-05</v>
      </c>
      <c r="C491" s="49">
        <f>SUMIF(despesas_recorrentes!C:C, "&gt;="&amp;A491,despesas_recorrentes!B:B) 
+SUMIF(despesas_recorrentes!C:C, "",despesas_recorrentes!B:B)
-despesas_recorrentes!$B$12
+IF(SUMIF(gasto_cartao!E:E,saldo!B491,gasto_cartao!B:B)&gt;despesas_recorrentes!$B$12, SUMIF(gasto_cartao!E:E,saldo!B491,gasto_cartao!B:B),despesas_recorrentes!$B$12)</f>
        <v>34013</v>
      </c>
      <c r="D491" s="51">
        <f>SUM(receitas_recorrentes!B:B)+SUMIF(receitas_pontuais!E:E,B491,receitas_pontuais!B:B)</f>
        <v>56919</v>
      </c>
      <c r="E491" s="51">
        <f t="shared" si="2"/>
        <v>22906</v>
      </c>
      <c r="F491" s="53">
        <f>IFERROR(SUMIF(contas!G:G, B491, contas!B:B),0)</f>
        <v>0</v>
      </c>
      <c r="G491" s="51">
        <f>SUMIFS(previsoes!D:D, previsoes!E:E, "&lt;=" &amp; EOMONTH(DATEVALUE(B491&amp;"-01"),0), previsoes!F:F, "&gt;=" &amp; DATEVALUE(B491&amp;"-01"))</f>
        <v>0</v>
      </c>
      <c r="H491" s="52">
        <f t="shared" si="5"/>
        <v>160491.8958</v>
      </c>
      <c r="I491" s="49">
        <f t="shared" si="3"/>
        <v>22906</v>
      </c>
      <c r="J491" s="52">
        <f>IF(A491&lt;&gt;"",SUMIFS(metas!N:N, metas!E:E, "&gt;=" &amp; DATEVALUE(B491&amp;"-01"),metas!D:D, "&lt;=" &amp; DATEVALUE(B491&amp;"-01")),"")</f>
        <v>3182.813937</v>
      </c>
      <c r="K491" s="49">
        <f t="shared" si="4"/>
        <v>19723.18606</v>
      </c>
      <c r="L491" s="49">
        <f t="shared" si="6"/>
        <v>9028244.513</v>
      </c>
      <c r="M491" s="49">
        <f>IF(A491&lt;&gt;"",IF(COUNTIF(investimento!F:F, B491) &gt; 0, SUM(investimento!B:B)+I491, M490+I491),"")</f>
        <v>11006598.68</v>
      </c>
    </row>
    <row r="492" ht="22.5" customHeight="1">
      <c r="A492" s="47">
        <v>50541.0</v>
      </c>
      <c r="B492" s="48" t="str">
        <f t="shared" si="1"/>
        <v>2038-05</v>
      </c>
      <c r="C492" s="49">
        <f>SUMIF(despesas_recorrentes!C:C, "&gt;="&amp;A492,despesas_recorrentes!B:B) 
+SUMIF(despesas_recorrentes!C:C, "",despesas_recorrentes!B:B)
-despesas_recorrentes!$B$12
+IF(SUMIF(gasto_cartao!E:E,saldo!B492,gasto_cartao!B:B)&gt;despesas_recorrentes!$B$12, SUMIF(gasto_cartao!E:E,saldo!B492,gasto_cartao!B:B),despesas_recorrentes!$B$12)</f>
        <v>34013</v>
      </c>
      <c r="D492" s="51">
        <f>SUM(receitas_recorrentes!B:B)+SUMIF(receitas_pontuais!E:E,B492,receitas_pontuais!B:B)</f>
        <v>56919</v>
      </c>
      <c r="E492" s="51">
        <f t="shared" si="2"/>
        <v>22906</v>
      </c>
      <c r="F492" s="53">
        <f>IFERROR(SUMIF(contas!G:G, B492, contas!B:B),0)</f>
        <v>0</v>
      </c>
      <c r="G492" s="51">
        <f>SUMIFS(previsoes!D:D, previsoes!E:E, "&lt;=" &amp; EOMONTH(DATEVALUE(B492&amp;"-01"),0), previsoes!F:F, "&gt;=" &amp; DATEVALUE(B492&amp;"-01"))</f>
        <v>0</v>
      </c>
      <c r="H492" s="52">
        <f t="shared" si="5"/>
        <v>160491.8958</v>
      </c>
      <c r="I492" s="49">
        <f t="shared" si="3"/>
        <v>22906</v>
      </c>
      <c r="J492" s="52">
        <f>IF(A492&lt;&gt;"",SUMIFS(metas!N:N, metas!E:E, "&gt;=" &amp; DATEVALUE(B492&amp;"-01"),metas!D:D, "&lt;=" &amp; DATEVALUE(B492&amp;"-01")),"")</f>
        <v>3182.813937</v>
      </c>
      <c r="K492" s="49">
        <f t="shared" si="4"/>
        <v>19723.18606</v>
      </c>
      <c r="L492" s="49">
        <f t="shared" si="6"/>
        <v>9047967.7</v>
      </c>
      <c r="M492" s="49">
        <f>IF(A492&lt;&gt;"",IF(COUNTIF(investimento!F:F, B492) &gt; 0, SUM(investimento!B:B)+I492, M491+I492),"")</f>
        <v>11029504.68</v>
      </c>
    </row>
    <row r="493" ht="22.5" customHeight="1">
      <c r="A493" s="47">
        <v>50542.0</v>
      </c>
      <c r="B493" s="48" t="str">
        <f t="shared" si="1"/>
        <v>2038-05</v>
      </c>
      <c r="C493" s="49">
        <f>SUMIF(despesas_recorrentes!C:C, "&gt;="&amp;A493,despesas_recorrentes!B:B) 
+SUMIF(despesas_recorrentes!C:C, "",despesas_recorrentes!B:B)
-despesas_recorrentes!$B$12
+IF(SUMIF(gasto_cartao!E:E,saldo!B493,gasto_cartao!B:B)&gt;despesas_recorrentes!$B$12, SUMIF(gasto_cartao!E:E,saldo!B493,gasto_cartao!B:B),despesas_recorrentes!$B$12)</f>
        <v>34013</v>
      </c>
      <c r="D493" s="51">
        <f>SUM(receitas_recorrentes!B:B)+SUMIF(receitas_pontuais!E:E,B493,receitas_pontuais!B:B)</f>
        <v>56919</v>
      </c>
      <c r="E493" s="51">
        <f t="shared" si="2"/>
        <v>22906</v>
      </c>
      <c r="F493" s="53">
        <f>IFERROR(SUMIF(contas!G:G, B493, contas!B:B),0)</f>
        <v>0</v>
      </c>
      <c r="G493" s="51">
        <f>SUMIFS(previsoes!D:D, previsoes!E:E, "&lt;=" &amp; EOMONTH(DATEVALUE(B493&amp;"-01"),0), previsoes!F:F, "&gt;=" &amp; DATEVALUE(B493&amp;"-01"))</f>
        <v>0</v>
      </c>
      <c r="H493" s="52">
        <f t="shared" si="5"/>
        <v>160491.8958</v>
      </c>
      <c r="I493" s="49">
        <f t="shared" si="3"/>
        <v>22906</v>
      </c>
      <c r="J493" s="52">
        <f>IF(A493&lt;&gt;"",SUMIFS(metas!N:N, metas!E:E, "&gt;=" &amp; DATEVALUE(B493&amp;"-01"),metas!D:D, "&lt;=" &amp; DATEVALUE(B493&amp;"-01")),"")</f>
        <v>3182.813937</v>
      </c>
      <c r="K493" s="49">
        <f t="shared" si="4"/>
        <v>19723.18606</v>
      </c>
      <c r="L493" s="49">
        <f t="shared" si="6"/>
        <v>9067690.886</v>
      </c>
      <c r="M493" s="49">
        <f>IF(A493&lt;&gt;"",IF(COUNTIF(investimento!F:F, B493) &gt; 0, SUM(investimento!B:B)+I493, M492+I493),"")</f>
        <v>11052410.68</v>
      </c>
    </row>
    <row r="494" ht="22.5" customHeight="1">
      <c r="A494" s="47">
        <v>50543.0</v>
      </c>
      <c r="B494" s="48" t="str">
        <f t="shared" si="1"/>
        <v>2038-05</v>
      </c>
      <c r="C494" s="49">
        <f>SUMIF(despesas_recorrentes!C:C, "&gt;="&amp;A494,despesas_recorrentes!B:B) 
+SUMIF(despesas_recorrentes!C:C, "",despesas_recorrentes!B:B)
-despesas_recorrentes!$B$12
+IF(SUMIF(gasto_cartao!E:E,saldo!B494,gasto_cartao!B:B)&gt;despesas_recorrentes!$B$12, SUMIF(gasto_cartao!E:E,saldo!B494,gasto_cartao!B:B),despesas_recorrentes!$B$12)</f>
        <v>34013</v>
      </c>
      <c r="D494" s="51">
        <f>SUM(receitas_recorrentes!B:B)+SUMIF(receitas_pontuais!E:E,B494,receitas_pontuais!B:B)</f>
        <v>56919</v>
      </c>
      <c r="E494" s="51">
        <f t="shared" si="2"/>
        <v>22906</v>
      </c>
      <c r="F494" s="53">
        <f>IFERROR(SUMIF(contas!G:G, B494, contas!B:B),0)</f>
        <v>0</v>
      </c>
      <c r="G494" s="51">
        <f>SUMIFS(previsoes!D:D, previsoes!E:E, "&lt;=" &amp; EOMONTH(DATEVALUE(B494&amp;"-01"),0), previsoes!F:F, "&gt;=" &amp; DATEVALUE(B494&amp;"-01"))</f>
        <v>0</v>
      </c>
      <c r="H494" s="52">
        <f t="shared" si="5"/>
        <v>160491.8958</v>
      </c>
      <c r="I494" s="49">
        <f t="shared" si="3"/>
        <v>22906</v>
      </c>
      <c r="J494" s="52">
        <f>IF(A494&lt;&gt;"",SUMIFS(metas!N:N, metas!E:E, "&gt;=" &amp; DATEVALUE(B494&amp;"-01"),metas!D:D, "&lt;=" &amp; DATEVALUE(B494&amp;"-01")),"")</f>
        <v>3182.813937</v>
      </c>
      <c r="K494" s="49">
        <f t="shared" si="4"/>
        <v>19723.18606</v>
      </c>
      <c r="L494" s="49">
        <f t="shared" si="6"/>
        <v>9087414.072</v>
      </c>
      <c r="M494" s="49">
        <f>IF(A494&lt;&gt;"",IF(COUNTIF(investimento!F:F, B494) &gt; 0, SUM(investimento!B:B)+I494, M493+I494),"")</f>
        <v>11075316.68</v>
      </c>
    </row>
    <row r="495" ht="22.5" customHeight="1">
      <c r="A495" s="47">
        <v>50544.0</v>
      </c>
      <c r="B495" s="48" t="str">
        <f t="shared" si="1"/>
        <v>2038-05</v>
      </c>
      <c r="C495" s="49">
        <f>SUMIF(despesas_recorrentes!C:C, "&gt;="&amp;A495,despesas_recorrentes!B:B) 
+SUMIF(despesas_recorrentes!C:C, "",despesas_recorrentes!B:B)
-despesas_recorrentes!$B$12
+IF(SUMIF(gasto_cartao!E:E,saldo!B495,gasto_cartao!B:B)&gt;despesas_recorrentes!$B$12, SUMIF(gasto_cartao!E:E,saldo!B495,gasto_cartao!B:B),despesas_recorrentes!$B$12)</f>
        <v>34013</v>
      </c>
      <c r="D495" s="51">
        <f>SUM(receitas_recorrentes!B:B)+SUMIF(receitas_pontuais!E:E,B495,receitas_pontuais!B:B)</f>
        <v>56919</v>
      </c>
      <c r="E495" s="51">
        <f t="shared" si="2"/>
        <v>22906</v>
      </c>
      <c r="F495" s="53">
        <f>IFERROR(SUMIF(contas!G:G, B495, contas!B:B),0)</f>
        <v>0</v>
      </c>
      <c r="G495" s="51">
        <f>SUMIFS(previsoes!D:D, previsoes!E:E, "&lt;=" &amp; EOMONTH(DATEVALUE(B495&amp;"-01"),0), previsoes!F:F, "&gt;=" &amp; DATEVALUE(B495&amp;"-01"))</f>
        <v>0</v>
      </c>
      <c r="H495" s="52">
        <f t="shared" si="5"/>
        <v>160491.8958</v>
      </c>
      <c r="I495" s="49">
        <f t="shared" si="3"/>
        <v>22906</v>
      </c>
      <c r="J495" s="52">
        <f>IF(A495&lt;&gt;"",SUMIFS(metas!N:N, metas!E:E, "&gt;=" &amp; DATEVALUE(B495&amp;"-01"),metas!D:D, "&lt;=" &amp; DATEVALUE(B495&amp;"-01")),"")</f>
        <v>3182.813937</v>
      </c>
      <c r="K495" s="49">
        <f t="shared" si="4"/>
        <v>19723.18606</v>
      </c>
      <c r="L495" s="49">
        <f t="shared" si="6"/>
        <v>9107137.258</v>
      </c>
      <c r="M495" s="49">
        <f>IF(A495&lt;&gt;"",IF(COUNTIF(investimento!F:F, B495) &gt; 0, SUM(investimento!B:B)+I495, M494+I495),"")</f>
        <v>11098222.68</v>
      </c>
    </row>
    <row r="496" ht="22.5" customHeight="1">
      <c r="A496" s="47">
        <v>50545.0</v>
      </c>
      <c r="B496" s="48" t="str">
        <f t="shared" si="1"/>
        <v>2038-05</v>
      </c>
      <c r="C496" s="49">
        <f>SUMIF(despesas_recorrentes!C:C, "&gt;="&amp;A496,despesas_recorrentes!B:B) 
+SUMIF(despesas_recorrentes!C:C, "",despesas_recorrentes!B:B)
-despesas_recorrentes!$B$12
+IF(SUMIF(gasto_cartao!E:E,saldo!B496,gasto_cartao!B:B)&gt;despesas_recorrentes!$B$12, SUMIF(gasto_cartao!E:E,saldo!B496,gasto_cartao!B:B),despesas_recorrentes!$B$12)</f>
        <v>34013</v>
      </c>
      <c r="D496" s="51">
        <f>SUM(receitas_recorrentes!B:B)+SUMIF(receitas_pontuais!E:E,B496,receitas_pontuais!B:B)</f>
        <v>56919</v>
      </c>
      <c r="E496" s="51">
        <f t="shared" si="2"/>
        <v>22906</v>
      </c>
      <c r="F496" s="53">
        <f>IFERROR(SUMIF(contas!G:G, B496, contas!B:B),0)</f>
        <v>0</v>
      </c>
      <c r="G496" s="51">
        <f>SUMIFS(previsoes!D:D, previsoes!E:E, "&lt;=" &amp; EOMONTH(DATEVALUE(B496&amp;"-01"),0), previsoes!F:F, "&gt;=" &amp; DATEVALUE(B496&amp;"-01"))</f>
        <v>0</v>
      </c>
      <c r="H496" s="52">
        <f t="shared" si="5"/>
        <v>160491.8958</v>
      </c>
      <c r="I496" s="49">
        <f t="shared" si="3"/>
        <v>22906</v>
      </c>
      <c r="J496" s="52">
        <f>IF(A496&lt;&gt;"",SUMIFS(metas!N:N, metas!E:E, "&gt;=" &amp; DATEVALUE(B496&amp;"-01"),metas!D:D, "&lt;=" &amp; DATEVALUE(B496&amp;"-01")),"")</f>
        <v>3182.813937</v>
      </c>
      <c r="K496" s="49">
        <f t="shared" si="4"/>
        <v>19723.18606</v>
      </c>
      <c r="L496" s="49">
        <f t="shared" si="6"/>
        <v>9126860.444</v>
      </c>
      <c r="M496" s="49">
        <f>IF(A496&lt;&gt;"",IF(COUNTIF(investimento!F:F, B496) &gt; 0, SUM(investimento!B:B)+I496, M495+I496),"")</f>
        <v>11121128.68</v>
      </c>
    </row>
    <row r="497" ht="22.5" customHeight="1">
      <c r="A497" s="47">
        <v>50546.0</v>
      </c>
      <c r="B497" s="48" t="str">
        <f t="shared" si="1"/>
        <v>2038-05</v>
      </c>
      <c r="C497" s="49">
        <f>SUMIF(despesas_recorrentes!C:C, "&gt;="&amp;A497,despesas_recorrentes!B:B) 
+SUMIF(despesas_recorrentes!C:C, "",despesas_recorrentes!B:B)
-despesas_recorrentes!$B$12
+IF(SUMIF(gasto_cartao!E:E,saldo!B497,gasto_cartao!B:B)&gt;despesas_recorrentes!$B$12, SUMIF(gasto_cartao!E:E,saldo!B497,gasto_cartao!B:B),despesas_recorrentes!$B$12)</f>
        <v>34013</v>
      </c>
      <c r="D497" s="51">
        <f>SUM(receitas_recorrentes!B:B)+SUMIF(receitas_pontuais!E:E,B497,receitas_pontuais!B:B)</f>
        <v>56919</v>
      </c>
      <c r="E497" s="51">
        <f t="shared" si="2"/>
        <v>22906</v>
      </c>
      <c r="F497" s="53">
        <f>IFERROR(SUMIF(contas!G:G, B497, contas!B:B),0)</f>
        <v>0</v>
      </c>
      <c r="G497" s="51">
        <f>SUMIFS(previsoes!D:D, previsoes!E:E, "&lt;=" &amp; EOMONTH(DATEVALUE(B497&amp;"-01"),0), previsoes!F:F, "&gt;=" &amp; DATEVALUE(B497&amp;"-01"))</f>
        <v>0</v>
      </c>
      <c r="H497" s="52">
        <f t="shared" si="5"/>
        <v>160491.8958</v>
      </c>
      <c r="I497" s="49">
        <f t="shared" si="3"/>
        <v>22906</v>
      </c>
      <c r="J497" s="52">
        <f>IF(A497&lt;&gt;"",SUMIFS(metas!N:N, metas!E:E, "&gt;=" &amp; DATEVALUE(B497&amp;"-01"),metas!D:D, "&lt;=" &amp; DATEVALUE(B497&amp;"-01")),"")</f>
        <v>3182.813937</v>
      </c>
      <c r="K497" s="49">
        <f t="shared" si="4"/>
        <v>19723.18606</v>
      </c>
      <c r="L497" s="49">
        <f t="shared" si="6"/>
        <v>9146583.63</v>
      </c>
      <c r="M497" s="49">
        <f>IF(A497&lt;&gt;"",IF(COUNTIF(investimento!F:F, B497) &gt; 0, SUM(investimento!B:B)+I497, M496+I497),"")</f>
        <v>11144034.68</v>
      </c>
    </row>
    <row r="498" ht="22.5" customHeight="1">
      <c r="A498" s="47">
        <v>50547.0</v>
      </c>
      <c r="B498" s="48" t="str">
        <f t="shared" si="1"/>
        <v>2038-05</v>
      </c>
      <c r="C498" s="49">
        <f>SUMIF(despesas_recorrentes!C:C, "&gt;="&amp;A498,despesas_recorrentes!B:B) 
+SUMIF(despesas_recorrentes!C:C, "",despesas_recorrentes!B:B)
-despesas_recorrentes!$B$12
+IF(SUMIF(gasto_cartao!E:E,saldo!B498,gasto_cartao!B:B)&gt;despesas_recorrentes!$B$12, SUMIF(gasto_cartao!E:E,saldo!B498,gasto_cartao!B:B),despesas_recorrentes!$B$12)</f>
        <v>34013</v>
      </c>
      <c r="D498" s="51">
        <f>SUM(receitas_recorrentes!B:B)+SUMIF(receitas_pontuais!E:E,B498,receitas_pontuais!B:B)</f>
        <v>56919</v>
      </c>
      <c r="E498" s="51">
        <f t="shared" si="2"/>
        <v>22906</v>
      </c>
      <c r="F498" s="53">
        <f>IFERROR(SUMIF(contas!G:G, B498, contas!B:B),0)</f>
        <v>0</v>
      </c>
      <c r="G498" s="51">
        <f>SUMIFS(previsoes!D:D, previsoes!E:E, "&lt;=" &amp; EOMONTH(DATEVALUE(B498&amp;"-01"),0), previsoes!F:F, "&gt;=" &amp; DATEVALUE(B498&amp;"-01"))</f>
        <v>0</v>
      </c>
      <c r="H498" s="52">
        <f t="shared" si="5"/>
        <v>160491.8958</v>
      </c>
      <c r="I498" s="49">
        <f t="shared" si="3"/>
        <v>22906</v>
      </c>
      <c r="J498" s="52">
        <f>IF(A498&lt;&gt;"",SUMIFS(metas!N:N, metas!E:E, "&gt;=" &amp; DATEVALUE(B498&amp;"-01"),metas!D:D, "&lt;=" &amp; DATEVALUE(B498&amp;"-01")),"")</f>
        <v>3182.813937</v>
      </c>
      <c r="K498" s="49">
        <f t="shared" si="4"/>
        <v>19723.18606</v>
      </c>
      <c r="L498" s="49">
        <f t="shared" si="6"/>
        <v>9166306.816</v>
      </c>
      <c r="M498" s="49">
        <f>IF(A498&lt;&gt;"",IF(COUNTIF(investimento!F:F, B498) &gt; 0, SUM(investimento!B:B)+I498, M497+I498),"")</f>
        <v>11166940.68</v>
      </c>
    </row>
    <row r="499" ht="22.5" customHeight="1">
      <c r="A499" s="47">
        <v>50548.0</v>
      </c>
      <c r="B499" s="48" t="str">
        <f t="shared" si="1"/>
        <v>2038-05</v>
      </c>
      <c r="C499" s="49">
        <f>SUMIF(despesas_recorrentes!C:C, "&gt;="&amp;A499,despesas_recorrentes!B:B) 
+SUMIF(despesas_recorrentes!C:C, "",despesas_recorrentes!B:B)
-despesas_recorrentes!$B$12
+IF(SUMIF(gasto_cartao!E:E,saldo!B499,gasto_cartao!B:B)&gt;despesas_recorrentes!$B$12, SUMIF(gasto_cartao!E:E,saldo!B499,gasto_cartao!B:B),despesas_recorrentes!$B$12)</f>
        <v>34013</v>
      </c>
      <c r="D499" s="51">
        <f>SUM(receitas_recorrentes!B:B)+SUMIF(receitas_pontuais!E:E,B499,receitas_pontuais!B:B)</f>
        <v>56919</v>
      </c>
      <c r="E499" s="51">
        <f t="shared" si="2"/>
        <v>22906</v>
      </c>
      <c r="F499" s="53">
        <f>IFERROR(SUMIF(contas!G:G, B499, contas!B:B),0)</f>
        <v>0</v>
      </c>
      <c r="G499" s="51">
        <f>SUMIFS(previsoes!D:D, previsoes!E:E, "&lt;=" &amp; EOMONTH(DATEVALUE(B499&amp;"-01"),0), previsoes!F:F, "&gt;=" &amp; DATEVALUE(B499&amp;"-01"))</f>
        <v>0</v>
      </c>
      <c r="H499" s="52">
        <f t="shared" si="5"/>
        <v>160491.8958</v>
      </c>
      <c r="I499" s="49">
        <f t="shared" si="3"/>
        <v>22906</v>
      </c>
      <c r="J499" s="52">
        <f>IF(A499&lt;&gt;"",SUMIFS(metas!N:N, metas!E:E, "&gt;=" &amp; DATEVALUE(B499&amp;"-01"),metas!D:D, "&lt;=" &amp; DATEVALUE(B499&amp;"-01")),"")</f>
        <v>3182.813937</v>
      </c>
      <c r="K499" s="49">
        <f t="shared" si="4"/>
        <v>19723.18606</v>
      </c>
      <c r="L499" s="49">
        <f t="shared" si="6"/>
        <v>9186030.002</v>
      </c>
      <c r="M499" s="49">
        <f>IF(A499&lt;&gt;"",IF(COUNTIF(investimento!F:F, B499) &gt; 0, SUM(investimento!B:B)+I499, M498+I499),"")</f>
        <v>11189846.68</v>
      </c>
    </row>
    <row r="500" ht="22.5" customHeight="1">
      <c r="A500" s="47">
        <v>50549.0</v>
      </c>
      <c r="B500" s="48" t="str">
        <f t="shared" si="1"/>
        <v>2038-05</v>
      </c>
      <c r="C500" s="49">
        <f>SUMIF(despesas_recorrentes!C:C, "&gt;="&amp;A500,despesas_recorrentes!B:B) 
+SUMIF(despesas_recorrentes!C:C, "",despesas_recorrentes!B:B)
-despesas_recorrentes!$B$12
+IF(SUMIF(gasto_cartao!E:E,saldo!B500,gasto_cartao!B:B)&gt;despesas_recorrentes!$B$12, SUMIF(gasto_cartao!E:E,saldo!B500,gasto_cartao!B:B),despesas_recorrentes!$B$12)</f>
        <v>34013</v>
      </c>
      <c r="D500" s="51">
        <f>SUM(receitas_recorrentes!B:B)+SUMIF(receitas_pontuais!E:E,B500,receitas_pontuais!B:B)</f>
        <v>56919</v>
      </c>
      <c r="E500" s="51">
        <f t="shared" si="2"/>
        <v>22906</v>
      </c>
      <c r="F500" s="53">
        <f>IFERROR(SUMIF(contas!G:G, B500, contas!B:B),0)</f>
        <v>0</v>
      </c>
      <c r="G500" s="51">
        <f>SUMIFS(previsoes!D:D, previsoes!E:E, "&lt;=" &amp; EOMONTH(DATEVALUE(B500&amp;"-01"),0), previsoes!F:F, "&gt;=" &amp; DATEVALUE(B500&amp;"-01"))</f>
        <v>0</v>
      </c>
      <c r="H500" s="52">
        <f t="shared" si="5"/>
        <v>160491.8958</v>
      </c>
      <c r="I500" s="49">
        <f t="shared" si="3"/>
        <v>22906</v>
      </c>
      <c r="J500" s="52">
        <f>IF(A500&lt;&gt;"",SUMIFS(metas!N:N, metas!E:E, "&gt;=" &amp; DATEVALUE(B500&amp;"-01"),metas!D:D, "&lt;=" &amp; DATEVALUE(B500&amp;"-01")),"")</f>
        <v>3182.813937</v>
      </c>
      <c r="K500" s="49">
        <f t="shared" si="4"/>
        <v>19723.18606</v>
      </c>
      <c r="L500" s="49">
        <f t="shared" si="6"/>
        <v>9205753.188</v>
      </c>
      <c r="M500" s="49">
        <f>IF(A500&lt;&gt;"",IF(COUNTIF(investimento!F:F, B500) &gt; 0, SUM(investimento!B:B)+I500, M499+I500),"")</f>
        <v>11212752.68</v>
      </c>
    </row>
    <row r="501" ht="22.5" customHeight="1">
      <c r="A501" s="47">
        <v>50550.0</v>
      </c>
      <c r="B501" s="48" t="str">
        <f t="shared" si="1"/>
        <v>2038-05</v>
      </c>
      <c r="C501" s="49">
        <f>SUMIF(despesas_recorrentes!C:C, "&gt;="&amp;A501,despesas_recorrentes!B:B) 
+SUMIF(despesas_recorrentes!C:C, "",despesas_recorrentes!B:B)
-despesas_recorrentes!$B$12
+IF(SUMIF(gasto_cartao!E:E,saldo!B501,gasto_cartao!B:B)&gt;despesas_recorrentes!$B$12, SUMIF(gasto_cartao!E:E,saldo!B501,gasto_cartao!B:B),despesas_recorrentes!$B$12)</f>
        <v>34013</v>
      </c>
      <c r="D501" s="51">
        <f>SUM(receitas_recorrentes!B:B)+SUMIF(receitas_pontuais!E:E,B501,receitas_pontuais!B:B)</f>
        <v>56919</v>
      </c>
      <c r="E501" s="51">
        <f t="shared" si="2"/>
        <v>22906</v>
      </c>
      <c r="F501" s="53">
        <f>IFERROR(SUMIF(contas!G:G, B501, contas!B:B),0)</f>
        <v>0</v>
      </c>
      <c r="G501" s="51">
        <f>SUMIFS(previsoes!D:D, previsoes!E:E, "&lt;=" &amp; EOMONTH(DATEVALUE(B501&amp;"-01"),0), previsoes!F:F, "&gt;=" &amp; DATEVALUE(B501&amp;"-01"))</f>
        <v>0</v>
      </c>
      <c r="H501" s="52">
        <f t="shared" si="5"/>
        <v>160491.8958</v>
      </c>
      <c r="I501" s="49">
        <f t="shared" si="3"/>
        <v>22906</v>
      </c>
      <c r="J501" s="52">
        <f>IF(A501&lt;&gt;"",SUMIFS(metas!N:N, metas!E:E, "&gt;=" &amp; DATEVALUE(B501&amp;"-01"),metas!D:D, "&lt;=" &amp; DATEVALUE(B501&amp;"-01")),"")</f>
        <v>3182.813937</v>
      </c>
      <c r="K501" s="49">
        <f t="shared" si="4"/>
        <v>19723.18606</v>
      </c>
      <c r="L501" s="49">
        <f t="shared" si="6"/>
        <v>9225476.374</v>
      </c>
      <c r="M501" s="49">
        <f>IF(A501&lt;&gt;"",IF(COUNTIF(investimento!F:F, B501) &gt; 0, SUM(investimento!B:B)+I501, M500+I501),"")</f>
        <v>11235658.68</v>
      </c>
    </row>
    <row r="502" ht="22.5" customHeight="1">
      <c r="A502" s="47">
        <v>50551.0</v>
      </c>
      <c r="B502" s="48" t="str">
        <f t="shared" si="1"/>
        <v>2038-05</v>
      </c>
      <c r="C502" s="49">
        <f>SUMIF(despesas_recorrentes!C:C, "&gt;="&amp;A502,despesas_recorrentes!B:B) 
+SUMIF(despesas_recorrentes!C:C, "",despesas_recorrentes!B:B)
-despesas_recorrentes!$B$12
+IF(SUMIF(gasto_cartao!E:E,saldo!B502,gasto_cartao!B:B)&gt;despesas_recorrentes!$B$12, SUMIF(gasto_cartao!E:E,saldo!B502,gasto_cartao!B:B),despesas_recorrentes!$B$12)</f>
        <v>34013</v>
      </c>
      <c r="D502" s="51">
        <f>SUM(receitas_recorrentes!B:B)+SUMIF(receitas_pontuais!E:E,B502,receitas_pontuais!B:B)</f>
        <v>56919</v>
      </c>
      <c r="E502" s="51">
        <f t="shared" si="2"/>
        <v>22906</v>
      </c>
      <c r="F502" s="53">
        <f>IFERROR(SUMIF(contas!G:G, B502, contas!B:B),0)</f>
        <v>0</v>
      </c>
      <c r="G502" s="51">
        <f>SUMIFS(previsoes!D:D, previsoes!E:E, "&lt;=" &amp; EOMONTH(DATEVALUE(B502&amp;"-01"),0), previsoes!F:F, "&gt;=" &amp; DATEVALUE(B502&amp;"-01"))</f>
        <v>0</v>
      </c>
      <c r="H502" s="52">
        <f t="shared" si="5"/>
        <v>160491.8958</v>
      </c>
      <c r="I502" s="49">
        <f t="shared" si="3"/>
        <v>22906</v>
      </c>
      <c r="J502" s="52">
        <f>IF(A502&lt;&gt;"",SUMIFS(metas!N:N, metas!E:E, "&gt;=" &amp; DATEVALUE(B502&amp;"-01"),metas!D:D, "&lt;=" &amp; DATEVALUE(B502&amp;"-01")),"")</f>
        <v>3182.813937</v>
      </c>
      <c r="K502" s="49">
        <f t="shared" si="4"/>
        <v>19723.18606</v>
      </c>
      <c r="L502" s="49">
        <f t="shared" si="6"/>
        <v>9245199.56</v>
      </c>
      <c r="M502" s="49">
        <f>IF(A502&lt;&gt;"",IF(COUNTIF(investimento!F:F, B502) &gt; 0, SUM(investimento!B:B)+I502, M501+I502),"")</f>
        <v>11258564.68</v>
      </c>
    </row>
    <row r="503" ht="22.5" customHeight="1">
      <c r="A503" s="47">
        <v>50552.0</v>
      </c>
      <c r="B503" s="48" t="str">
        <f t="shared" si="1"/>
        <v>2038-05</v>
      </c>
      <c r="C503" s="49">
        <f>SUMIF(despesas_recorrentes!C:C, "&gt;="&amp;A503,despesas_recorrentes!B:B) 
+SUMIF(despesas_recorrentes!C:C, "",despesas_recorrentes!B:B)
-despesas_recorrentes!$B$12
+IF(SUMIF(gasto_cartao!E:E,saldo!B503,gasto_cartao!B:B)&gt;despesas_recorrentes!$B$12, SUMIF(gasto_cartao!E:E,saldo!B503,gasto_cartao!B:B),despesas_recorrentes!$B$12)</f>
        <v>34013</v>
      </c>
      <c r="D503" s="51">
        <f>SUM(receitas_recorrentes!B:B)+SUMIF(receitas_pontuais!E:E,B503,receitas_pontuais!B:B)</f>
        <v>56919</v>
      </c>
      <c r="E503" s="51">
        <f t="shared" si="2"/>
        <v>22906</v>
      </c>
      <c r="F503" s="53">
        <f>IFERROR(SUMIF(contas!G:G, B503, contas!B:B),0)</f>
        <v>0</v>
      </c>
      <c r="G503" s="51">
        <f>SUMIFS(previsoes!D:D, previsoes!E:E, "&lt;=" &amp; EOMONTH(DATEVALUE(B503&amp;"-01"),0), previsoes!F:F, "&gt;=" &amp; DATEVALUE(B503&amp;"-01"))</f>
        <v>0</v>
      </c>
      <c r="H503" s="52">
        <f t="shared" si="5"/>
        <v>160491.8958</v>
      </c>
      <c r="I503" s="49">
        <f t="shared" si="3"/>
        <v>22906</v>
      </c>
      <c r="J503" s="52">
        <f>IF(A503&lt;&gt;"",SUMIFS(metas!N:N, metas!E:E, "&gt;=" &amp; DATEVALUE(B503&amp;"-01"),metas!D:D, "&lt;=" &amp; DATEVALUE(B503&amp;"-01")),"")</f>
        <v>3182.813937</v>
      </c>
      <c r="K503" s="49">
        <f t="shared" si="4"/>
        <v>19723.18606</v>
      </c>
      <c r="L503" s="49">
        <f t="shared" si="6"/>
        <v>9264922.746</v>
      </c>
      <c r="M503" s="49">
        <f>IF(A503&lt;&gt;"",IF(COUNTIF(investimento!F:F, B503) &gt; 0, SUM(investimento!B:B)+I503, M502+I503),"")</f>
        <v>11281470.68</v>
      </c>
    </row>
    <row r="504" ht="22.5" customHeight="1">
      <c r="A504" s="47">
        <v>50553.0</v>
      </c>
      <c r="B504" s="48" t="str">
        <f t="shared" si="1"/>
        <v>2038-05</v>
      </c>
      <c r="C504" s="49">
        <f>SUMIF(despesas_recorrentes!C:C, "&gt;="&amp;A504,despesas_recorrentes!B:B) 
+SUMIF(despesas_recorrentes!C:C, "",despesas_recorrentes!B:B)
-despesas_recorrentes!$B$12
+IF(SUMIF(gasto_cartao!E:E,saldo!B504,gasto_cartao!B:B)&gt;despesas_recorrentes!$B$12, SUMIF(gasto_cartao!E:E,saldo!B504,gasto_cartao!B:B),despesas_recorrentes!$B$12)</f>
        <v>34013</v>
      </c>
      <c r="D504" s="51">
        <f>SUM(receitas_recorrentes!B:B)+SUMIF(receitas_pontuais!E:E,B504,receitas_pontuais!B:B)</f>
        <v>56919</v>
      </c>
      <c r="E504" s="51">
        <f t="shared" si="2"/>
        <v>22906</v>
      </c>
      <c r="F504" s="53">
        <f>IFERROR(SUMIF(contas!G:G, B504, contas!B:B),0)</f>
        <v>0</v>
      </c>
      <c r="G504" s="51">
        <f>SUMIFS(previsoes!D:D, previsoes!E:E, "&lt;=" &amp; EOMONTH(DATEVALUE(B504&amp;"-01"),0), previsoes!F:F, "&gt;=" &amp; DATEVALUE(B504&amp;"-01"))</f>
        <v>0</v>
      </c>
      <c r="H504" s="52">
        <f t="shared" si="5"/>
        <v>160491.8958</v>
      </c>
      <c r="I504" s="49">
        <f t="shared" si="3"/>
        <v>22906</v>
      </c>
      <c r="J504" s="52">
        <f>IF(A504&lt;&gt;"",SUMIFS(metas!N:N, metas!E:E, "&gt;=" &amp; DATEVALUE(B504&amp;"-01"),metas!D:D, "&lt;=" &amp; DATEVALUE(B504&amp;"-01")),"")</f>
        <v>3182.813937</v>
      </c>
      <c r="K504" s="49">
        <f t="shared" si="4"/>
        <v>19723.18606</v>
      </c>
      <c r="L504" s="49">
        <f t="shared" si="6"/>
        <v>9284645.932</v>
      </c>
      <c r="M504" s="49">
        <f>IF(A504&lt;&gt;"",IF(COUNTIF(investimento!F:F, B504) &gt; 0, SUM(investimento!B:B)+I504, M503+I504),"")</f>
        <v>11304376.68</v>
      </c>
    </row>
    <row r="505" ht="22.5" customHeight="1">
      <c r="A505" s="47">
        <v>50554.0</v>
      </c>
      <c r="B505" s="48" t="str">
        <f t="shared" si="1"/>
        <v>2038-05</v>
      </c>
      <c r="C505" s="49">
        <f>SUMIF(despesas_recorrentes!C:C, "&gt;="&amp;A505,despesas_recorrentes!B:B) 
+SUMIF(despesas_recorrentes!C:C, "",despesas_recorrentes!B:B)
-despesas_recorrentes!$B$12
+IF(SUMIF(gasto_cartao!E:E,saldo!B505,gasto_cartao!B:B)&gt;despesas_recorrentes!$B$12, SUMIF(gasto_cartao!E:E,saldo!B505,gasto_cartao!B:B),despesas_recorrentes!$B$12)</f>
        <v>34013</v>
      </c>
      <c r="D505" s="51">
        <f>SUM(receitas_recorrentes!B:B)+SUMIF(receitas_pontuais!E:E,B505,receitas_pontuais!B:B)</f>
        <v>56919</v>
      </c>
      <c r="E505" s="51">
        <f t="shared" si="2"/>
        <v>22906</v>
      </c>
      <c r="F505" s="53">
        <f>IFERROR(SUMIF(contas!G:G, B505, contas!B:B),0)</f>
        <v>0</v>
      </c>
      <c r="G505" s="51">
        <f>SUMIFS(previsoes!D:D, previsoes!E:E, "&lt;=" &amp; EOMONTH(DATEVALUE(B505&amp;"-01"),0), previsoes!F:F, "&gt;=" &amp; DATEVALUE(B505&amp;"-01"))</f>
        <v>0</v>
      </c>
      <c r="H505" s="52">
        <f t="shared" si="5"/>
        <v>160491.8958</v>
      </c>
      <c r="I505" s="49">
        <f t="shared" si="3"/>
        <v>22906</v>
      </c>
      <c r="J505" s="52">
        <f>IF(A505&lt;&gt;"",SUMIFS(metas!N:N, metas!E:E, "&gt;=" &amp; DATEVALUE(B505&amp;"-01"),metas!D:D, "&lt;=" &amp; DATEVALUE(B505&amp;"-01")),"")</f>
        <v>3182.813937</v>
      </c>
      <c r="K505" s="49">
        <f t="shared" si="4"/>
        <v>19723.18606</v>
      </c>
      <c r="L505" s="49">
        <f t="shared" si="6"/>
        <v>9304369.118</v>
      </c>
      <c r="M505" s="49">
        <f>IF(A505&lt;&gt;"",IF(COUNTIF(investimento!F:F, B505) &gt; 0, SUM(investimento!B:B)+I505, M504+I505),"")</f>
        <v>11327282.68</v>
      </c>
    </row>
    <row r="506" ht="22.5" customHeight="1">
      <c r="A506" s="47">
        <v>50555.0</v>
      </c>
      <c r="B506" s="48" t="str">
        <f t="shared" si="1"/>
        <v>2038-05</v>
      </c>
      <c r="C506" s="49">
        <f>SUMIF(despesas_recorrentes!C:C, "&gt;="&amp;A506,despesas_recorrentes!B:B) 
+SUMIF(despesas_recorrentes!C:C, "",despesas_recorrentes!B:B)
-despesas_recorrentes!$B$12
+IF(SUMIF(gasto_cartao!E:E,saldo!B506,gasto_cartao!B:B)&gt;despesas_recorrentes!$B$12, SUMIF(gasto_cartao!E:E,saldo!B506,gasto_cartao!B:B),despesas_recorrentes!$B$12)</f>
        <v>34013</v>
      </c>
      <c r="D506" s="51">
        <f>SUM(receitas_recorrentes!B:B)+SUMIF(receitas_pontuais!E:E,B506,receitas_pontuais!B:B)</f>
        <v>56919</v>
      </c>
      <c r="E506" s="51">
        <f t="shared" si="2"/>
        <v>22906</v>
      </c>
      <c r="F506" s="53">
        <f>IFERROR(SUMIF(contas!G:G, B506, contas!B:B),0)</f>
        <v>0</v>
      </c>
      <c r="G506" s="51">
        <f>SUMIFS(previsoes!D:D, previsoes!E:E, "&lt;=" &amp; EOMONTH(DATEVALUE(B506&amp;"-01"),0), previsoes!F:F, "&gt;=" &amp; DATEVALUE(B506&amp;"-01"))</f>
        <v>0</v>
      </c>
      <c r="H506" s="52">
        <f t="shared" si="5"/>
        <v>160491.8958</v>
      </c>
      <c r="I506" s="49">
        <f t="shared" si="3"/>
        <v>22906</v>
      </c>
      <c r="J506" s="52">
        <f>IF(A506&lt;&gt;"",SUMIFS(metas!N:N, metas!E:E, "&gt;=" &amp; DATEVALUE(B506&amp;"-01"),metas!D:D, "&lt;=" &amp; DATEVALUE(B506&amp;"-01")),"")</f>
        <v>3182.813937</v>
      </c>
      <c r="K506" s="49">
        <f t="shared" si="4"/>
        <v>19723.18606</v>
      </c>
      <c r="L506" s="49">
        <f t="shared" si="6"/>
        <v>9324092.304</v>
      </c>
      <c r="M506" s="49">
        <f>IF(A506&lt;&gt;"",IF(COUNTIF(investimento!F:F, B506) &gt; 0, SUM(investimento!B:B)+I506, M505+I506),"")</f>
        <v>11350188.68</v>
      </c>
    </row>
    <row r="507" ht="22.5" customHeight="1">
      <c r="A507" s="47">
        <v>50556.0</v>
      </c>
      <c r="B507" s="48" t="str">
        <f t="shared" si="1"/>
        <v>2038-05</v>
      </c>
      <c r="C507" s="49">
        <f>SUMIF(despesas_recorrentes!C:C, "&gt;="&amp;A507,despesas_recorrentes!B:B) 
+SUMIF(despesas_recorrentes!C:C, "",despesas_recorrentes!B:B)
-despesas_recorrentes!$B$12
+IF(SUMIF(gasto_cartao!E:E,saldo!B507,gasto_cartao!B:B)&gt;despesas_recorrentes!$B$12, SUMIF(gasto_cartao!E:E,saldo!B507,gasto_cartao!B:B),despesas_recorrentes!$B$12)</f>
        <v>34013</v>
      </c>
      <c r="D507" s="51">
        <f>SUM(receitas_recorrentes!B:B)+SUMIF(receitas_pontuais!E:E,B507,receitas_pontuais!B:B)</f>
        <v>56919</v>
      </c>
      <c r="E507" s="51">
        <f t="shared" si="2"/>
        <v>22906</v>
      </c>
      <c r="F507" s="53">
        <f>IFERROR(SUMIF(contas!G:G, B507, contas!B:B),0)</f>
        <v>0</v>
      </c>
      <c r="G507" s="51">
        <f>SUMIFS(previsoes!D:D, previsoes!E:E, "&lt;=" &amp; EOMONTH(DATEVALUE(B507&amp;"-01"),0), previsoes!F:F, "&gt;=" &amp; DATEVALUE(B507&amp;"-01"))</f>
        <v>0</v>
      </c>
      <c r="H507" s="52">
        <f t="shared" si="5"/>
        <v>160491.8958</v>
      </c>
      <c r="I507" s="49">
        <f t="shared" si="3"/>
        <v>22906</v>
      </c>
      <c r="J507" s="52">
        <f>IF(A507&lt;&gt;"",SUMIFS(metas!N:N, metas!E:E, "&gt;=" &amp; DATEVALUE(B507&amp;"-01"),metas!D:D, "&lt;=" &amp; DATEVALUE(B507&amp;"-01")),"")</f>
        <v>3182.813937</v>
      </c>
      <c r="K507" s="49">
        <f t="shared" si="4"/>
        <v>19723.18606</v>
      </c>
      <c r="L507" s="49">
        <f t="shared" si="6"/>
        <v>9343815.49</v>
      </c>
      <c r="M507" s="49">
        <f>IF(A507&lt;&gt;"",IF(COUNTIF(investimento!F:F, B507) &gt; 0, SUM(investimento!B:B)+I507, M506+I507),"")</f>
        <v>11373094.68</v>
      </c>
    </row>
    <row r="508" ht="22.5" customHeight="1">
      <c r="A508" s="47">
        <v>50557.0</v>
      </c>
      <c r="B508" s="48" t="str">
        <f t="shared" si="1"/>
        <v>2038-06</v>
      </c>
      <c r="C508" s="49">
        <f>SUMIF(despesas_recorrentes!C:C, "&gt;="&amp;A508,despesas_recorrentes!B:B) 
+SUMIF(despesas_recorrentes!C:C, "",despesas_recorrentes!B:B)
-despesas_recorrentes!$B$12
+IF(SUMIF(gasto_cartao!E:E,saldo!B508,gasto_cartao!B:B)&gt;despesas_recorrentes!$B$12, SUMIF(gasto_cartao!E:E,saldo!B508,gasto_cartao!B:B),despesas_recorrentes!$B$12)</f>
        <v>34013</v>
      </c>
      <c r="D508" s="51">
        <f>SUM(receitas_recorrentes!B:B)+SUMIF(receitas_pontuais!E:E,B508,receitas_pontuais!B:B)</f>
        <v>56919</v>
      </c>
      <c r="E508" s="51">
        <f t="shared" si="2"/>
        <v>22906</v>
      </c>
      <c r="F508" s="53">
        <f>IFERROR(SUMIF(contas!G:G, B508, contas!B:B),0)</f>
        <v>0</v>
      </c>
      <c r="G508" s="51">
        <f>SUMIFS(previsoes!D:D, previsoes!E:E, "&lt;=" &amp; EOMONTH(DATEVALUE(B508&amp;"-01"),0), previsoes!F:F, "&gt;=" &amp; DATEVALUE(B508&amp;"-01"))</f>
        <v>0</v>
      </c>
      <c r="H508" s="52">
        <f t="shared" si="5"/>
        <v>160491.8958</v>
      </c>
      <c r="I508" s="49">
        <f t="shared" si="3"/>
        <v>22906</v>
      </c>
      <c r="J508" s="52">
        <f>IF(A508&lt;&gt;"",SUMIFS(metas!N:N, metas!E:E, "&gt;=" &amp; DATEVALUE(B508&amp;"-01"),metas!D:D, "&lt;=" &amp; DATEVALUE(B508&amp;"-01")),"")</f>
        <v>3182.813937</v>
      </c>
      <c r="K508" s="49">
        <f t="shared" si="4"/>
        <v>19723.18606</v>
      </c>
      <c r="L508" s="49">
        <f t="shared" si="6"/>
        <v>9363538.677</v>
      </c>
      <c r="M508" s="49">
        <f>IF(A508&lt;&gt;"",IF(COUNTIF(investimento!F:F, B508) &gt; 0, SUM(investimento!B:B)+I508, M507+I508),"")</f>
        <v>11396000.68</v>
      </c>
    </row>
    <row r="509" ht="22.5" customHeight="1">
      <c r="A509" s="47">
        <v>50558.0</v>
      </c>
      <c r="B509" s="48" t="str">
        <f t="shared" si="1"/>
        <v>2038-06</v>
      </c>
      <c r="C509" s="49">
        <f>SUMIF(despesas_recorrentes!C:C, "&gt;="&amp;A509,despesas_recorrentes!B:B) 
+SUMIF(despesas_recorrentes!C:C, "",despesas_recorrentes!B:B)
-despesas_recorrentes!$B$12
+IF(SUMIF(gasto_cartao!E:E,saldo!B509,gasto_cartao!B:B)&gt;despesas_recorrentes!$B$12, SUMIF(gasto_cartao!E:E,saldo!B509,gasto_cartao!B:B),despesas_recorrentes!$B$12)</f>
        <v>34013</v>
      </c>
      <c r="D509" s="51">
        <f>SUM(receitas_recorrentes!B:B)+SUMIF(receitas_pontuais!E:E,B509,receitas_pontuais!B:B)</f>
        <v>56919</v>
      </c>
      <c r="E509" s="51">
        <f t="shared" si="2"/>
        <v>22906</v>
      </c>
      <c r="F509" s="53">
        <f>IFERROR(SUMIF(contas!G:G, B509, contas!B:B),0)</f>
        <v>0</v>
      </c>
      <c r="G509" s="51">
        <f>SUMIFS(previsoes!D:D, previsoes!E:E, "&lt;=" &amp; EOMONTH(DATEVALUE(B509&amp;"-01"),0), previsoes!F:F, "&gt;=" &amp; DATEVALUE(B509&amp;"-01"))</f>
        <v>0</v>
      </c>
      <c r="H509" s="52">
        <f t="shared" si="5"/>
        <v>160491.8958</v>
      </c>
      <c r="I509" s="49">
        <f t="shared" si="3"/>
        <v>22906</v>
      </c>
      <c r="J509" s="52">
        <f>IF(A509&lt;&gt;"",SUMIFS(metas!N:N, metas!E:E, "&gt;=" &amp; DATEVALUE(B509&amp;"-01"),metas!D:D, "&lt;=" &amp; DATEVALUE(B509&amp;"-01")),"")</f>
        <v>3182.813937</v>
      </c>
      <c r="K509" s="49">
        <f t="shared" si="4"/>
        <v>19723.18606</v>
      </c>
      <c r="L509" s="49">
        <f t="shared" si="6"/>
        <v>9383261.863</v>
      </c>
      <c r="M509" s="49">
        <f>IF(A509&lt;&gt;"",IF(COUNTIF(investimento!F:F, B509) &gt; 0, SUM(investimento!B:B)+I509, M508+I509),"")</f>
        <v>11418906.68</v>
      </c>
    </row>
    <row r="510" ht="22.5" customHeight="1">
      <c r="A510" s="47">
        <v>50559.0</v>
      </c>
      <c r="B510" s="48" t="str">
        <f t="shared" si="1"/>
        <v>2038-06</v>
      </c>
      <c r="C510" s="49">
        <f>SUMIF(despesas_recorrentes!C:C, "&gt;="&amp;A510,despesas_recorrentes!B:B) 
+SUMIF(despesas_recorrentes!C:C, "",despesas_recorrentes!B:B)
-despesas_recorrentes!$B$12
+IF(SUMIF(gasto_cartao!E:E,saldo!B510,gasto_cartao!B:B)&gt;despesas_recorrentes!$B$12, SUMIF(gasto_cartao!E:E,saldo!B510,gasto_cartao!B:B),despesas_recorrentes!$B$12)</f>
        <v>34013</v>
      </c>
      <c r="D510" s="51">
        <f>SUM(receitas_recorrentes!B:B)+SUMIF(receitas_pontuais!E:E,B510,receitas_pontuais!B:B)</f>
        <v>56919</v>
      </c>
      <c r="E510" s="51">
        <f t="shared" si="2"/>
        <v>22906</v>
      </c>
      <c r="F510" s="53">
        <f>IFERROR(SUMIF(contas!G:G, B510, contas!B:B),0)</f>
        <v>0</v>
      </c>
      <c r="G510" s="51">
        <f>SUMIFS(previsoes!D:D, previsoes!E:E, "&lt;=" &amp; EOMONTH(DATEVALUE(B510&amp;"-01"),0), previsoes!F:F, "&gt;=" &amp; DATEVALUE(B510&amp;"-01"))</f>
        <v>0</v>
      </c>
      <c r="H510" s="52">
        <f t="shared" si="5"/>
        <v>160491.8958</v>
      </c>
      <c r="I510" s="49">
        <f t="shared" si="3"/>
        <v>22906</v>
      </c>
      <c r="J510" s="52">
        <f>IF(A510&lt;&gt;"",SUMIFS(metas!N:N, metas!E:E, "&gt;=" &amp; DATEVALUE(B510&amp;"-01"),metas!D:D, "&lt;=" &amp; DATEVALUE(B510&amp;"-01")),"")</f>
        <v>3182.813937</v>
      </c>
      <c r="K510" s="49">
        <f t="shared" si="4"/>
        <v>19723.18606</v>
      </c>
      <c r="L510" s="49">
        <f t="shared" si="6"/>
        <v>9402985.049</v>
      </c>
      <c r="M510" s="49">
        <f>IF(A510&lt;&gt;"",IF(COUNTIF(investimento!F:F, B510) &gt; 0, SUM(investimento!B:B)+I510, M509+I510),"")</f>
        <v>11441812.68</v>
      </c>
    </row>
    <row r="511" ht="22.5" customHeight="1">
      <c r="A511" s="47">
        <v>50560.0</v>
      </c>
      <c r="B511" s="48" t="str">
        <f t="shared" si="1"/>
        <v>2038-06</v>
      </c>
      <c r="C511" s="49">
        <f>SUMIF(despesas_recorrentes!C:C, "&gt;="&amp;A511,despesas_recorrentes!B:B) 
+SUMIF(despesas_recorrentes!C:C, "",despesas_recorrentes!B:B)
-despesas_recorrentes!$B$12
+IF(SUMIF(gasto_cartao!E:E,saldo!B511,gasto_cartao!B:B)&gt;despesas_recorrentes!$B$12, SUMIF(gasto_cartao!E:E,saldo!B511,gasto_cartao!B:B),despesas_recorrentes!$B$12)</f>
        <v>34013</v>
      </c>
      <c r="D511" s="51">
        <f>SUM(receitas_recorrentes!B:B)+SUMIF(receitas_pontuais!E:E,B511,receitas_pontuais!B:B)</f>
        <v>56919</v>
      </c>
      <c r="E511" s="51">
        <f t="shared" si="2"/>
        <v>22906</v>
      </c>
      <c r="F511" s="53">
        <f>IFERROR(SUMIF(contas!G:G, B511, contas!B:B),0)</f>
        <v>0</v>
      </c>
      <c r="G511" s="51">
        <f>SUMIFS(previsoes!D:D, previsoes!E:E, "&lt;=" &amp; EOMONTH(DATEVALUE(B511&amp;"-01"),0), previsoes!F:F, "&gt;=" &amp; DATEVALUE(B511&amp;"-01"))</f>
        <v>0</v>
      </c>
      <c r="H511" s="52">
        <f t="shared" si="5"/>
        <v>160491.8958</v>
      </c>
      <c r="I511" s="49">
        <f t="shared" si="3"/>
        <v>22906</v>
      </c>
      <c r="J511" s="52">
        <f>IF(A511&lt;&gt;"",SUMIFS(metas!N:N, metas!E:E, "&gt;=" &amp; DATEVALUE(B511&amp;"-01"),metas!D:D, "&lt;=" &amp; DATEVALUE(B511&amp;"-01")),"")</f>
        <v>3182.813937</v>
      </c>
      <c r="K511" s="49">
        <f t="shared" si="4"/>
        <v>19723.18606</v>
      </c>
      <c r="L511" s="49">
        <f t="shared" si="6"/>
        <v>9422708.235</v>
      </c>
      <c r="M511" s="49">
        <f>IF(A511&lt;&gt;"",IF(COUNTIF(investimento!F:F, B511) &gt; 0, SUM(investimento!B:B)+I511, M510+I511),"")</f>
        <v>11464718.68</v>
      </c>
    </row>
    <row r="512" ht="22.5" customHeight="1">
      <c r="A512" s="47">
        <v>50561.0</v>
      </c>
      <c r="B512" s="48" t="str">
        <f t="shared" si="1"/>
        <v>2038-06</v>
      </c>
      <c r="C512" s="49">
        <f>SUMIF(despesas_recorrentes!C:C, "&gt;="&amp;A512,despesas_recorrentes!B:B) 
+SUMIF(despesas_recorrentes!C:C, "",despesas_recorrentes!B:B)
-despesas_recorrentes!$B$12
+IF(SUMIF(gasto_cartao!E:E,saldo!B512,gasto_cartao!B:B)&gt;despesas_recorrentes!$B$12, SUMIF(gasto_cartao!E:E,saldo!B512,gasto_cartao!B:B),despesas_recorrentes!$B$12)</f>
        <v>34013</v>
      </c>
      <c r="D512" s="51">
        <f>SUM(receitas_recorrentes!B:B)+SUMIF(receitas_pontuais!E:E,B512,receitas_pontuais!B:B)</f>
        <v>56919</v>
      </c>
      <c r="E512" s="51">
        <f t="shared" si="2"/>
        <v>22906</v>
      </c>
      <c r="F512" s="53">
        <f>IFERROR(SUMIF(contas!G:G, B512, contas!B:B),0)</f>
        <v>0</v>
      </c>
      <c r="G512" s="51">
        <f>SUMIFS(previsoes!D:D, previsoes!E:E, "&lt;=" &amp; EOMONTH(DATEVALUE(B512&amp;"-01"),0), previsoes!F:F, "&gt;=" &amp; DATEVALUE(B512&amp;"-01"))</f>
        <v>0</v>
      </c>
      <c r="H512" s="52">
        <f t="shared" si="5"/>
        <v>160491.8958</v>
      </c>
      <c r="I512" s="49">
        <f t="shared" si="3"/>
        <v>22906</v>
      </c>
      <c r="J512" s="52">
        <f>IF(A512&lt;&gt;"",SUMIFS(metas!N:N, metas!E:E, "&gt;=" &amp; DATEVALUE(B512&amp;"-01"),metas!D:D, "&lt;=" &amp; DATEVALUE(B512&amp;"-01")),"")</f>
        <v>3182.813937</v>
      </c>
      <c r="K512" s="49">
        <f t="shared" si="4"/>
        <v>19723.18606</v>
      </c>
      <c r="L512" s="49">
        <f t="shared" si="6"/>
        <v>9442431.421</v>
      </c>
      <c r="M512" s="49">
        <f>IF(A512&lt;&gt;"",IF(COUNTIF(investimento!F:F, B512) &gt; 0, SUM(investimento!B:B)+I512, M511+I512),"")</f>
        <v>11487624.68</v>
      </c>
    </row>
    <row r="513" ht="22.5" customHeight="1">
      <c r="A513" s="47">
        <v>50562.0</v>
      </c>
      <c r="B513" s="48" t="str">
        <f t="shared" si="1"/>
        <v>2038-06</v>
      </c>
      <c r="C513" s="49">
        <f>SUMIF(despesas_recorrentes!C:C, "&gt;="&amp;A513,despesas_recorrentes!B:B) 
+SUMIF(despesas_recorrentes!C:C, "",despesas_recorrentes!B:B)
-despesas_recorrentes!$B$12
+IF(SUMIF(gasto_cartao!E:E,saldo!B513,gasto_cartao!B:B)&gt;despesas_recorrentes!$B$12, SUMIF(gasto_cartao!E:E,saldo!B513,gasto_cartao!B:B),despesas_recorrentes!$B$12)</f>
        <v>34013</v>
      </c>
      <c r="D513" s="51">
        <f>SUM(receitas_recorrentes!B:B)+SUMIF(receitas_pontuais!E:E,B513,receitas_pontuais!B:B)</f>
        <v>56919</v>
      </c>
      <c r="E513" s="51">
        <f t="shared" si="2"/>
        <v>22906</v>
      </c>
      <c r="F513" s="53">
        <f>IFERROR(SUMIF(contas!G:G, B513, contas!B:B),0)</f>
        <v>0</v>
      </c>
      <c r="G513" s="51">
        <f>SUMIFS(previsoes!D:D, previsoes!E:E, "&lt;=" &amp; EOMONTH(DATEVALUE(B513&amp;"-01"),0), previsoes!F:F, "&gt;=" &amp; DATEVALUE(B513&amp;"-01"))</f>
        <v>0</v>
      </c>
      <c r="H513" s="52">
        <f t="shared" si="5"/>
        <v>160491.8958</v>
      </c>
      <c r="I513" s="49">
        <f t="shared" si="3"/>
        <v>22906</v>
      </c>
      <c r="J513" s="52">
        <f>IF(A513&lt;&gt;"",SUMIFS(metas!N:N, metas!E:E, "&gt;=" &amp; DATEVALUE(B513&amp;"-01"),metas!D:D, "&lt;=" &amp; DATEVALUE(B513&amp;"-01")),"")</f>
        <v>3182.813937</v>
      </c>
      <c r="K513" s="49">
        <f t="shared" si="4"/>
        <v>19723.18606</v>
      </c>
      <c r="L513" s="49">
        <f t="shared" si="6"/>
        <v>9462154.607</v>
      </c>
      <c r="M513" s="49">
        <f>IF(A513&lt;&gt;"",IF(COUNTIF(investimento!F:F, B513) &gt; 0, SUM(investimento!B:B)+I513, M512+I513),"")</f>
        <v>11510530.68</v>
      </c>
    </row>
    <row r="514" ht="22.5" customHeight="1">
      <c r="A514" s="47">
        <v>50563.0</v>
      </c>
      <c r="B514" s="48" t="str">
        <f t="shared" si="1"/>
        <v>2038-06</v>
      </c>
      <c r="C514" s="49">
        <f>SUMIF(despesas_recorrentes!C:C, "&gt;="&amp;A514,despesas_recorrentes!B:B) 
+SUMIF(despesas_recorrentes!C:C, "",despesas_recorrentes!B:B)
-despesas_recorrentes!$B$12
+IF(SUMIF(gasto_cartao!E:E,saldo!B514,gasto_cartao!B:B)&gt;despesas_recorrentes!$B$12, SUMIF(gasto_cartao!E:E,saldo!B514,gasto_cartao!B:B),despesas_recorrentes!$B$12)</f>
        <v>34013</v>
      </c>
      <c r="D514" s="51">
        <f>SUM(receitas_recorrentes!B:B)+SUMIF(receitas_pontuais!E:E,B514,receitas_pontuais!B:B)</f>
        <v>56919</v>
      </c>
      <c r="E514" s="51">
        <f t="shared" si="2"/>
        <v>22906</v>
      </c>
      <c r="F514" s="53">
        <f>IFERROR(SUMIF(contas!G:G, B514, contas!B:B),0)</f>
        <v>0</v>
      </c>
      <c r="G514" s="51">
        <f>SUMIFS(previsoes!D:D, previsoes!E:E, "&lt;=" &amp; EOMONTH(DATEVALUE(B514&amp;"-01"),0), previsoes!F:F, "&gt;=" &amp; DATEVALUE(B514&amp;"-01"))</f>
        <v>0</v>
      </c>
      <c r="H514" s="52">
        <f t="shared" si="5"/>
        <v>160491.8958</v>
      </c>
      <c r="I514" s="49">
        <f t="shared" si="3"/>
        <v>22906</v>
      </c>
      <c r="J514" s="52">
        <f>IF(A514&lt;&gt;"",SUMIFS(metas!N:N, metas!E:E, "&gt;=" &amp; DATEVALUE(B514&amp;"-01"),metas!D:D, "&lt;=" &amp; DATEVALUE(B514&amp;"-01")),"")</f>
        <v>3182.813937</v>
      </c>
      <c r="K514" s="49">
        <f t="shared" si="4"/>
        <v>19723.18606</v>
      </c>
      <c r="L514" s="49">
        <f t="shared" si="6"/>
        <v>9481877.793</v>
      </c>
      <c r="M514" s="49">
        <f>IF(A514&lt;&gt;"",IF(COUNTIF(investimento!F:F, B514) &gt; 0, SUM(investimento!B:B)+I514, M513+I514),"")</f>
        <v>11533436.68</v>
      </c>
    </row>
    <row r="515" ht="22.5" customHeight="1">
      <c r="A515" s="47">
        <v>50564.0</v>
      </c>
      <c r="B515" s="48" t="str">
        <f t="shared" si="1"/>
        <v>2038-06</v>
      </c>
      <c r="C515" s="49">
        <f>SUMIF(despesas_recorrentes!C:C, "&gt;="&amp;A515,despesas_recorrentes!B:B) 
+SUMIF(despesas_recorrentes!C:C, "",despesas_recorrentes!B:B)
-despesas_recorrentes!$B$12
+IF(SUMIF(gasto_cartao!E:E,saldo!B515,gasto_cartao!B:B)&gt;despesas_recorrentes!$B$12, SUMIF(gasto_cartao!E:E,saldo!B515,gasto_cartao!B:B),despesas_recorrentes!$B$12)</f>
        <v>34013</v>
      </c>
      <c r="D515" s="51">
        <f>SUM(receitas_recorrentes!B:B)+SUMIF(receitas_pontuais!E:E,B515,receitas_pontuais!B:B)</f>
        <v>56919</v>
      </c>
      <c r="E515" s="51">
        <f t="shared" si="2"/>
        <v>22906</v>
      </c>
      <c r="F515" s="53">
        <f>IFERROR(SUMIF(contas!G:G, B515, contas!B:B),0)</f>
        <v>0</v>
      </c>
      <c r="G515" s="51">
        <f>SUMIFS(previsoes!D:D, previsoes!E:E, "&lt;=" &amp; EOMONTH(DATEVALUE(B515&amp;"-01"),0), previsoes!F:F, "&gt;=" &amp; DATEVALUE(B515&amp;"-01"))</f>
        <v>0</v>
      </c>
      <c r="H515" s="52">
        <f t="shared" si="5"/>
        <v>160491.8958</v>
      </c>
      <c r="I515" s="49">
        <f t="shared" si="3"/>
        <v>22906</v>
      </c>
      <c r="J515" s="52">
        <f>IF(A515&lt;&gt;"",SUMIFS(metas!N:N, metas!E:E, "&gt;=" &amp; DATEVALUE(B515&amp;"-01"),metas!D:D, "&lt;=" &amp; DATEVALUE(B515&amp;"-01")),"")</f>
        <v>3182.813937</v>
      </c>
      <c r="K515" s="49">
        <f t="shared" si="4"/>
        <v>19723.18606</v>
      </c>
      <c r="L515" s="49">
        <f t="shared" si="6"/>
        <v>9501600.979</v>
      </c>
      <c r="M515" s="49">
        <f>IF(A515&lt;&gt;"",IF(COUNTIF(investimento!F:F, B515) &gt; 0, SUM(investimento!B:B)+I515, M514+I515),"")</f>
        <v>11556342.68</v>
      </c>
    </row>
    <row r="516" ht="22.5" customHeight="1">
      <c r="A516" s="47">
        <v>50565.0</v>
      </c>
      <c r="B516" s="48" t="str">
        <f t="shared" si="1"/>
        <v>2038-06</v>
      </c>
      <c r="C516" s="49">
        <f>SUMIF(despesas_recorrentes!C:C, "&gt;="&amp;A516,despesas_recorrentes!B:B) 
+SUMIF(despesas_recorrentes!C:C, "",despesas_recorrentes!B:B)
-despesas_recorrentes!$B$12
+IF(SUMIF(gasto_cartao!E:E,saldo!B516,gasto_cartao!B:B)&gt;despesas_recorrentes!$B$12, SUMIF(gasto_cartao!E:E,saldo!B516,gasto_cartao!B:B),despesas_recorrentes!$B$12)</f>
        <v>34013</v>
      </c>
      <c r="D516" s="51">
        <f>SUM(receitas_recorrentes!B:B)+SUMIF(receitas_pontuais!E:E,B516,receitas_pontuais!B:B)</f>
        <v>56919</v>
      </c>
      <c r="E516" s="51">
        <f t="shared" si="2"/>
        <v>22906</v>
      </c>
      <c r="F516" s="53">
        <f>IFERROR(SUMIF(contas!G:G, B516, contas!B:B),0)</f>
        <v>0</v>
      </c>
      <c r="G516" s="51">
        <f>SUMIFS(previsoes!D:D, previsoes!E:E, "&lt;=" &amp; EOMONTH(DATEVALUE(B516&amp;"-01"),0), previsoes!F:F, "&gt;=" &amp; DATEVALUE(B516&amp;"-01"))</f>
        <v>0</v>
      </c>
      <c r="H516" s="52">
        <f t="shared" si="5"/>
        <v>160491.8958</v>
      </c>
      <c r="I516" s="49">
        <f t="shared" si="3"/>
        <v>22906</v>
      </c>
      <c r="J516" s="52">
        <f>IF(A516&lt;&gt;"",SUMIFS(metas!N:N, metas!E:E, "&gt;=" &amp; DATEVALUE(B516&amp;"-01"),metas!D:D, "&lt;=" &amp; DATEVALUE(B516&amp;"-01")),"")</f>
        <v>3182.813937</v>
      </c>
      <c r="K516" s="49">
        <f t="shared" si="4"/>
        <v>19723.18606</v>
      </c>
      <c r="L516" s="49">
        <f t="shared" si="6"/>
        <v>9521324.165</v>
      </c>
      <c r="M516" s="49">
        <f>IF(A516&lt;&gt;"",IF(COUNTIF(investimento!F:F, B516) &gt; 0, SUM(investimento!B:B)+I516, M515+I516),"")</f>
        <v>11579248.68</v>
      </c>
    </row>
    <row r="517" ht="22.5" customHeight="1">
      <c r="A517" s="47">
        <v>50566.0</v>
      </c>
      <c r="B517" s="48" t="str">
        <f t="shared" si="1"/>
        <v>2038-06</v>
      </c>
      <c r="C517" s="49">
        <f>SUMIF(despesas_recorrentes!C:C, "&gt;="&amp;A517,despesas_recorrentes!B:B) 
+SUMIF(despesas_recorrentes!C:C, "",despesas_recorrentes!B:B)
-despesas_recorrentes!$B$12
+IF(SUMIF(gasto_cartao!E:E,saldo!B517,gasto_cartao!B:B)&gt;despesas_recorrentes!$B$12, SUMIF(gasto_cartao!E:E,saldo!B517,gasto_cartao!B:B),despesas_recorrentes!$B$12)</f>
        <v>34013</v>
      </c>
      <c r="D517" s="51">
        <f>SUM(receitas_recorrentes!B:B)+SUMIF(receitas_pontuais!E:E,B517,receitas_pontuais!B:B)</f>
        <v>56919</v>
      </c>
      <c r="E517" s="51">
        <f t="shared" si="2"/>
        <v>22906</v>
      </c>
      <c r="F517" s="53">
        <f>IFERROR(SUMIF(contas!G:G, B517, contas!B:B),0)</f>
        <v>0</v>
      </c>
      <c r="G517" s="51">
        <f>SUMIFS(previsoes!D:D, previsoes!E:E, "&lt;=" &amp; EOMONTH(DATEVALUE(B517&amp;"-01"),0), previsoes!F:F, "&gt;=" &amp; DATEVALUE(B517&amp;"-01"))</f>
        <v>0</v>
      </c>
      <c r="H517" s="52">
        <f t="shared" si="5"/>
        <v>160491.8958</v>
      </c>
      <c r="I517" s="49">
        <f t="shared" si="3"/>
        <v>22906</v>
      </c>
      <c r="J517" s="52">
        <f>IF(A517&lt;&gt;"",SUMIFS(metas!N:N, metas!E:E, "&gt;=" &amp; DATEVALUE(B517&amp;"-01"),metas!D:D, "&lt;=" &amp; DATEVALUE(B517&amp;"-01")),"")</f>
        <v>3182.813937</v>
      </c>
      <c r="K517" s="49">
        <f t="shared" si="4"/>
        <v>19723.18606</v>
      </c>
      <c r="L517" s="49">
        <f t="shared" si="6"/>
        <v>9541047.351</v>
      </c>
      <c r="M517" s="49">
        <f>IF(A517&lt;&gt;"",IF(COUNTIF(investimento!F:F, B517) &gt; 0, SUM(investimento!B:B)+I517, M516+I517),"")</f>
        <v>11602154.68</v>
      </c>
    </row>
    <row r="518" ht="22.5" customHeight="1">
      <c r="A518" s="47">
        <v>50567.0</v>
      </c>
      <c r="B518" s="48" t="str">
        <f t="shared" si="1"/>
        <v>2038-06</v>
      </c>
      <c r="C518" s="49">
        <f>SUMIF(despesas_recorrentes!C:C, "&gt;="&amp;A518,despesas_recorrentes!B:B) 
+SUMIF(despesas_recorrentes!C:C, "",despesas_recorrentes!B:B)
-despesas_recorrentes!$B$12
+IF(SUMIF(gasto_cartao!E:E,saldo!B518,gasto_cartao!B:B)&gt;despesas_recorrentes!$B$12, SUMIF(gasto_cartao!E:E,saldo!B518,gasto_cartao!B:B),despesas_recorrentes!$B$12)</f>
        <v>34013</v>
      </c>
      <c r="D518" s="51">
        <f>SUM(receitas_recorrentes!B:B)+SUMIF(receitas_pontuais!E:E,B518,receitas_pontuais!B:B)</f>
        <v>56919</v>
      </c>
      <c r="E518" s="51">
        <f t="shared" si="2"/>
        <v>22906</v>
      </c>
      <c r="F518" s="53">
        <f>IFERROR(SUMIF(contas!G:G, B518, contas!B:B),0)</f>
        <v>0</v>
      </c>
      <c r="G518" s="51">
        <f>SUMIFS(previsoes!D:D, previsoes!E:E, "&lt;=" &amp; EOMONTH(DATEVALUE(B518&amp;"-01"),0), previsoes!F:F, "&gt;=" &amp; DATEVALUE(B518&amp;"-01"))</f>
        <v>0</v>
      </c>
      <c r="H518" s="52">
        <f t="shared" si="5"/>
        <v>160491.8958</v>
      </c>
      <c r="I518" s="49">
        <f t="shared" si="3"/>
        <v>22906</v>
      </c>
      <c r="J518" s="52">
        <f>IF(A518&lt;&gt;"",SUMIFS(metas!N:N, metas!E:E, "&gt;=" &amp; DATEVALUE(B518&amp;"-01"),metas!D:D, "&lt;=" &amp; DATEVALUE(B518&amp;"-01")),"")</f>
        <v>3182.813937</v>
      </c>
      <c r="K518" s="49">
        <f t="shared" si="4"/>
        <v>19723.18606</v>
      </c>
      <c r="L518" s="49">
        <f t="shared" si="6"/>
        <v>9560770.537</v>
      </c>
      <c r="M518" s="49">
        <f>IF(A518&lt;&gt;"",IF(COUNTIF(investimento!F:F, B518) &gt; 0, SUM(investimento!B:B)+I518, M517+I518),"")</f>
        <v>11625060.68</v>
      </c>
    </row>
    <row r="519" ht="22.5" customHeight="1">
      <c r="A519" s="47">
        <v>50568.0</v>
      </c>
      <c r="B519" s="48" t="str">
        <f t="shared" si="1"/>
        <v>2038-06</v>
      </c>
      <c r="C519" s="49">
        <f>SUMIF(despesas_recorrentes!C:C, "&gt;="&amp;A519,despesas_recorrentes!B:B) 
+SUMIF(despesas_recorrentes!C:C, "",despesas_recorrentes!B:B)
-despesas_recorrentes!$B$12
+IF(SUMIF(gasto_cartao!E:E,saldo!B519,gasto_cartao!B:B)&gt;despesas_recorrentes!$B$12, SUMIF(gasto_cartao!E:E,saldo!B519,gasto_cartao!B:B),despesas_recorrentes!$B$12)</f>
        <v>34013</v>
      </c>
      <c r="D519" s="51">
        <f>SUM(receitas_recorrentes!B:B)+SUMIF(receitas_pontuais!E:E,B519,receitas_pontuais!B:B)</f>
        <v>56919</v>
      </c>
      <c r="E519" s="51">
        <f t="shared" si="2"/>
        <v>22906</v>
      </c>
      <c r="F519" s="53">
        <f>IFERROR(SUMIF(contas!G:G, B519, contas!B:B),0)</f>
        <v>0</v>
      </c>
      <c r="G519" s="51">
        <f>SUMIFS(previsoes!D:D, previsoes!E:E, "&lt;=" &amp; EOMONTH(DATEVALUE(B519&amp;"-01"),0), previsoes!F:F, "&gt;=" &amp; DATEVALUE(B519&amp;"-01"))</f>
        <v>0</v>
      </c>
      <c r="H519" s="52">
        <f t="shared" si="5"/>
        <v>160491.8958</v>
      </c>
      <c r="I519" s="49">
        <f t="shared" si="3"/>
        <v>22906</v>
      </c>
      <c r="J519" s="52">
        <f>IF(A519&lt;&gt;"",SUMIFS(metas!N:N, metas!E:E, "&gt;=" &amp; DATEVALUE(B519&amp;"-01"),metas!D:D, "&lt;=" &amp; DATEVALUE(B519&amp;"-01")),"")</f>
        <v>3182.813937</v>
      </c>
      <c r="K519" s="49">
        <f t="shared" si="4"/>
        <v>19723.18606</v>
      </c>
      <c r="L519" s="49">
        <f t="shared" si="6"/>
        <v>9580493.723</v>
      </c>
      <c r="M519" s="49">
        <f>IF(A519&lt;&gt;"",IF(COUNTIF(investimento!F:F, B519) &gt; 0, SUM(investimento!B:B)+I519, M518+I519),"")</f>
        <v>11647966.68</v>
      </c>
    </row>
    <row r="520" ht="22.5" customHeight="1">
      <c r="A520" s="47">
        <v>50569.0</v>
      </c>
      <c r="B520" s="48" t="str">
        <f t="shared" si="1"/>
        <v>2038-06</v>
      </c>
      <c r="C520" s="49">
        <f>SUMIF(despesas_recorrentes!C:C, "&gt;="&amp;A520,despesas_recorrentes!B:B) 
+SUMIF(despesas_recorrentes!C:C, "",despesas_recorrentes!B:B)
-despesas_recorrentes!$B$12
+IF(SUMIF(gasto_cartao!E:E,saldo!B520,gasto_cartao!B:B)&gt;despesas_recorrentes!$B$12, SUMIF(gasto_cartao!E:E,saldo!B520,gasto_cartao!B:B),despesas_recorrentes!$B$12)</f>
        <v>34013</v>
      </c>
      <c r="D520" s="51">
        <f>SUM(receitas_recorrentes!B:B)+SUMIF(receitas_pontuais!E:E,B520,receitas_pontuais!B:B)</f>
        <v>56919</v>
      </c>
      <c r="E520" s="51">
        <f t="shared" si="2"/>
        <v>22906</v>
      </c>
      <c r="F520" s="53">
        <f>IFERROR(SUMIF(contas!G:G, B520, contas!B:B),0)</f>
        <v>0</v>
      </c>
      <c r="G520" s="51">
        <f>SUMIFS(previsoes!D:D, previsoes!E:E, "&lt;=" &amp; EOMONTH(DATEVALUE(B520&amp;"-01"),0), previsoes!F:F, "&gt;=" &amp; DATEVALUE(B520&amp;"-01"))</f>
        <v>0</v>
      </c>
      <c r="H520" s="52">
        <f t="shared" si="5"/>
        <v>160491.8958</v>
      </c>
      <c r="I520" s="49">
        <f t="shared" si="3"/>
        <v>22906</v>
      </c>
      <c r="J520" s="52">
        <f>IF(A520&lt;&gt;"",SUMIFS(metas!N:N, metas!E:E, "&gt;=" &amp; DATEVALUE(B520&amp;"-01"),metas!D:D, "&lt;=" &amp; DATEVALUE(B520&amp;"-01")),"")</f>
        <v>3182.813937</v>
      </c>
      <c r="K520" s="49">
        <f t="shared" si="4"/>
        <v>19723.18606</v>
      </c>
      <c r="L520" s="49">
        <f t="shared" si="6"/>
        <v>9600216.909</v>
      </c>
      <c r="M520" s="49">
        <f>IF(A520&lt;&gt;"",IF(COUNTIF(investimento!F:F, B520) &gt; 0, SUM(investimento!B:B)+I520, M519+I520),"")</f>
        <v>11670872.68</v>
      </c>
    </row>
    <row r="521" ht="22.5" customHeight="1">
      <c r="A521" s="47">
        <v>50570.0</v>
      </c>
      <c r="B521" s="48" t="str">
        <f t="shared" si="1"/>
        <v>2038-06</v>
      </c>
      <c r="C521" s="49">
        <f>SUMIF(despesas_recorrentes!C:C, "&gt;="&amp;A521,despesas_recorrentes!B:B) 
+SUMIF(despesas_recorrentes!C:C, "",despesas_recorrentes!B:B)
-despesas_recorrentes!$B$12
+IF(SUMIF(gasto_cartao!E:E,saldo!B521,gasto_cartao!B:B)&gt;despesas_recorrentes!$B$12, SUMIF(gasto_cartao!E:E,saldo!B521,gasto_cartao!B:B),despesas_recorrentes!$B$12)</f>
        <v>34013</v>
      </c>
      <c r="D521" s="51">
        <f>SUM(receitas_recorrentes!B:B)+SUMIF(receitas_pontuais!E:E,B521,receitas_pontuais!B:B)</f>
        <v>56919</v>
      </c>
      <c r="E521" s="51">
        <f t="shared" si="2"/>
        <v>22906</v>
      </c>
      <c r="F521" s="53">
        <f>IFERROR(SUMIF(contas!G:G, B521, contas!B:B),0)</f>
        <v>0</v>
      </c>
      <c r="G521" s="51">
        <f>SUMIFS(previsoes!D:D, previsoes!E:E, "&lt;=" &amp; EOMONTH(DATEVALUE(B521&amp;"-01"),0), previsoes!F:F, "&gt;=" &amp; DATEVALUE(B521&amp;"-01"))</f>
        <v>0</v>
      </c>
      <c r="H521" s="52">
        <f t="shared" si="5"/>
        <v>160491.8958</v>
      </c>
      <c r="I521" s="49">
        <f t="shared" si="3"/>
        <v>22906</v>
      </c>
      <c r="J521" s="52">
        <f>IF(A521&lt;&gt;"",SUMIFS(metas!N:N, metas!E:E, "&gt;=" &amp; DATEVALUE(B521&amp;"-01"),metas!D:D, "&lt;=" &amp; DATEVALUE(B521&amp;"-01")),"")</f>
        <v>3182.813937</v>
      </c>
      <c r="K521" s="49">
        <f t="shared" si="4"/>
        <v>19723.18606</v>
      </c>
      <c r="L521" s="49">
        <f t="shared" si="6"/>
        <v>9619940.095</v>
      </c>
      <c r="M521" s="49">
        <f>IF(A521&lt;&gt;"",IF(COUNTIF(investimento!F:F, B521) &gt; 0, SUM(investimento!B:B)+I521, M520+I521),"")</f>
        <v>11693778.68</v>
      </c>
    </row>
    <row r="522" ht="22.5" customHeight="1">
      <c r="A522" s="47">
        <v>50571.0</v>
      </c>
      <c r="B522" s="48" t="str">
        <f t="shared" si="1"/>
        <v>2038-06</v>
      </c>
      <c r="C522" s="49">
        <f>SUMIF(despesas_recorrentes!C:C, "&gt;="&amp;A522,despesas_recorrentes!B:B) 
+SUMIF(despesas_recorrentes!C:C, "",despesas_recorrentes!B:B)
-despesas_recorrentes!$B$12
+IF(SUMIF(gasto_cartao!E:E,saldo!B522,gasto_cartao!B:B)&gt;despesas_recorrentes!$B$12, SUMIF(gasto_cartao!E:E,saldo!B522,gasto_cartao!B:B),despesas_recorrentes!$B$12)</f>
        <v>34013</v>
      </c>
      <c r="D522" s="51">
        <f>SUM(receitas_recorrentes!B:B)+SUMIF(receitas_pontuais!E:E,B522,receitas_pontuais!B:B)</f>
        <v>56919</v>
      </c>
      <c r="E522" s="51">
        <f t="shared" si="2"/>
        <v>22906</v>
      </c>
      <c r="F522" s="53">
        <f>IFERROR(SUMIF(contas!G:G, B522, contas!B:B),0)</f>
        <v>0</v>
      </c>
      <c r="G522" s="51">
        <f>SUMIFS(previsoes!D:D, previsoes!E:E, "&lt;=" &amp; EOMONTH(DATEVALUE(B522&amp;"-01"),0), previsoes!F:F, "&gt;=" &amp; DATEVALUE(B522&amp;"-01"))</f>
        <v>0</v>
      </c>
      <c r="H522" s="52">
        <f t="shared" si="5"/>
        <v>160491.8958</v>
      </c>
      <c r="I522" s="49">
        <f t="shared" si="3"/>
        <v>22906</v>
      </c>
      <c r="J522" s="52">
        <f>IF(A522&lt;&gt;"",SUMIFS(metas!N:N, metas!E:E, "&gt;=" &amp; DATEVALUE(B522&amp;"-01"),metas!D:D, "&lt;=" &amp; DATEVALUE(B522&amp;"-01")),"")</f>
        <v>3182.813937</v>
      </c>
      <c r="K522" s="49">
        <f t="shared" si="4"/>
        <v>19723.18606</v>
      </c>
      <c r="L522" s="49">
        <f t="shared" si="6"/>
        <v>9639663.281</v>
      </c>
      <c r="M522" s="49">
        <f>IF(A522&lt;&gt;"",IF(COUNTIF(investimento!F:F, B522) &gt; 0, SUM(investimento!B:B)+I522, M521+I522),"")</f>
        <v>11716684.68</v>
      </c>
    </row>
    <row r="523" ht="22.5" customHeight="1">
      <c r="A523" s="47">
        <v>50572.0</v>
      </c>
      <c r="B523" s="48" t="str">
        <f t="shared" si="1"/>
        <v>2038-06</v>
      </c>
      <c r="C523" s="49">
        <f>SUMIF(despesas_recorrentes!C:C, "&gt;="&amp;A523,despesas_recorrentes!B:B) 
+SUMIF(despesas_recorrentes!C:C, "",despesas_recorrentes!B:B)
-despesas_recorrentes!$B$12
+IF(SUMIF(gasto_cartao!E:E,saldo!B523,gasto_cartao!B:B)&gt;despesas_recorrentes!$B$12, SUMIF(gasto_cartao!E:E,saldo!B523,gasto_cartao!B:B),despesas_recorrentes!$B$12)</f>
        <v>34013</v>
      </c>
      <c r="D523" s="51">
        <f>SUM(receitas_recorrentes!B:B)+SUMIF(receitas_pontuais!E:E,B523,receitas_pontuais!B:B)</f>
        <v>56919</v>
      </c>
      <c r="E523" s="51">
        <f t="shared" si="2"/>
        <v>22906</v>
      </c>
      <c r="F523" s="53">
        <f>IFERROR(SUMIF(contas!G:G, B523, contas!B:B),0)</f>
        <v>0</v>
      </c>
      <c r="G523" s="51">
        <f>SUMIFS(previsoes!D:D, previsoes!E:E, "&lt;=" &amp; EOMONTH(DATEVALUE(B523&amp;"-01"),0), previsoes!F:F, "&gt;=" &amp; DATEVALUE(B523&amp;"-01"))</f>
        <v>0</v>
      </c>
      <c r="H523" s="52">
        <f t="shared" si="5"/>
        <v>160491.8958</v>
      </c>
      <c r="I523" s="49">
        <f t="shared" si="3"/>
        <v>22906</v>
      </c>
      <c r="J523" s="52">
        <f>IF(A523&lt;&gt;"",SUMIFS(metas!N:N, metas!E:E, "&gt;=" &amp; DATEVALUE(B523&amp;"-01"),metas!D:D, "&lt;=" &amp; DATEVALUE(B523&amp;"-01")),"")</f>
        <v>3182.813937</v>
      </c>
      <c r="K523" s="49">
        <f t="shared" si="4"/>
        <v>19723.18606</v>
      </c>
      <c r="L523" s="49">
        <f t="shared" si="6"/>
        <v>9659386.467</v>
      </c>
      <c r="M523" s="49">
        <f>IF(A523&lt;&gt;"",IF(COUNTIF(investimento!F:F, B523) &gt; 0, SUM(investimento!B:B)+I523, M522+I523),"")</f>
        <v>11739590.68</v>
      </c>
    </row>
    <row r="524" ht="22.5" customHeight="1">
      <c r="A524" s="47">
        <v>50573.0</v>
      </c>
      <c r="B524" s="48" t="str">
        <f t="shared" si="1"/>
        <v>2038-06</v>
      </c>
      <c r="C524" s="49">
        <f>SUMIF(despesas_recorrentes!C:C, "&gt;="&amp;A524,despesas_recorrentes!B:B) 
+SUMIF(despesas_recorrentes!C:C, "",despesas_recorrentes!B:B)
-despesas_recorrentes!$B$12
+IF(SUMIF(gasto_cartao!E:E,saldo!B524,gasto_cartao!B:B)&gt;despesas_recorrentes!$B$12, SUMIF(gasto_cartao!E:E,saldo!B524,gasto_cartao!B:B),despesas_recorrentes!$B$12)</f>
        <v>34013</v>
      </c>
      <c r="D524" s="51">
        <f>SUM(receitas_recorrentes!B:B)+SUMIF(receitas_pontuais!E:E,B524,receitas_pontuais!B:B)</f>
        <v>56919</v>
      </c>
      <c r="E524" s="51">
        <f t="shared" si="2"/>
        <v>22906</v>
      </c>
      <c r="F524" s="53">
        <f>IFERROR(SUMIF(contas!G:G, B524, contas!B:B),0)</f>
        <v>0</v>
      </c>
      <c r="G524" s="51">
        <f>SUMIFS(previsoes!D:D, previsoes!E:E, "&lt;=" &amp; EOMONTH(DATEVALUE(B524&amp;"-01"),0), previsoes!F:F, "&gt;=" &amp; DATEVALUE(B524&amp;"-01"))</f>
        <v>0</v>
      </c>
      <c r="H524" s="52">
        <f t="shared" si="5"/>
        <v>160491.8958</v>
      </c>
      <c r="I524" s="49">
        <f t="shared" si="3"/>
        <v>22906</v>
      </c>
      <c r="J524" s="52">
        <f>IF(A524&lt;&gt;"",SUMIFS(metas!N:N, metas!E:E, "&gt;=" &amp; DATEVALUE(B524&amp;"-01"),metas!D:D, "&lt;=" &amp; DATEVALUE(B524&amp;"-01")),"")</f>
        <v>3182.813937</v>
      </c>
      <c r="K524" s="49">
        <f t="shared" si="4"/>
        <v>19723.18606</v>
      </c>
      <c r="L524" s="49">
        <f t="shared" si="6"/>
        <v>9679109.654</v>
      </c>
      <c r="M524" s="49">
        <f>IF(A524&lt;&gt;"",IF(COUNTIF(investimento!F:F, B524) &gt; 0, SUM(investimento!B:B)+I524, M523+I524),"")</f>
        <v>11762496.68</v>
      </c>
    </row>
    <row r="525" ht="22.5" customHeight="1">
      <c r="A525" s="47">
        <v>50574.0</v>
      </c>
      <c r="B525" s="48" t="str">
        <f t="shared" si="1"/>
        <v>2038-06</v>
      </c>
      <c r="C525" s="49">
        <f>SUMIF(despesas_recorrentes!C:C, "&gt;="&amp;A525,despesas_recorrentes!B:B) 
+SUMIF(despesas_recorrentes!C:C, "",despesas_recorrentes!B:B)
-despesas_recorrentes!$B$12
+IF(SUMIF(gasto_cartao!E:E,saldo!B525,gasto_cartao!B:B)&gt;despesas_recorrentes!$B$12, SUMIF(gasto_cartao!E:E,saldo!B525,gasto_cartao!B:B),despesas_recorrentes!$B$12)</f>
        <v>34013</v>
      </c>
      <c r="D525" s="51">
        <f>SUM(receitas_recorrentes!B:B)+SUMIF(receitas_pontuais!E:E,B525,receitas_pontuais!B:B)</f>
        <v>56919</v>
      </c>
      <c r="E525" s="51">
        <f t="shared" si="2"/>
        <v>22906</v>
      </c>
      <c r="F525" s="53">
        <f>IFERROR(SUMIF(contas!G:G, B525, contas!B:B),0)</f>
        <v>0</v>
      </c>
      <c r="G525" s="51">
        <f>SUMIFS(previsoes!D:D, previsoes!E:E, "&lt;=" &amp; EOMONTH(DATEVALUE(B525&amp;"-01"),0), previsoes!F:F, "&gt;=" &amp; DATEVALUE(B525&amp;"-01"))</f>
        <v>0</v>
      </c>
      <c r="H525" s="52">
        <f t="shared" si="5"/>
        <v>160491.8958</v>
      </c>
      <c r="I525" s="49">
        <f t="shared" si="3"/>
        <v>22906</v>
      </c>
      <c r="J525" s="52">
        <f>IF(A525&lt;&gt;"",SUMIFS(metas!N:N, metas!E:E, "&gt;=" &amp; DATEVALUE(B525&amp;"-01"),metas!D:D, "&lt;=" &amp; DATEVALUE(B525&amp;"-01")),"")</f>
        <v>3182.813937</v>
      </c>
      <c r="K525" s="49">
        <f t="shared" si="4"/>
        <v>19723.18606</v>
      </c>
      <c r="L525" s="49">
        <f t="shared" si="6"/>
        <v>9698832.84</v>
      </c>
      <c r="M525" s="49">
        <f>IF(A525&lt;&gt;"",IF(COUNTIF(investimento!F:F, B525) &gt; 0, SUM(investimento!B:B)+I525, M524+I525),"")</f>
        <v>11785402.68</v>
      </c>
    </row>
    <row r="526" ht="22.5" customHeight="1">
      <c r="A526" s="47">
        <v>50575.0</v>
      </c>
      <c r="B526" s="48" t="str">
        <f t="shared" si="1"/>
        <v>2038-06</v>
      </c>
      <c r="C526" s="49">
        <f>SUMIF(despesas_recorrentes!C:C, "&gt;="&amp;A526,despesas_recorrentes!B:B) 
+SUMIF(despesas_recorrentes!C:C, "",despesas_recorrentes!B:B)
-despesas_recorrentes!$B$12
+IF(SUMIF(gasto_cartao!E:E,saldo!B526,gasto_cartao!B:B)&gt;despesas_recorrentes!$B$12, SUMIF(gasto_cartao!E:E,saldo!B526,gasto_cartao!B:B),despesas_recorrentes!$B$12)</f>
        <v>34013</v>
      </c>
      <c r="D526" s="51">
        <f>SUM(receitas_recorrentes!B:B)+SUMIF(receitas_pontuais!E:E,B526,receitas_pontuais!B:B)</f>
        <v>56919</v>
      </c>
      <c r="E526" s="51">
        <f t="shared" si="2"/>
        <v>22906</v>
      </c>
      <c r="F526" s="53">
        <f>IFERROR(SUMIF(contas!G:G, B526, contas!B:B),0)</f>
        <v>0</v>
      </c>
      <c r="G526" s="51">
        <f>SUMIFS(previsoes!D:D, previsoes!E:E, "&lt;=" &amp; EOMONTH(DATEVALUE(B526&amp;"-01"),0), previsoes!F:F, "&gt;=" &amp; DATEVALUE(B526&amp;"-01"))</f>
        <v>0</v>
      </c>
      <c r="H526" s="52">
        <f t="shared" si="5"/>
        <v>160491.8958</v>
      </c>
      <c r="I526" s="49">
        <f t="shared" si="3"/>
        <v>22906</v>
      </c>
      <c r="J526" s="52">
        <f>IF(A526&lt;&gt;"",SUMIFS(metas!N:N, metas!E:E, "&gt;=" &amp; DATEVALUE(B526&amp;"-01"),metas!D:D, "&lt;=" &amp; DATEVALUE(B526&amp;"-01")),"")</f>
        <v>3182.813937</v>
      </c>
      <c r="K526" s="49">
        <f t="shared" si="4"/>
        <v>19723.18606</v>
      </c>
      <c r="L526" s="49">
        <f t="shared" si="6"/>
        <v>9718556.026</v>
      </c>
      <c r="M526" s="49">
        <f>IF(A526&lt;&gt;"",IF(COUNTIF(investimento!F:F, B526) &gt; 0, SUM(investimento!B:B)+I526, M525+I526),"")</f>
        <v>11808308.68</v>
      </c>
    </row>
    <row r="527" ht="22.5" customHeight="1">
      <c r="A527" s="47">
        <v>50576.0</v>
      </c>
      <c r="B527" s="48" t="str">
        <f t="shared" si="1"/>
        <v>2038-06</v>
      </c>
      <c r="C527" s="49">
        <f>SUMIF(despesas_recorrentes!C:C, "&gt;="&amp;A527,despesas_recorrentes!B:B) 
+SUMIF(despesas_recorrentes!C:C, "",despesas_recorrentes!B:B)
-despesas_recorrentes!$B$12
+IF(SUMIF(gasto_cartao!E:E,saldo!B527,gasto_cartao!B:B)&gt;despesas_recorrentes!$B$12, SUMIF(gasto_cartao!E:E,saldo!B527,gasto_cartao!B:B),despesas_recorrentes!$B$12)</f>
        <v>34013</v>
      </c>
      <c r="D527" s="51">
        <f>SUM(receitas_recorrentes!B:B)+SUMIF(receitas_pontuais!E:E,B527,receitas_pontuais!B:B)</f>
        <v>56919</v>
      </c>
      <c r="E527" s="51">
        <f t="shared" si="2"/>
        <v>22906</v>
      </c>
      <c r="F527" s="53">
        <f>IFERROR(SUMIF(contas!G:G, B527, contas!B:B),0)</f>
        <v>0</v>
      </c>
      <c r="G527" s="51">
        <f>SUMIFS(previsoes!D:D, previsoes!E:E, "&lt;=" &amp; EOMONTH(DATEVALUE(B527&amp;"-01"),0), previsoes!F:F, "&gt;=" &amp; DATEVALUE(B527&amp;"-01"))</f>
        <v>0</v>
      </c>
      <c r="H527" s="52">
        <f t="shared" si="5"/>
        <v>160491.8958</v>
      </c>
      <c r="I527" s="49">
        <f t="shared" si="3"/>
        <v>22906</v>
      </c>
      <c r="J527" s="52">
        <f>IF(A527&lt;&gt;"",SUMIFS(metas!N:N, metas!E:E, "&gt;=" &amp; DATEVALUE(B527&amp;"-01"),metas!D:D, "&lt;=" &amp; DATEVALUE(B527&amp;"-01")),"")</f>
        <v>3182.813937</v>
      </c>
      <c r="K527" s="49">
        <f t="shared" si="4"/>
        <v>19723.18606</v>
      </c>
      <c r="L527" s="49">
        <f t="shared" si="6"/>
        <v>9738279.212</v>
      </c>
      <c r="M527" s="49">
        <f>IF(A527&lt;&gt;"",IF(COUNTIF(investimento!F:F, B527) &gt; 0, SUM(investimento!B:B)+I527, M526+I527),"")</f>
        <v>11831214.68</v>
      </c>
    </row>
    <row r="528" ht="22.5" customHeight="1">
      <c r="A528" s="47">
        <v>50577.0</v>
      </c>
      <c r="B528" s="48" t="str">
        <f t="shared" si="1"/>
        <v>2038-06</v>
      </c>
      <c r="C528" s="49">
        <f>SUMIF(despesas_recorrentes!C:C, "&gt;="&amp;A528,despesas_recorrentes!B:B) 
+SUMIF(despesas_recorrentes!C:C, "",despesas_recorrentes!B:B)
-despesas_recorrentes!$B$12
+IF(SUMIF(gasto_cartao!E:E,saldo!B528,gasto_cartao!B:B)&gt;despesas_recorrentes!$B$12, SUMIF(gasto_cartao!E:E,saldo!B528,gasto_cartao!B:B),despesas_recorrentes!$B$12)</f>
        <v>34013</v>
      </c>
      <c r="D528" s="51">
        <f>SUM(receitas_recorrentes!B:B)+SUMIF(receitas_pontuais!E:E,B528,receitas_pontuais!B:B)</f>
        <v>56919</v>
      </c>
      <c r="E528" s="51">
        <f t="shared" si="2"/>
        <v>22906</v>
      </c>
      <c r="F528" s="53">
        <f>IFERROR(SUMIF(contas!G:G, B528, contas!B:B),0)</f>
        <v>0</v>
      </c>
      <c r="G528" s="51">
        <f>SUMIFS(previsoes!D:D, previsoes!E:E, "&lt;=" &amp; EOMONTH(DATEVALUE(B528&amp;"-01"),0), previsoes!F:F, "&gt;=" &amp; DATEVALUE(B528&amp;"-01"))</f>
        <v>0</v>
      </c>
      <c r="H528" s="52">
        <f t="shared" si="5"/>
        <v>160491.8958</v>
      </c>
      <c r="I528" s="49">
        <f t="shared" si="3"/>
        <v>22906</v>
      </c>
      <c r="J528" s="52">
        <f>IF(A528&lt;&gt;"",SUMIFS(metas!N:N, metas!E:E, "&gt;=" &amp; DATEVALUE(B528&amp;"-01"),metas!D:D, "&lt;=" &amp; DATEVALUE(B528&amp;"-01")),"")</f>
        <v>3182.813937</v>
      </c>
      <c r="K528" s="49">
        <f t="shared" si="4"/>
        <v>19723.18606</v>
      </c>
      <c r="L528" s="49">
        <f t="shared" si="6"/>
        <v>9758002.398</v>
      </c>
      <c r="M528" s="49">
        <f>IF(A528&lt;&gt;"",IF(COUNTIF(investimento!F:F, B528) &gt; 0, SUM(investimento!B:B)+I528, M527+I528),"")</f>
        <v>11854120.68</v>
      </c>
    </row>
    <row r="529" ht="22.5" customHeight="1">
      <c r="A529" s="47">
        <v>50578.0</v>
      </c>
      <c r="B529" s="48" t="str">
        <f t="shared" si="1"/>
        <v>2038-06</v>
      </c>
      <c r="C529" s="49">
        <f>SUMIF(despesas_recorrentes!C:C, "&gt;="&amp;A529,despesas_recorrentes!B:B) 
+SUMIF(despesas_recorrentes!C:C, "",despesas_recorrentes!B:B)
-despesas_recorrentes!$B$12
+IF(SUMIF(gasto_cartao!E:E,saldo!B529,gasto_cartao!B:B)&gt;despesas_recorrentes!$B$12, SUMIF(gasto_cartao!E:E,saldo!B529,gasto_cartao!B:B),despesas_recorrentes!$B$12)</f>
        <v>34013</v>
      </c>
      <c r="D529" s="51">
        <f>SUM(receitas_recorrentes!B:B)+SUMIF(receitas_pontuais!E:E,B529,receitas_pontuais!B:B)</f>
        <v>56919</v>
      </c>
      <c r="E529" s="51">
        <f t="shared" si="2"/>
        <v>22906</v>
      </c>
      <c r="F529" s="53">
        <f>IFERROR(SUMIF(contas!G:G, B529, contas!B:B),0)</f>
        <v>0</v>
      </c>
      <c r="G529" s="51">
        <f>SUMIFS(previsoes!D:D, previsoes!E:E, "&lt;=" &amp; EOMONTH(DATEVALUE(B529&amp;"-01"),0), previsoes!F:F, "&gt;=" &amp; DATEVALUE(B529&amp;"-01"))</f>
        <v>0</v>
      </c>
      <c r="H529" s="52">
        <f t="shared" si="5"/>
        <v>160491.8958</v>
      </c>
      <c r="I529" s="49">
        <f t="shared" si="3"/>
        <v>22906</v>
      </c>
      <c r="J529" s="52">
        <f>IF(A529&lt;&gt;"",SUMIFS(metas!N:N, metas!E:E, "&gt;=" &amp; DATEVALUE(B529&amp;"-01"),metas!D:D, "&lt;=" &amp; DATEVALUE(B529&amp;"-01")),"")</f>
        <v>3182.813937</v>
      </c>
      <c r="K529" s="49">
        <f t="shared" si="4"/>
        <v>19723.18606</v>
      </c>
      <c r="L529" s="49">
        <f t="shared" si="6"/>
        <v>9777725.584</v>
      </c>
      <c r="M529" s="49">
        <f>IF(A529&lt;&gt;"",IF(COUNTIF(investimento!F:F, B529) &gt; 0, SUM(investimento!B:B)+I529, M528+I529),"")</f>
        <v>11877026.68</v>
      </c>
    </row>
    <row r="530" ht="22.5" customHeight="1">
      <c r="A530" s="47">
        <v>50579.0</v>
      </c>
      <c r="B530" s="48" t="str">
        <f t="shared" si="1"/>
        <v>2038-06</v>
      </c>
      <c r="C530" s="49">
        <f>SUMIF(despesas_recorrentes!C:C, "&gt;="&amp;A530,despesas_recorrentes!B:B) 
+SUMIF(despesas_recorrentes!C:C, "",despesas_recorrentes!B:B)
-despesas_recorrentes!$B$12
+IF(SUMIF(gasto_cartao!E:E,saldo!B530,gasto_cartao!B:B)&gt;despesas_recorrentes!$B$12, SUMIF(gasto_cartao!E:E,saldo!B530,gasto_cartao!B:B),despesas_recorrentes!$B$12)</f>
        <v>34013</v>
      </c>
      <c r="D530" s="51">
        <f>SUM(receitas_recorrentes!B:B)+SUMIF(receitas_pontuais!E:E,B530,receitas_pontuais!B:B)</f>
        <v>56919</v>
      </c>
      <c r="E530" s="51">
        <f t="shared" si="2"/>
        <v>22906</v>
      </c>
      <c r="F530" s="53">
        <f>IFERROR(SUMIF(contas!G:G, B530, contas!B:B),0)</f>
        <v>0</v>
      </c>
      <c r="G530" s="51">
        <f>SUMIFS(previsoes!D:D, previsoes!E:E, "&lt;=" &amp; EOMONTH(DATEVALUE(B530&amp;"-01"),0), previsoes!F:F, "&gt;=" &amp; DATEVALUE(B530&amp;"-01"))</f>
        <v>0</v>
      </c>
      <c r="H530" s="52">
        <f t="shared" si="5"/>
        <v>160491.8958</v>
      </c>
      <c r="I530" s="49">
        <f t="shared" si="3"/>
        <v>22906</v>
      </c>
      <c r="J530" s="52">
        <f>IF(A530&lt;&gt;"",SUMIFS(metas!N:N, metas!E:E, "&gt;=" &amp; DATEVALUE(B530&amp;"-01"),metas!D:D, "&lt;=" &amp; DATEVALUE(B530&amp;"-01")),"")</f>
        <v>3182.813937</v>
      </c>
      <c r="K530" s="49">
        <f t="shared" si="4"/>
        <v>19723.18606</v>
      </c>
      <c r="L530" s="49">
        <f t="shared" si="6"/>
        <v>9797448.77</v>
      </c>
      <c r="M530" s="49">
        <f>IF(A530&lt;&gt;"",IF(COUNTIF(investimento!F:F, B530) &gt; 0, SUM(investimento!B:B)+I530, M529+I530),"")</f>
        <v>11899932.68</v>
      </c>
    </row>
    <row r="531" ht="22.5" customHeight="1">
      <c r="A531" s="47">
        <v>50580.0</v>
      </c>
      <c r="B531" s="48" t="str">
        <f t="shared" si="1"/>
        <v>2038-06</v>
      </c>
      <c r="C531" s="49">
        <f>SUMIF(despesas_recorrentes!C:C, "&gt;="&amp;A531,despesas_recorrentes!B:B) 
+SUMIF(despesas_recorrentes!C:C, "",despesas_recorrentes!B:B)
-despesas_recorrentes!$B$12
+IF(SUMIF(gasto_cartao!E:E,saldo!B531,gasto_cartao!B:B)&gt;despesas_recorrentes!$B$12, SUMIF(gasto_cartao!E:E,saldo!B531,gasto_cartao!B:B),despesas_recorrentes!$B$12)</f>
        <v>34013</v>
      </c>
      <c r="D531" s="51">
        <f>SUM(receitas_recorrentes!B:B)+SUMIF(receitas_pontuais!E:E,B531,receitas_pontuais!B:B)</f>
        <v>56919</v>
      </c>
      <c r="E531" s="51">
        <f t="shared" si="2"/>
        <v>22906</v>
      </c>
      <c r="F531" s="53">
        <f>IFERROR(SUMIF(contas!G:G, B531, contas!B:B),0)</f>
        <v>0</v>
      </c>
      <c r="G531" s="51">
        <f>SUMIFS(previsoes!D:D, previsoes!E:E, "&lt;=" &amp; EOMONTH(DATEVALUE(B531&amp;"-01"),0), previsoes!F:F, "&gt;=" &amp; DATEVALUE(B531&amp;"-01"))</f>
        <v>0</v>
      </c>
      <c r="H531" s="52">
        <f t="shared" si="5"/>
        <v>160491.8958</v>
      </c>
      <c r="I531" s="49">
        <f t="shared" si="3"/>
        <v>22906</v>
      </c>
      <c r="J531" s="52">
        <f>IF(A531&lt;&gt;"",SUMIFS(metas!N:N, metas!E:E, "&gt;=" &amp; DATEVALUE(B531&amp;"-01"),metas!D:D, "&lt;=" &amp; DATEVALUE(B531&amp;"-01")),"")</f>
        <v>3182.813937</v>
      </c>
      <c r="K531" s="49">
        <f t="shared" si="4"/>
        <v>19723.18606</v>
      </c>
      <c r="L531" s="49">
        <f t="shared" si="6"/>
        <v>9817171.956</v>
      </c>
      <c r="M531" s="49">
        <f>IF(A531&lt;&gt;"",IF(COUNTIF(investimento!F:F, B531) &gt; 0, SUM(investimento!B:B)+I531, M530+I531),"")</f>
        <v>11922838.68</v>
      </c>
    </row>
    <row r="532" ht="22.5" customHeight="1">
      <c r="A532" s="47">
        <v>50581.0</v>
      </c>
      <c r="B532" s="48" t="str">
        <f t="shared" si="1"/>
        <v>2038-06</v>
      </c>
      <c r="C532" s="49">
        <f>SUMIF(despesas_recorrentes!C:C, "&gt;="&amp;A532,despesas_recorrentes!B:B) 
+SUMIF(despesas_recorrentes!C:C, "",despesas_recorrentes!B:B)
-despesas_recorrentes!$B$12
+IF(SUMIF(gasto_cartao!E:E,saldo!B532,gasto_cartao!B:B)&gt;despesas_recorrentes!$B$12, SUMIF(gasto_cartao!E:E,saldo!B532,gasto_cartao!B:B),despesas_recorrentes!$B$12)</f>
        <v>34013</v>
      </c>
      <c r="D532" s="51">
        <f>SUM(receitas_recorrentes!B:B)+SUMIF(receitas_pontuais!E:E,B532,receitas_pontuais!B:B)</f>
        <v>56919</v>
      </c>
      <c r="E532" s="51">
        <f t="shared" si="2"/>
        <v>22906</v>
      </c>
      <c r="F532" s="53">
        <f>IFERROR(SUMIF(contas!G:G, B532, contas!B:B),0)</f>
        <v>0</v>
      </c>
      <c r="G532" s="51">
        <f>SUMIFS(previsoes!D:D, previsoes!E:E, "&lt;=" &amp; EOMONTH(DATEVALUE(B532&amp;"-01"),0), previsoes!F:F, "&gt;=" &amp; DATEVALUE(B532&amp;"-01"))</f>
        <v>0</v>
      </c>
      <c r="H532" s="52">
        <f t="shared" si="5"/>
        <v>160491.8958</v>
      </c>
      <c r="I532" s="49">
        <f t="shared" si="3"/>
        <v>22906</v>
      </c>
      <c r="J532" s="52">
        <f>IF(A532&lt;&gt;"",SUMIFS(metas!N:N, metas!E:E, "&gt;=" &amp; DATEVALUE(B532&amp;"-01"),metas!D:D, "&lt;=" &amp; DATEVALUE(B532&amp;"-01")),"")</f>
        <v>3182.813937</v>
      </c>
      <c r="K532" s="49">
        <f t="shared" si="4"/>
        <v>19723.18606</v>
      </c>
      <c r="L532" s="49">
        <f t="shared" si="6"/>
        <v>9836895.142</v>
      </c>
      <c r="M532" s="49">
        <f>IF(A532&lt;&gt;"",IF(COUNTIF(investimento!F:F, B532) &gt; 0, SUM(investimento!B:B)+I532, M531+I532),"")</f>
        <v>11945744.68</v>
      </c>
    </row>
    <row r="533" ht="22.5" customHeight="1">
      <c r="A533" s="47">
        <v>50582.0</v>
      </c>
      <c r="B533" s="48" t="str">
        <f t="shared" si="1"/>
        <v>2038-06</v>
      </c>
      <c r="C533" s="49">
        <f>SUMIF(despesas_recorrentes!C:C, "&gt;="&amp;A533,despesas_recorrentes!B:B) 
+SUMIF(despesas_recorrentes!C:C, "",despesas_recorrentes!B:B)
-despesas_recorrentes!$B$12
+IF(SUMIF(gasto_cartao!E:E,saldo!B533,gasto_cartao!B:B)&gt;despesas_recorrentes!$B$12, SUMIF(gasto_cartao!E:E,saldo!B533,gasto_cartao!B:B),despesas_recorrentes!$B$12)</f>
        <v>34013</v>
      </c>
      <c r="D533" s="51">
        <f>SUM(receitas_recorrentes!B:B)+SUMIF(receitas_pontuais!E:E,B533,receitas_pontuais!B:B)</f>
        <v>56919</v>
      </c>
      <c r="E533" s="51">
        <f t="shared" si="2"/>
        <v>22906</v>
      </c>
      <c r="F533" s="53">
        <f>IFERROR(SUMIF(contas!G:G, B533, contas!B:B),0)</f>
        <v>0</v>
      </c>
      <c r="G533" s="51">
        <f>SUMIFS(previsoes!D:D, previsoes!E:E, "&lt;=" &amp; EOMONTH(DATEVALUE(B533&amp;"-01"),0), previsoes!F:F, "&gt;=" &amp; DATEVALUE(B533&amp;"-01"))</f>
        <v>0</v>
      </c>
      <c r="H533" s="52">
        <f t="shared" si="5"/>
        <v>160491.8958</v>
      </c>
      <c r="I533" s="49">
        <f t="shared" si="3"/>
        <v>22906</v>
      </c>
      <c r="J533" s="52">
        <f>IF(A533&lt;&gt;"",SUMIFS(metas!N:N, metas!E:E, "&gt;=" &amp; DATEVALUE(B533&amp;"-01"),metas!D:D, "&lt;=" &amp; DATEVALUE(B533&amp;"-01")),"")</f>
        <v>3182.813937</v>
      </c>
      <c r="K533" s="49">
        <f t="shared" si="4"/>
        <v>19723.18606</v>
      </c>
      <c r="L533" s="49">
        <f t="shared" si="6"/>
        <v>9856618.328</v>
      </c>
      <c r="M533" s="49">
        <f>IF(A533&lt;&gt;"",IF(COUNTIF(investimento!F:F, B533) &gt; 0, SUM(investimento!B:B)+I533, M532+I533),"")</f>
        <v>11968650.68</v>
      </c>
    </row>
    <row r="534" ht="22.5" customHeight="1">
      <c r="A534" s="47">
        <v>50583.0</v>
      </c>
      <c r="B534" s="48" t="str">
        <f t="shared" si="1"/>
        <v>2038-06</v>
      </c>
      <c r="C534" s="49">
        <f>SUMIF(despesas_recorrentes!C:C, "&gt;="&amp;A534,despesas_recorrentes!B:B) 
+SUMIF(despesas_recorrentes!C:C, "",despesas_recorrentes!B:B)
-despesas_recorrentes!$B$12
+IF(SUMIF(gasto_cartao!E:E,saldo!B534,gasto_cartao!B:B)&gt;despesas_recorrentes!$B$12, SUMIF(gasto_cartao!E:E,saldo!B534,gasto_cartao!B:B),despesas_recorrentes!$B$12)</f>
        <v>34013</v>
      </c>
      <c r="D534" s="51">
        <f>SUM(receitas_recorrentes!B:B)+SUMIF(receitas_pontuais!E:E,B534,receitas_pontuais!B:B)</f>
        <v>56919</v>
      </c>
      <c r="E534" s="51">
        <f t="shared" si="2"/>
        <v>22906</v>
      </c>
      <c r="F534" s="53">
        <f>IFERROR(SUMIF(contas!G:G, B534, contas!B:B),0)</f>
        <v>0</v>
      </c>
      <c r="G534" s="51">
        <f>SUMIFS(previsoes!D:D, previsoes!E:E, "&lt;=" &amp; EOMONTH(DATEVALUE(B534&amp;"-01"),0), previsoes!F:F, "&gt;=" &amp; DATEVALUE(B534&amp;"-01"))</f>
        <v>0</v>
      </c>
      <c r="H534" s="52">
        <f t="shared" si="5"/>
        <v>160491.8958</v>
      </c>
      <c r="I534" s="49">
        <f t="shared" si="3"/>
        <v>22906</v>
      </c>
      <c r="J534" s="52">
        <f>IF(A534&lt;&gt;"",SUMIFS(metas!N:N, metas!E:E, "&gt;=" &amp; DATEVALUE(B534&amp;"-01"),metas!D:D, "&lt;=" &amp; DATEVALUE(B534&amp;"-01")),"")</f>
        <v>3182.813937</v>
      </c>
      <c r="K534" s="49">
        <f t="shared" si="4"/>
        <v>19723.18606</v>
      </c>
      <c r="L534" s="49">
        <f t="shared" si="6"/>
        <v>9876341.514</v>
      </c>
      <c r="M534" s="49">
        <f>IF(A534&lt;&gt;"",IF(COUNTIF(investimento!F:F, B534) &gt; 0, SUM(investimento!B:B)+I534, M533+I534),"")</f>
        <v>11991556.68</v>
      </c>
    </row>
    <row r="535" ht="22.5" customHeight="1">
      <c r="A535" s="47">
        <v>50584.0</v>
      </c>
      <c r="B535" s="48" t="str">
        <f t="shared" si="1"/>
        <v>2038-06</v>
      </c>
      <c r="C535" s="49">
        <f>SUMIF(despesas_recorrentes!C:C, "&gt;="&amp;A535,despesas_recorrentes!B:B) 
+SUMIF(despesas_recorrentes!C:C, "",despesas_recorrentes!B:B)
-despesas_recorrentes!$B$12
+IF(SUMIF(gasto_cartao!E:E,saldo!B535,gasto_cartao!B:B)&gt;despesas_recorrentes!$B$12, SUMIF(gasto_cartao!E:E,saldo!B535,gasto_cartao!B:B),despesas_recorrentes!$B$12)</f>
        <v>34013</v>
      </c>
      <c r="D535" s="51">
        <f>SUM(receitas_recorrentes!B:B)+SUMIF(receitas_pontuais!E:E,B535,receitas_pontuais!B:B)</f>
        <v>56919</v>
      </c>
      <c r="E535" s="51">
        <f t="shared" si="2"/>
        <v>22906</v>
      </c>
      <c r="F535" s="53">
        <f>IFERROR(SUMIF(contas!G:G, B535, contas!B:B),0)</f>
        <v>0</v>
      </c>
      <c r="G535" s="51">
        <f>SUMIFS(previsoes!D:D, previsoes!E:E, "&lt;=" &amp; EOMONTH(DATEVALUE(B535&amp;"-01"),0), previsoes!F:F, "&gt;=" &amp; DATEVALUE(B535&amp;"-01"))</f>
        <v>0</v>
      </c>
      <c r="H535" s="52">
        <f t="shared" si="5"/>
        <v>160491.8958</v>
      </c>
      <c r="I535" s="49">
        <f t="shared" si="3"/>
        <v>22906</v>
      </c>
      <c r="J535" s="52">
        <f>IF(A535&lt;&gt;"",SUMIFS(metas!N:N, metas!E:E, "&gt;=" &amp; DATEVALUE(B535&amp;"-01"),metas!D:D, "&lt;=" &amp; DATEVALUE(B535&amp;"-01")),"")</f>
        <v>3182.813937</v>
      </c>
      <c r="K535" s="49">
        <f t="shared" si="4"/>
        <v>19723.18606</v>
      </c>
      <c r="L535" s="49">
        <f t="shared" si="6"/>
        <v>9896064.7</v>
      </c>
      <c r="M535" s="49">
        <f>IF(A535&lt;&gt;"",IF(COUNTIF(investimento!F:F, B535) &gt; 0, SUM(investimento!B:B)+I535, M534+I535),"")</f>
        <v>12014462.68</v>
      </c>
    </row>
    <row r="536" ht="22.5" customHeight="1">
      <c r="A536" s="47">
        <v>50585.0</v>
      </c>
      <c r="B536" s="48" t="str">
        <f t="shared" si="1"/>
        <v>2038-06</v>
      </c>
      <c r="C536" s="49">
        <f>SUMIF(despesas_recorrentes!C:C, "&gt;="&amp;A536,despesas_recorrentes!B:B) 
+SUMIF(despesas_recorrentes!C:C, "",despesas_recorrentes!B:B)
-despesas_recorrentes!$B$12
+IF(SUMIF(gasto_cartao!E:E,saldo!B536,gasto_cartao!B:B)&gt;despesas_recorrentes!$B$12, SUMIF(gasto_cartao!E:E,saldo!B536,gasto_cartao!B:B),despesas_recorrentes!$B$12)</f>
        <v>34013</v>
      </c>
      <c r="D536" s="51">
        <f>SUM(receitas_recorrentes!B:B)+SUMIF(receitas_pontuais!E:E,B536,receitas_pontuais!B:B)</f>
        <v>56919</v>
      </c>
      <c r="E536" s="51">
        <f t="shared" si="2"/>
        <v>22906</v>
      </c>
      <c r="F536" s="53">
        <f>IFERROR(SUMIF(contas!G:G, B536, contas!B:B),0)</f>
        <v>0</v>
      </c>
      <c r="G536" s="51">
        <f>SUMIFS(previsoes!D:D, previsoes!E:E, "&lt;=" &amp; EOMONTH(DATEVALUE(B536&amp;"-01"),0), previsoes!F:F, "&gt;=" &amp; DATEVALUE(B536&amp;"-01"))</f>
        <v>0</v>
      </c>
      <c r="H536" s="52">
        <f t="shared" si="5"/>
        <v>160491.8958</v>
      </c>
      <c r="I536" s="49">
        <f t="shared" si="3"/>
        <v>22906</v>
      </c>
      <c r="J536" s="52">
        <f>IF(A536&lt;&gt;"",SUMIFS(metas!N:N, metas!E:E, "&gt;=" &amp; DATEVALUE(B536&amp;"-01"),metas!D:D, "&lt;=" &amp; DATEVALUE(B536&amp;"-01")),"")</f>
        <v>3182.813937</v>
      </c>
      <c r="K536" s="49">
        <f t="shared" si="4"/>
        <v>19723.18606</v>
      </c>
      <c r="L536" s="49">
        <f t="shared" si="6"/>
        <v>9915787.886</v>
      </c>
      <c r="M536" s="49">
        <f>IF(A536&lt;&gt;"",IF(COUNTIF(investimento!F:F, B536) &gt; 0, SUM(investimento!B:B)+I536, M535+I536),"")</f>
        <v>12037368.68</v>
      </c>
    </row>
    <row r="537" ht="22.5" customHeight="1">
      <c r="A537" s="47">
        <v>50586.0</v>
      </c>
      <c r="B537" s="48" t="str">
        <f t="shared" si="1"/>
        <v>2038-06</v>
      </c>
      <c r="C537" s="49">
        <f>SUMIF(despesas_recorrentes!C:C, "&gt;="&amp;A537,despesas_recorrentes!B:B) 
+SUMIF(despesas_recorrentes!C:C, "",despesas_recorrentes!B:B)
-despesas_recorrentes!$B$12
+IF(SUMIF(gasto_cartao!E:E,saldo!B537,gasto_cartao!B:B)&gt;despesas_recorrentes!$B$12, SUMIF(gasto_cartao!E:E,saldo!B537,gasto_cartao!B:B),despesas_recorrentes!$B$12)</f>
        <v>34013</v>
      </c>
      <c r="D537" s="51">
        <f>SUM(receitas_recorrentes!B:B)+SUMIF(receitas_pontuais!E:E,B537,receitas_pontuais!B:B)</f>
        <v>56919</v>
      </c>
      <c r="E537" s="51">
        <f t="shared" si="2"/>
        <v>22906</v>
      </c>
      <c r="F537" s="53">
        <f>IFERROR(SUMIF(contas!G:G, B537, contas!B:B),0)</f>
        <v>0</v>
      </c>
      <c r="G537" s="51">
        <f>SUMIFS(previsoes!D:D, previsoes!E:E, "&lt;=" &amp; EOMONTH(DATEVALUE(B537&amp;"-01"),0), previsoes!F:F, "&gt;=" &amp; DATEVALUE(B537&amp;"-01"))</f>
        <v>0</v>
      </c>
      <c r="H537" s="52">
        <f t="shared" si="5"/>
        <v>160491.8958</v>
      </c>
      <c r="I537" s="49">
        <f t="shared" si="3"/>
        <v>22906</v>
      </c>
      <c r="J537" s="52">
        <f>IF(A537&lt;&gt;"",SUMIFS(metas!N:N, metas!E:E, "&gt;=" &amp; DATEVALUE(B537&amp;"-01"),metas!D:D, "&lt;=" &amp; DATEVALUE(B537&amp;"-01")),"")</f>
        <v>3182.813937</v>
      </c>
      <c r="K537" s="49">
        <f t="shared" si="4"/>
        <v>19723.18606</v>
      </c>
      <c r="L537" s="49">
        <f t="shared" si="6"/>
        <v>9935511.072</v>
      </c>
      <c r="M537" s="49">
        <f>IF(A537&lt;&gt;"",IF(COUNTIF(investimento!F:F, B537) &gt; 0, SUM(investimento!B:B)+I537, M536+I537),"")</f>
        <v>12060274.68</v>
      </c>
    </row>
    <row r="538" ht="22.5" customHeight="1">
      <c r="A538" s="47">
        <v>50587.0</v>
      </c>
      <c r="B538" s="48" t="str">
        <f t="shared" si="1"/>
        <v>2038-07</v>
      </c>
      <c r="C538" s="49">
        <f>SUMIF(despesas_recorrentes!C:C, "&gt;="&amp;A538,despesas_recorrentes!B:B) 
+SUMIF(despesas_recorrentes!C:C, "",despesas_recorrentes!B:B)
-despesas_recorrentes!$B$12
+IF(SUMIF(gasto_cartao!E:E,saldo!B538,gasto_cartao!B:B)&gt;despesas_recorrentes!$B$12, SUMIF(gasto_cartao!E:E,saldo!B538,gasto_cartao!B:B),despesas_recorrentes!$B$12)</f>
        <v>34013</v>
      </c>
      <c r="D538" s="51">
        <f>SUM(receitas_recorrentes!B:B)+SUMIF(receitas_pontuais!E:E,B538,receitas_pontuais!B:B)</f>
        <v>56919</v>
      </c>
      <c r="E538" s="51">
        <f t="shared" si="2"/>
        <v>22906</v>
      </c>
      <c r="F538" s="53">
        <f>IFERROR(SUMIF(contas!G:G, B538, contas!B:B),0)</f>
        <v>0</v>
      </c>
      <c r="G538" s="51">
        <f>SUMIFS(previsoes!D:D, previsoes!E:E, "&lt;=" &amp; EOMONTH(DATEVALUE(B538&amp;"-01"),0), previsoes!F:F, "&gt;=" &amp; DATEVALUE(B538&amp;"-01"))</f>
        <v>0</v>
      </c>
      <c r="H538" s="52">
        <f t="shared" si="5"/>
        <v>160491.8958</v>
      </c>
      <c r="I538" s="49">
        <f t="shared" si="3"/>
        <v>22906</v>
      </c>
      <c r="J538" s="52">
        <f>IF(A538&lt;&gt;"",SUMIFS(metas!N:N, metas!E:E, "&gt;=" &amp; DATEVALUE(B538&amp;"-01"),metas!D:D, "&lt;=" &amp; DATEVALUE(B538&amp;"-01")),"")</f>
        <v>3182.813937</v>
      </c>
      <c r="K538" s="49">
        <f t="shared" si="4"/>
        <v>19723.18606</v>
      </c>
      <c r="L538" s="49">
        <f t="shared" si="6"/>
        <v>9955234.258</v>
      </c>
      <c r="M538" s="49">
        <f>IF(A538&lt;&gt;"",IF(COUNTIF(investimento!F:F, B538) &gt; 0, SUM(investimento!B:B)+I538, M537+I538),"")</f>
        <v>12083180.68</v>
      </c>
    </row>
    <row r="539" ht="22.5" customHeight="1">
      <c r="A539" s="47">
        <v>50588.0</v>
      </c>
      <c r="B539" s="48" t="str">
        <f t="shared" si="1"/>
        <v>2038-07</v>
      </c>
      <c r="C539" s="49">
        <f>SUMIF(despesas_recorrentes!C:C, "&gt;="&amp;A539,despesas_recorrentes!B:B) 
+SUMIF(despesas_recorrentes!C:C, "",despesas_recorrentes!B:B)
-despesas_recorrentes!$B$12
+IF(SUMIF(gasto_cartao!E:E,saldo!B539,gasto_cartao!B:B)&gt;despesas_recorrentes!$B$12, SUMIF(gasto_cartao!E:E,saldo!B539,gasto_cartao!B:B),despesas_recorrentes!$B$12)</f>
        <v>34013</v>
      </c>
      <c r="D539" s="51">
        <f>SUM(receitas_recorrentes!B:B)+SUMIF(receitas_pontuais!E:E,B539,receitas_pontuais!B:B)</f>
        <v>56919</v>
      </c>
      <c r="E539" s="51">
        <f t="shared" si="2"/>
        <v>22906</v>
      </c>
      <c r="F539" s="53">
        <f>IFERROR(SUMIF(contas!G:G, B539, contas!B:B),0)</f>
        <v>0</v>
      </c>
      <c r="G539" s="51">
        <f>SUMIFS(previsoes!D:D, previsoes!E:E, "&lt;=" &amp; EOMONTH(DATEVALUE(B539&amp;"-01"),0), previsoes!F:F, "&gt;=" &amp; DATEVALUE(B539&amp;"-01"))</f>
        <v>0</v>
      </c>
      <c r="H539" s="52">
        <f t="shared" si="5"/>
        <v>160491.8958</v>
      </c>
      <c r="I539" s="49">
        <f t="shared" si="3"/>
        <v>22906</v>
      </c>
      <c r="J539" s="52">
        <f>IF(A539&lt;&gt;"",SUMIFS(metas!N:N, metas!E:E, "&gt;=" &amp; DATEVALUE(B539&amp;"-01"),metas!D:D, "&lt;=" &amp; DATEVALUE(B539&amp;"-01")),"")</f>
        <v>3182.813937</v>
      </c>
      <c r="K539" s="49">
        <f t="shared" si="4"/>
        <v>19723.18606</v>
      </c>
      <c r="L539" s="49">
        <f t="shared" si="6"/>
        <v>9974957.444</v>
      </c>
      <c r="M539" s="49">
        <f>IF(A539&lt;&gt;"",IF(COUNTIF(investimento!F:F, B539) &gt; 0, SUM(investimento!B:B)+I539, M538+I539),"")</f>
        <v>12106086.68</v>
      </c>
    </row>
    <row r="540" ht="22.5" customHeight="1">
      <c r="A540" s="47">
        <v>50589.0</v>
      </c>
      <c r="B540" s="48" t="str">
        <f t="shared" si="1"/>
        <v>2038-07</v>
      </c>
      <c r="C540" s="49">
        <f>SUMIF(despesas_recorrentes!C:C, "&gt;="&amp;A540,despesas_recorrentes!B:B) 
+SUMIF(despesas_recorrentes!C:C, "",despesas_recorrentes!B:B)
-despesas_recorrentes!$B$12
+IF(SUMIF(gasto_cartao!E:E,saldo!B540,gasto_cartao!B:B)&gt;despesas_recorrentes!$B$12, SUMIF(gasto_cartao!E:E,saldo!B540,gasto_cartao!B:B),despesas_recorrentes!$B$12)</f>
        <v>34013</v>
      </c>
      <c r="D540" s="51">
        <f>SUM(receitas_recorrentes!B:B)+SUMIF(receitas_pontuais!E:E,B540,receitas_pontuais!B:B)</f>
        <v>56919</v>
      </c>
      <c r="E540" s="51">
        <f t="shared" si="2"/>
        <v>22906</v>
      </c>
      <c r="F540" s="53">
        <f>IFERROR(SUMIF(contas!G:G, B540, contas!B:B),0)</f>
        <v>0</v>
      </c>
      <c r="G540" s="51">
        <f>SUMIFS(previsoes!D:D, previsoes!E:E, "&lt;=" &amp; EOMONTH(DATEVALUE(B540&amp;"-01"),0), previsoes!F:F, "&gt;=" &amp; DATEVALUE(B540&amp;"-01"))</f>
        <v>0</v>
      </c>
      <c r="H540" s="52">
        <f t="shared" si="5"/>
        <v>160491.8958</v>
      </c>
      <c r="I540" s="49">
        <f t="shared" si="3"/>
        <v>22906</v>
      </c>
      <c r="J540" s="52">
        <f>IF(A540&lt;&gt;"",SUMIFS(metas!N:N, metas!E:E, "&gt;=" &amp; DATEVALUE(B540&amp;"-01"),metas!D:D, "&lt;=" &amp; DATEVALUE(B540&amp;"-01")),"")</f>
        <v>3182.813937</v>
      </c>
      <c r="K540" s="49">
        <f t="shared" si="4"/>
        <v>19723.18606</v>
      </c>
      <c r="L540" s="49">
        <f t="shared" si="6"/>
        <v>9994680.631</v>
      </c>
      <c r="M540" s="49">
        <f>IF(A540&lt;&gt;"",IF(COUNTIF(investimento!F:F, B540) &gt; 0, SUM(investimento!B:B)+I540, M539+I540),"")</f>
        <v>12128992.68</v>
      </c>
    </row>
    <row r="541" ht="22.5" customHeight="1">
      <c r="A541" s="47">
        <v>50590.0</v>
      </c>
      <c r="B541" s="48" t="str">
        <f t="shared" si="1"/>
        <v>2038-07</v>
      </c>
      <c r="C541" s="49">
        <f>SUMIF(despesas_recorrentes!C:C, "&gt;="&amp;A541,despesas_recorrentes!B:B) 
+SUMIF(despesas_recorrentes!C:C, "",despesas_recorrentes!B:B)
-despesas_recorrentes!$B$12
+IF(SUMIF(gasto_cartao!E:E,saldo!B541,gasto_cartao!B:B)&gt;despesas_recorrentes!$B$12, SUMIF(gasto_cartao!E:E,saldo!B541,gasto_cartao!B:B),despesas_recorrentes!$B$12)</f>
        <v>34013</v>
      </c>
      <c r="D541" s="51">
        <f>SUM(receitas_recorrentes!B:B)+SUMIF(receitas_pontuais!E:E,B541,receitas_pontuais!B:B)</f>
        <v>56919</v>
      </c>
      <c r="E541" s="51">
        <f t="shared" si="2"/>
        <v>22906</v>
      </c>
      <c r="F541" s="53">
        <f>IFERROR(SUMIF(contas!G:G, B541, contas!B:B),0)</f>
        <v>0</v>
      </c>
      <c r="G541" s="51">
        <f>SUMIFS(previsoes!D:D, previsoes!E:E, "&lt;=" &amp; EOMONTH(DATEVALUE(B541&amp;"-01"),0), previsoes!F:F, "&gt;=" &amp; DATEVALUE(B541&amp;"-01"))</f>
        <v>0</v>
      </c>
      <c r="H541" s="52">
        <f t="shared" si="5"/>
        <v>160491.8958</v>
      </c>
      <c r="I541" s="49">
        <f t="shared" si="3"/>
        <v>22906</v>
      </c>
      <c r="J541" s="52">
        <f>IF(A541&lt;&gt;"",SUMIFS(metas!N:N, metas!E:E, "&gt;=" &amp; DATEVALUE(B541&amp;"-01"),metas!D:D, "&lt;=" &amp; DATEVALUE(B541&amp;"-01")),"")</f>
        <v>3182.813937</v>
      </c>
      <c r="K541" s="49">
        <f t="shared" si="4"/>
        <v>19723.18606</v>
      </c>
      <c r="L541" s="49">
        <f t="shared" si="6"/>
        <v>10014403.82</v>
      </c>
      <c r="M541" s="49">
        <f>IF(A541&lt;&gt;"",IF(COUNTIF(investimento!F:F, B541) &gt; 0, SUM(investimento!B:B)+I541, M540+I541),"")</f>
        <v>12151898.68</v>
      </c>
    </row>
    <row r="542" ht="22.5" customHeight="1">
      <c r="A542" s="47">
        <v>50591.0</v>
      </c>
      <c r="B542" s="48" t="str">
        <f t="shared" si="1"/>
        <v>2038-07</v>
      </c>
      <c r="C542" s="49">
        <f>SUMIF(despesas_recorrentes!C:C, "&gt;="&amp;A542,despesas_recorrentes!B:B) 
+SUMIF(despesas_recorrentes!C:C, "",despesas_recorrentes!B:B)
-despesas_recorrentes!$B$12
+IF(SUMIF(gasto_cartao!E:E,saldo!B542,gasto_cartao!B:B)&gt;despesas_recorrentes!$B$12, SUMIF(gasto_cartao!E:E,saldo!B542,gasto_cartao!B:B),despesas_recorrentes!$B$12)</f>
        <v>34013</v>
      </c>
      <c r="D542" s="51">
        <f>SUM(receitas_recorrentes!B:B)+SUMIF(receitas_pontuais!E:E,B542,receitas_pontuais!B:B)</f>
        <v>56919</v>
      </c>
      <c r="E542" s="51">
        <f t="shared" si="2"/>
        <v>22906</v>
      </c>
      <c r="F542" s="53">
        <f>IFERROR(SUMIF(contas!G:G, B542, contas!B:B),0)</f>
        <v>0</v>
      </c>
      <c r="G542" s="51">
        <f>SUMIFS(previsoes!D:D, previsoes!E:E, "&lt;=" &amp; EOMONTH(DATEVALUE(B542&amp;"-01"),0), previsoes!F:F, "&gt;=" &amp; DATEVALUE(B542&amp;"-01"))</f>
        <v>0</v>
      </c>
      <c r="H542" s="52">
        <f t="shared" si="5"/>
        <v>160491.8958</v>
      </c>
      <c r="I542" s="49">
        <f t="shared" si="3"/>
        <v>22906</v>
      </c>
      <c r="J542" s="52">
        <f>IF(A542&lt;&gt;"",SUMIFS(metas!N:N, metas!E:E, "&gt;=" &amp; DATEVALUE(B542&amp;"-01"),metas!D:D, "&lt;=" &amp; DATEVALUE(B542&amp;"-01")),"")</f>
        <v>3182.813937</v>
      </c>
      <c r="K542" s="49">
        <f t="shared" si="4"/>
        <v>19723.18606</v>
      </c>
      <c r="L542" s="49">
        <f t="shared" si="6"/>
        <v>10034127</v>
      </c>
      <c r="M542" s="49">
        <f>IF(A542&lt;&gt;"",IF(COUNTIF(investimento!F:F, B542) &gt; 0, SUM(investimento!B:B)+I542, M541+I542),"")</f>
        <v>12174804.68</v>
      </c>
    </row>
    <row r="543" ht="22.5" customHeight="1">
      <c r="A543" s="47">
        <v>50592.0</v>
      </c>
      <c r="B543" s="48" t="str">
        <f t="shared" si="1"/>
        <v>2038-07</v>
      </c>
      <c r="C543" s="49">
        <f>SUMIF(despesas_recorrentes!C:C, "&gt;="&amp;A543,despesas_recorrentes!B:B) 
+SUMIF(despesas_recorrentes!C:C, "",despesas_recorrentes!B:B)
-despesas_recorrentes!$B$12
+IF(SUMIF(gasto_cartao!E:E,saldo!B543,gasto_cartao!B:B)&gt;despesas_recorrentes!$B$12, SUMIF(gasto_cartao!E:E,saldo!B543,gasto_cartao!B:B),despesas_recorrentes!$B$12)</f>
        <v>34013</v>
      </c>
      <c r="D543" s="51">
        <f>SUM(receitas_recorrentes!B:B)+SUMIF(receitas_pontuais!E:E,B543,receitas_pontuais!B:B)</f>
        <v>56919</v>
      </c>
      <c r="E543" s="51">
        <f t="shared" si="2"/>
        <v>22906</v>
      </c>
      <c r="F543" s="53">
        <f>IFERROR(SUMIF(contas!G:G, B543, contas!B:B),0)</f>
        <v>0</v>
      </c>
      <c r="G543" s="51">
        <f>SUMIFS(previsoes!D:D, previsoes!E:E, "&lt;=" &amp; EOMONTH(DATEVALUE(B543&amp;"-01"),0), previsoes!F:F, "&gt;=" &amp; DATEVALUE(B543&amp;"-01"))</f>
        <v>0</v>
      </c>
      <c r="H543" s="52">
        <f t="shared" si="5"/>
        <v>160491.8958</v>
      </c>
      <c r="I543" s="49">
        <f t="shared" si="3"/>
        <v>22906</v>
      </c>
      <c r="J543" s="52">
        <f>IF(A543&lt;&gt;"",SUMIFS(metas!N:N, metas!E:E, "&gt;=" &amp; DATEVALUE(B543&amp;"-01"),metas!D:D, "&lt;=" &amp; DATEVALUE(B543&amp;"-01")),"")</f>
        <v>3182.813937</v>
      </c>
      <c r="K543" s="49">
        <f t="shared" si="4"/>
        <v>19723.18606</v>
      </c>
      <c r="L543" s="49">
        <f t="shared" si="6"/>
        <v>10053850.19</v>
      </c>
      <c r="M543" s="49">
        <f>IF(A543&lt;&gt;"",IF(COUNTIF(investimento!F:F, B543) &gt; 0, SUM(investimento!B:B)+I543, M542+I543),"")</f>
        <v>12197710.68</v>
      </c>
    </row>
    <row r="544" ht="22.5" customHeight="1">
      <c r="A544" s="47">
        <v>50593.0</v>
      </c>
      <c r="B544" s="48" t="str">
        <f t="shared" si="1"/>
        <v>2038-07</v>
      </c>
      <c r="C544" s="49">
        <f>SUMIF(despesas_recorrentes!C:C, "&gt;="&amp;A544,despesas_recorrentes!B:B) 
+SUMIF(despesas_recorrentes!C:C, "",despesas_recorrentes!B:B)
-despesas_recorrentes!$B$12
+IF(SUMIF(gasto_cartao!E:E,saldo!B544,gasto_cartao!B:B)&gt;despesas_recorrentes!$B$12, SUMIF(gasto_cartao!E:E,saldo!B544,gasto_cartao!B:B),despesas_recorrentes!$B$12)</f>
        <v>34013</v>
      </c>
      <c r="D544" s="51">
        <f>SUM(receitas_recorrentes!B:B)+SUMIF(receitas_pontuais!E:E,B544,receitas_pontuais!B:B)</f>
        <v>56919</v>
      </c>
      <c r="E544" s="51">
        <f t="shared" si="2"/>
        <v>22906</v>
      </c>
      <c r="F544" s="53">
        <f>IFERROR(SUMIF(contas!G:G, B544, contas!B:B),0)</f>
        <v>0</v>
      </c>
      <c r="G544" s="51">
        <f>SUMIFS(previsoes!D:D, previsoes!E:E, "&lt;=" &amp; EOMONTH(DATEVALUE(B544&amp;"-01"),0), previsoes!F:F, "&gt;=" &amp; DATEVALUE(B544&amp;"-01"))</f>
        <v>0</v>
      </c>
      <c r="H544" s="52">
        <f t="shared" si="5"/>
        <v>160491.8958</v>
      </c>
      <c r="I544" s="49">
        <f t="shared" si="3"/>
        <v>22906</v>
      </c>
      <c r="J544" s="52">
        <f>IF(A544&lt;&gt;"",SUMIFS(metas!N:N, metas!E:E, "&gt;=" &amp; DATEVALUE(B544&amp;"-01"),metas!D:D, "&lt;=" &amp; DATEVALUE(B544&amp;"-01")),"")</f>
        <v>3182.813937</v>
      </c>
      <c r="K544" s="49">
        <f t="shared" si="4"/>
        <v>19723.18606</v>
      </c>
      <c r="L544" s="49">
        <f t="shared" si="6"/>
        <v>10073573.37</v>
      </c>
      <c r="M544" s="49">
        <f>IF(A544&lt;&gt;"",IF(COUNTIF(investimento!F:F, B544) &gt; 0, SUM(investimento!B:B)+I544, M543+I544),"")</f>
        <v>12220616.68</v>
      </c>
    </row>
    <row r="545" ht="22.5" customHeight="1">
      <c r="A545" s="47">
        <v>50594.0</v>
      </c>
      <c r="B545" s="48" t="str">
        <f t="shared" si="1"/>
        <v>2038-07</v>
      </c>
      <c r="C545" s="49">
        <f>SUMIF(despesas_recorrentes!C:C, "&gt;="&amp;A545,despesas_recorrentes!B:B) 
+SUMIF(despesas_recorrentes!C:C, "",despesas_recorrentes!B:B)
-despesas_recorrentes!$B$12
+IF(SUMIF(gasto_cartao!E:E,saldo!B545,gasto_cartao!B:B)&gt;despesas_recorrentes!$B$12, SUMIF(gasto_cartao!E:E,saldo!B545,gasto_cartao!B:B),despesas_recorrentes!$B$12)</f>
        <v>34013</v>
      </c>
      <c r="D545" s="51">
        <f>SUM(receitas_recorrentes!B:B)+SUMIF(receitas_pontuais!E:E,B545,receitas_pontuais!B:B)</f>
        <v>56919</v>
      </c>
      <c r="E545" s="51">
        <f t="shared" si="2"/>
        <v>22906</v>
      </c>
      <c r="F545" s="53">
        <f>IFERROR(SUMIF(contas!G:G, B545, contas!B:B),0)</f>
        <v>0</v>
      </c>
      <c r="G545" s="51">
        <f>SUMIFS(previsoes!D:D, previsoes!E:E, "&lt;=" &amp; EOMONTH(DATEVALUE(B545&amp;"-01"),0), previsoes!F:F, "&gt;=" &amp; DATEVALUE(B545&amp;"-01"))</f>
        <v>0</v>
      </c>
      <c r="H545" s="52">
        <f t="shared" si="5"/>
        <v>160491.8958</v>
      </c>
      <c r="I545" s="49">
        <f t="shared" si="3"/>
        <v>22906</v>
      </c>
      <c r="J545" s="52">
        <f>IF(A545&lt;&gt;"",SUMIFS(metas!N:N, metas!E:E, "&gt;=" &amp; DATEVALUE(B545&amp;"-01"),metas!D:D, "&lt;=" &amp; DATEVALUE(B545&amp;"-01")),"")</f>
        <v>3182.813937</v>
      </c>
      <c r="K545" s="49">
        <f t="shared" si="4"/>
        <v>19723.18606</v>
      </c>
      <c r="L545" s="49">
        <f t="shared" si="6"/>
        <v>10093296.56</v>
      </c>
      <c r="M545" s="49">
        <f>IF(A545&lt;&gt;"",IF(COUNTIF(investimento!F:F, B545) &gt; 0, SUM(investimento!B:B)+I545, M544+I545),"")</f>
        <v>12243522.68</v>
      </c>
    </row>
    <row r="546" ht="22.5" customHeight="1">
      <c r="A546" s="47">
        <v>50595.0</v>
      </c>
      <c r="B546" s="48" t="str">
        <f t="shared" si="1"/>
        <v>2038-07</v>
      </c>
      <c r="C546" s="49">
        <f>SUMIF(despesas_recorrentes!C:C, "&gt;="&amp;A546,despesas_recorrentes!B:B) 
+SUMIF(despesas_recorrentes!C:C, "",despesas_recorrentes!B:B)
-despesas_recorrentes!$B$12
+IF(SUMIF(gasto_cartao!E:E,saldo!B546,gasto_cartao!B:B)&gt;despesas_recorrentes!$B$12, SUMIF(gasto_cartao!E:E,saldo!B546,gasto_cartao!B:B),despesas_recorrentes!$B$12)</f>
        <v>34013</v>
      </c>
      <c r="D546" s="51">
        <f>SUM(receitas_recorrentes!B:B)+SUMIF(receitas_pontuais!E:E,B546,receitas_pontuais!B:B)</f>
        <v>56919</v>
      </c>
      <c r="E546" s="51">
        <f t="shared" si="2"/>
        <v>22906</v>
      </c>
      <c r="F546" s="53">
        <f>IFERROR(SUMIF(contas!G:G, B546, contas!B:B),0)</f>
        <v>0</v>
      </c>
      <c r="G546" s="51">
        <f>SUMIFS(previsoes!D:D, previsoes!E:E, "&lt;=" &amp; EOMONTH(DATEVALUE(B546&amp;"-01"),0), previsoes!F:F, "&gt;=" &amp; DATEVALUE(B546&amp;"-01"))</f>
        <v>0</v>
      </c>
      <c r="H546" s="52">
        <f t="shared" si="5"/>
        <v>160491.8958</v>
      </c>
      <c r="I546" s="49">
        <f t="shared" si="3"/>
        <v>22906</v>
      </c>
      <c r="J546" s="52">
        <f>IF(A546&lt;&gt;"",SUMIFS(metas!N:N, metas!E:E, "&gt;=" &amp; DATEVALUE(B546&amp;"-01"),metas!D:D, "&lt;=" &amp; DATEVALUE(B546&amp;"-01")),"")</f>
        <v>3182.813937</v>
      </c>
      <c r="K546" s="49">
        <f t="shared" si="4"/>
        <v>19723.18606</v>
      </c>
      <c r="L546" s="49">
        <f t="shared" si="6"/>
        <v>10113019.75</v>
      </c>
      <c r="M546" s="49">
        <f>IF(A546&lt;&gt;"",IF(COUNTIF(investimento!F:F, B546) &gt; 0, SUM(investimento!B:B)+I546, M545+I546),"")</f>
        <v>12266428.68</v>
      </c>
    </row>
    <row r="547" ht="22.5" customHeight="1">
      <c r="A547" s="47">
        <v>50596.0</v>
      </c>
      <c r="B547" s="48" t="str">
        <f t="shared" si="1"/>
        <v>2038-07</v>
      </c>
      <c r="C547" s="49">
        <f>SUMIF(despesas_recorrentes!C:C, "&gt;="&amp;A547,despesas_recorrentes!B:B) 
+SUMIF(despesas_recorrentes!C:C, "",despesas_recorrentes!B:B)
-despesas_recorrentes!$B$12
+IF(SUMIF(gasto_cartao!E:E,saldo!B547,gasto_cartao!B:B)&gt;despesas_recorrentes!$B$12, SUMIF(gasto_cartao!E:E,saldo!B547,gasto_cartao!B:B),despesas_recorrentes!$B$12)</f>
        <v>34013</v>
      </c>
      <c r="D547" s="51">
        <f>SUM(receitas_recorrentes!B:B)+SUMIF(receitas_pontuais!E:E,B547,receitas_pontuais!B:B)</f>
        <v>56919</v>
      </c>
      <c r="E547" s="51">
        <f t="shared" si="2"/>
        <v>22906</v>
      </c>
      <c r="F547" s="53">
        <f>IFERROR(SUMIF(contas!G:G, B547, contas!B:B),0)</f>
        <v>0</v>
      </c>
      <c r="G547" s="51">
        <f>SUMIFS(previsoes!D:D, previsoes!E:E, "&lt;=" &amp; EOMONTH(DATEVALUE(B547&amp;"-01"),0), previsoes!F:F, "&gt;=" &amp; DATEVALUE(B547&amp;"-01"))</f>
        <v>0</v>
      </c>
      <c r="H547" s="52">
        <f t="shared" si="5"/>
        <v>160491.8958</v>
      </c>
      <c r="I547" s="49">
        <f t="shared" si="3"/>
        <v>22906</v>
      </c>
      <c r="J547" s="52">
        <f>IF(A547&lt;&gt;"",SUMIFS(metas!N:N, metas!E:E, "&gt;=" &amp; DATEVALUE(B547&amp;"-01"),metas!D:D, "&lt;=" &amp; DATEVALUE(B547&amp;"-01")),"")</f>
        <v>3182.813937</v>
      </c>
      <c r="K547" s="49">
        <f t="shared" si="4"/>
        <v>19723.18606</v>
      </c>
      <c r="L547" s="49">
        <f t="shared" si="6"/>
        <v>10132742.93</v>
      </c>
      <c r="M547" s="49">
        <f>IF(A547&lt;&gt;"",IF(COUNTIF(investimento!F:F, B547) &gt; 0, SUM(investimento!B:B)+I547, M546+I547),"")</f>
        <v>12289334.68</v>
      </c>
    </row>
    <row r="548" ht="22.5" customHeight="1">
      <c r="A548" s="47">
        <v>50597.0</v>
      </c>
      <c r="B548" s="48" t="str">
        <f t="shared" si="1"/>
        <v>2038-07</v>
      </c>
      <c r="C548" s="49">
        <f>SUMIF(despesas_recorrentes!C:C, "&gt;="&amp;A548,despesas_recorrentes!B:B) 
+SUMIF(despesas_recorrentes!C:C, "",despesas_recorrentes!B:B)
-despesas_recorrentes!$B$12
+IF(SUMIF(gasto_cartao!E:E,saldo!B548,gasto_cartao!B:B)&gt;despesas_recorrentes!$B$12, SUMIF(gasto_cartao!E:E,saldo!B548,gasto_cartao!B:B),despesas_recorrentes!$B$12)</f>
        <v>34013</v>
      </c>
      <c r="D548" s="51">
        <f>SUM(receitas_recorrentes!B:B)+SUMIF(receitas_pontuais!E:E,B548,receitas_pontuais!B:B)</f>
        <v>56919</v>
      </c>
      <c r="E548" s="51">
        <f t="shared" si="2"/>
        <v>22906</v>
      </c>
      <c r="F548" s="53">
        <f>IFERROR(SUMIF(contas!G:G, B548, contas!B:B),0)</f>
        <v>0</v>
      </c>
      <c r="G548" s="51">
        <f>SUMIFS(previsoes!D:D, previsoes!E:E, "&lt;=" &amp; EOMONTH(DATEVALUE(B548&amp;"-01"),0), previsoes!F:F, "&gt;=" &amp; DATEVALUE(B548&amp;"-01"))</f>
        <v>0</v>
      </c>
      <c r="H548" s="52">
        <f t="shared" si="5"/>
        <v>160491.8958</v>
      </c>
      <c r="I548" s="49">
        <f t="shared" si="3"/>
        <v>22906</v>
      </c>
      <c r="J548" s="52">
        <f>IF(A548&lt;&gt;"",SUMIFS(metas!N:N, metas!E:E, "&gt;=" &amp; DATEVALUE(B548&amp;"-01"),metas!D:D, "&lt;=" &amp; DATEVALUE(B548&amp;"-01")),"")</f>
        <v>3182.813937</v>
      </c>
      <c r="K548" s="49">
        <f t="shared" si="4"/>
        <v>19723.18606</v>
      </c>
      <c r="L548" s="49">
        <f t="shared" si="6"/>
        <v>10152466.12</v>
      </c>
      <c r="M548" s="49">
        <f>IF(A548&lt;&gt;"",IF(COUNTIF(investimento!F:F, B548) &gt; 0, SUM(investimento!B:B)+I548, M547+I548),"")</f>
        <v>12312240.68</v>
      </c>
    </row>
    <row r="549" ht="22.5" customHeight="1">
      <c r="A549" s="47">
        <v>50598.0</v>
      </c>
      <c r="B549" s="48" t="str">
        <f t="shared" si="1"/>
        <v>2038-07</v>
      </c>
      <c r="C549" s="49">
        <f>SUMIF(despesas_recorrentes!C:C, "&gt;="&amp;A549,despesas_recorrentes!B:B) 
+SUMIF(despesas_recorrentes!C:C, "",despesas_recorrentes!B:B)
-despesas_recorrentes!$B$12
+IF(SUMIF(gasto_cartao!E:E,saldo!B549,gasto_cartao!B:B)&gt;despesas_recorrentes!$B$12, SUMIF(gasto_cartao!E:E,saldo!B549,gasto_cartao!B:B),despesas_recorrentes!$B$12)</f>
        <v>34013</v>
      </c>
      <c r="D549" s="51">
        <f>SUM(receitas_recorrentes!B:B)+SUMIF(receitas_pontuais!E:E,B549,receitas_pontuais!B:B)</f>
        <v>56919</v>
      </c>
      <c r="E549" s="51">
        <f t="shared" si="2"/>
        <v>22906</v>
      </c>
      <c r="F549" s="53">
        <f>IFERROR(SUMIF(contas!G:G, B549, contas!B:B),0)</f>
        <v>0</v>
      </c>
      <c r="G549" s="51">
        <f>SUMIFS(previsoes!D:D, previsoes!E:E, "&lt;=" &amp; EOMONTH(DATEVALUE(B549&amp;"-01"),0), previsoes!F:F, "&gt;=" &amp; DATEVALUE(B549&amp;"-01"))</f>
        <v>0</v>
      </c>
      <c r="H549" s="52">
        <f t="shared" si="5"/>
        <v>160491.8958</v>
      </c>
      <c r="I549" s="49">
        <f t="shared" si="3"/>
        <v>22906</v>
      </c>
      <c r="J549" s="52">
        <f>IF(A549&lt;&gt;"",SUMIFS(metas!N:N, metas!E:E, "&gt;=" &amp; DATEVALUE(B549&amp;"-01"),metas!D:D, "&lt;=" &amp; DATEVALUE(B549&amp;"-01")),"")</f>
        <v>3182.813937</v>
      </c>
      <c r="K549" s="49">
        <f t="shared" si="4"/>
        <v>19723.18606</v>
      </c>
      <c r="L549" s="49">
        <f t="shared" si="6"/>
        <v>10172189.31</v>
      </c>
      <c r="M549" s="49">
        <f>IF(A549&lt;&gt;"",IF(COUNTIF(investimento!F:F, B549) &gt; 0, SUM(investimento!B:B)+I549, M548+I549),"")</f>
        <v>12335146.68</v>
      </c>
    </row>
    <row r="550" ht="22.5" customHeight="1">
      <c r="A550" s="47">
        <v>50599.0</v>
      </c>
      <c r="B550" s="48" t="str">
        <f t="shared" si="1"/>
        <v>2038-07</v>
      </c>
      <c r="C550" s="49">
        <f>SUMIF(despesas_recorrentes!C:C, "&gt;="&amp;A550,despesas_recorrentes!B:B) 
+SUMIF(despesas_recorrentes!C:C, "",despesas_recorrentes!B:B)
-despesas_recorrentes!$B$12
+IF(SUMIF(gasto_cartao!E:E,saldo!B550,gasto_cartao!B:B)&gt;despesas_recorrentes!$B$12, SUMIF(gasto_cartao!E:E,saldo!B550,gasto_cartao!B:B),despesas_recorrentes!$B$12)</f>
        <v>34013</v>
      </c>
      <c r="D550" s="51">
        <f>SUM(receitas_recorrentes!B:B)+SUMIF(receitas_pontuais!E:E,B550,receitas_pontuais!B:B)</f>
        <v>56919</v>
      </c>
      <c r="E550" s="51">
        <f t="shared" si="2"/>
        <v>22906</v>
      </c>
      <c r="F550" s="53">
        <f>IFERROR(SUMIF(contas!G:G, B550, contas!B:B),0)</f>
        <v>0</v>
      </c>
      <c r="G550" s="51">
        <f>SUMIFS(previsoes!D:D, previsoes!E:E, "&lt;=" &amp; EOMONTH(DATEVALUE(B550&amp;"-01"),0), previsoes!F:F, "&gt;=" &amp; DATEVALUE(B550&amp;"-01"))</f>
        <v>0</v>
      </c>
      <c r="H550" s="52">
        <f t="shared" si="5"/>
        <v>160491.8958</v>
      </c>
      <c r="I550" s="49">
        <f t="shared" si="3"/>
        <v>22906</v>
      </c>
      <c r="J550" s="52">
        <f>IF(A550&lt;&gt;"",SUMIFS(metas!N:N, metas!E:E, "&gt;=" &amp; DATEVALUE(B550&amp;"-01"),metas!D:D, "&lt;=" &amp; DATEVALUE(B550&amp;"-01")),"")</f>
        <v>3182.813937</v>
      </c>
      <c r="K550" s="49">
        <f t="shared" si="4"/>
        <v>19723.18606</v>
      </c>
      <c r="L550" s="49">
        <f t="shared" si="6"/>
        <v>10191912.49</v>
      </c>
      <c r="M550" s="49">
        <f>IF(A550&lt;&gt;"",IF(COUNTIF(investimento!F:F, B550) &gt; 0, SUM(investimento!B:B)+I550, M549+I550),"")</f>
        <v>12358052.68</v>
      </c>
    </row>
    <row r="551" ht="22.5" customHeight="1">
      <c r="A551" s="47">
        <v>50600.0</v>
      </c>
      <c r="B551" s="48" t="str">
        <f t="shared" si="1"/>
        <v>2038-07</v>
      </c>
      <c r="C551" s="49">
        <f>SUMIF(despesas_recorrentes!C:C, "&gt;="&amp;A551,despesas_recorrentes!B:B) 
+SUMIF(despesas_recorrentes!C:C, "",despesas_recorrentes!B:B)
-despesas_recorrentes!$B$12
+IF(SUMIF(gasto_cartao!E:E,saldo!B551,gasto_cartao!B:B)&gt;despesas_recorrentes!$B$12, SUMIF(gasto_cartao!E:E,saldo!B551,gasto_cartao!B:B),despesas_recorrentes!$B$12)</f>
        <v>34013</v>
      </c>
      <c r="D551" s="51">
        <f>SUM(receitas_recorrentes!B:B)+SUMIF(receitas_pontuais!E:E,B551,receitas_pontuais!B:B)</f>
        <v>56919</v>
      </c>
      <c r="E551" s="51">
        <f t="shared" si="2"/>
        <v>22906</v>
      </c>
      <c r="F551" s="53">
        <f>IFERROR(SUMIF(contas!G:G, B551, contas!B:B),0)</f>
        <v>0</v>
      </c>
      <c r="G551" s="51">
        <f>SUMIFS(previsoes!D:D, previsoes!E:E, "&lt;=" &amp; EOMONTH(DATEVALUE(B551&amp;"-01"),0), previsoes!F:F, "&gt;=" &amp; DATEVALUE(B551&amp;"-01"))</f>
        <v>0</v>
      </c>
      <c r="H551" s="52">
        <f t="shared" si="5"/>
        <v>160491.8958</v>
      </c>
      <c r="I551" s="49">
        <f t="shared" si="3"/>
        <v>22906</v>
      </c>
      <c r="J551" s="52">
        <f>IF(A551&lt;&gt;"",SUMIFS(metas!N:N, metas!E:E, "&gt;=" &amp; DATEVALUE(B551&amp;"-01"),metas!D:D, "&lt;=" &amp; DATEVALUE(B551&amp;"-01")),"")</f>
        <v>3182.813937</v>
      </c>
      <c r="K551" s="49">
        <f t="shared" si="4"/>
        <v>19723.18606</v>
      </c>
      <c r="L551" s="49">
        <f t="shared" si="6"/>
        <v>10211635.68</v>
      </c>
      <c r="M551" s="49">
        <f>IF(A551&lt;&gt;"",IF(COUNTIF(investimento!F:F, B551) &gt; 0, SUM(investimento!B:B)+I551, M550+I551),"")</f>
        <v>12380958.68</v>
      </c>
    </row>
    <row r="552" ht="22.5" customHeight="1">
      <c r="A552" s="47">
        <v>50601.0</v>
      </c>
      <c r="B552" s="48" t="str">
        <f t="shared" si="1"/>
        <v>2038-07</v>
      </c>
      <c r="C552" s="49">
        <f>SUMIF(despesas_recorrentes!C:C, "&gt;="&amp;A552,despesas_recorrentes!B:B) 
+SUMIF(despesas_recorrentes!C:C, "",despesas_recorrentes!B:B)
-despesas_recorrentes!$B$12
+IF(SUMIF(gasto_cartao!E:E,saldo!B552,gasto_cartao!B:B)&gt;despesas_recorrentes!$B$12, SUMIF(gasto_cartao!E:E,saldo!B552,gasto_cartao!B:B),despesas_recorrentes!$B$12)</f>
        <v>34013</v>
      </c>
      <c r="D552" s="51">
        <f>SUM(receitas_recorrentes!B:B)+SUMIF(receitas_pontuais!E:E,B552,receitas_pontuais!B:B)</f>
        <v>56919</v>
      </c>
      <c r="E552" s="51">
        <f t="shared" si="2"/>
        <v>22906</v>
      </c>
      <c r="F552" s="53">
        <f>IFERROR(SUMIF(contas!G:G, B552, contas!B:B),0)</f>
        <v>0</v>
      </c>
      <c r="G552" s="51">
        <f>SUMIFS(previsoes!D:D, previsoes!E:E, "&lt;=" &amp; EOMONTH(DATEVALUE(B552&amp;"-01"),0), previsoes!F:F, "&gt;=" &amp; DATEVALUE(B552&amp;"-01"))</f>
        <v>0</v>
      </c>
      <c r="H552" s="52">
        <f t="shared" si="5"/>
        <v>160491.8958</v>
      </c>
      <c r="I552" s="49">
        <f t="shared" si="3"/>
        <v>22906</v>
      </c>
      <c r="J552" s="52">
        <f>IF(A552&lt;&gt;"",SUMIFS(metas!N:N, metas!E:E, "&gt;=" &amp; DATEVALUE(B552&amp;"-01"),metas!D:D, "&lt;=" &amp; DATEVALUE(B552&amp;"-01")),"")</f>
        <v>3182.813937</v>
      </c>
      <c r="K552" s="49">
        <f t="shared" si="4"/>
        <v>19723.18606</v>
      </c>
      <c r="L552" s="49">
        <f t="shared" si="6"/>
        <v>10231358.86</v>
      </c>
      <c r="M552" s="49">
        <f>IF(A552&lt;&gt;"",IF(COUNTIF(investimento!F:F, B552) &gt; 0, SUM(investimento!B:B)+I552, M551+I552),"")</f>
        <v>12403864.68</v>
      </c>
    </row>
    <row r="553" ht="22.5" customHeight="1">
      <c r="A553" s="47">
        <v>50602.0</v>
      </c>
      <c r="B553" s="48" t="str">
        <f t="shared" si="1"/>
        <v>2038-07</v>
      </c>
      <c r="C553" s="49">
        <f>SUMIF(despesas_recorrentes!C:C, "&gt;="&amp;A553,despesas_recorrentes!B:B) 
+SUMIF(despesas_recorrentes!C:C, "",despesas_recorrentes!B:B)
-despesas_recorrentes!$B$12
+IF(SUMIF(gasto_cartao!E:E,saldo!B553,gasto_cartao!B:B)&gt;despesas_recorrentes!$B$12, SUMIF(gasto_cartao!E:E,saldo!B553,gasto_cartao!B:B),despesas_recorrentes!$B$12)</f>
        <v>34013</v>
      </c>
      <c r="D553" s="51">
        <f>SUM(receitas_recorrentes!B:B)+SUMIF(receitas_pontuais!E:E,B553,receitas_pontuais!B:B)</f>
        <v>56919</v>
      </c>
      <c r="E553" s="51">
        <f t="shared" si="2"/>
        <v>22906</v>
      </c>
      <c r="F553" s="53">
        <f>IFERROR(SUMIF(contas!G:G, B553, contas!B:B),0)</f>
        <v>0</v>
      </c>
      <c r="G553" s="51">
        <f>SUMIFS(previsoes!D:D, previsoes!E:E, "&lt;=" &amp; EOMONTH(DATEVALUE(B553&amp;"-01"),0), previsoes!F:F, "&gt;=" &amp; DATEVALUE(B553&amp;"-01"))</f>
        <v>0</v>
      </c>
      <c r="H553" s="52">
        <f t="shared" si="5"/>
        <v>160491.8958</v>
      </c>
      <c r="I553" s="49">
        <f t="shared" si="3"/>
        <v>22906</v>
      </c>
      <c r="J553" s="52">
        <f>IF(A553&lt;&gt;"",SUMIFS(metas!N:N, metas!E:E, "&gt;=" &amp; DATEVALUE(B553&amp;"-01"),metas!D:D, "&lt;=" &amp; DATEVALUE(B553&amp;"-01")),"")</f>
        <v>3182.813937</v>
      </c>
      <c r="K553" s="49">
        <f t="shared" si="4"/>
        <v>19723.18606</v>
      </c>
      <c r="L553" s="49">
        <f t="shared" si="6"/>
        <v>10251082.05</v>
      </c>
      <c r="M553" s="49">
        <f>IF(A553&lt;&gt;"",IF(COUNTIF(investimento!F:F, B553) &gt; 0, SUM(investimento!B:B)+I553, M552+I553),"")</f>
        <v>12426770.68</v>
      </c>
    </row>
    <row r="554" ht="22.5" customHeight="1">
      <c r="A554" s="47">
        <v>50603.0</v>
      </c>
      <c r="B554" s="48" t="str">
        <f t="shared" si="1"/>
        <v>2038-07</v>
      </c>
      <c r="C554" s="49">
        <f>SUMIF(despesas_recorrentes!C:C, "&gt;="&amp;A554,despesas_recorrentes!B:B) 
+SUMIF(despesas_recorrentes!C:C, "",despesas_recorrentes!B:B)
-despesas_recorrentes!$B$12
+IF(SUMIF(gasto_cartao!E:E,saldo!B554,gasto_cartao!B:B)&gt;despesas_recorrentes!$B$12, SUMIF(gasto_cartao!E:E,saldo!B554,gasto_cartao!B:B),despesas_recorrentes!$B$12)</f>
        <v>34013</v>
      </c>
      <c r="D554" s="51">
        <f>SUM(receitas_recorrentes!B:B)+SUMIF(receitas_pontuais!E:E,B554,receitas_pontuais!B:B)</f>
        <v>56919</v>
      </c>
      <c r="E554" s="51">
        <f t="shared" si="2"/>
        <v>22906</v>
      </c>
      <c r="F554" s="53">
        <f>IFERROR(SUMIF(contas!G:G, B554, contas!B:B),0)</f>
        <v>0</v>
      </c>
      <c r="G554" s="51">
        <f>SUMIFS(previsoes!D:D, previsoes!E:E, "&lt;=" &amp; EOMONTH(DATEVALUE(B554&amp;"-01"),0), previsoes!F:F, "&gt;=" &amp; DATEVALUE(B554&amp;"-01"))</f>
        <v>0</v>
      </c>
      <c r="H554" s="52">
        <f t="shared" si="5"/>
        <v>160491.8958</v>
      </c>
      <c r="I554" s="49">
        <f t="shared" si="3"/>
        <v>22906</v>
      </c>
      <c r="J554" s="52">
        <f>IF(A554&lt;&gt;"",SUMIFS(metas!N:N, metas!E:E, "&gt;=" &amp; DATEVALUE(B554&amp;"-01"),metas!D:D, "&lt;=" &amp; DATEVALUE(B554&amp;"-01")),"")</f>
        <v>3182.813937</v>
      </c>
      <c r="K554" s="49">
        <f t="shared" si="4"/>
        <v>19723.18606</v>
      </c>
      <c r="L554" s="49">
        <f t="shared" si="6"/>
        <v>10270805.24</v>
      </c>
      <c r="M554" s="49">
        <f>IF(A554&lt;&gt;"",IF(COUNTIF(investimento!F:F, B554) &gt; 0, SUM(investimento!B:B)+I554, M553+I554),"")</f>
        <v>12449676.68</v>
      </c>
    </row>
    <row r="555" ht="22.5" customHeight="1">
      <c r="A555" s="47">
        <v>50604.0</v>
      </c>
      <c r="B555" s="48" t="str">
        <f t="shared" si="1"/>
        <v>2038-07</v>
      </c>
      <c r="C555" s="49">
        <f>SUMIF(despesas_recorrentes!C:C, "&gt;="&amp;A555,despesas_recorrentes!B:B) 
+SUMIF(despesas_recorrentes!C:C, "",despesas_recorrentes!B:B)
-despesas_recorrentes!$B$12
+IF(SUMIF(gasto_cartao!E:E,saldo!B555,gasto_cartao!B:B)&gt;despesas_recorrentes!$B$12, SUMIF(gasto_cartao!E:E,saldo!B555,gasto_cartao!B:B),despesas_recorrentes!$B$12)</f>
        <v>34013</v>
      </c>
      <c r="D555" s="51">
        <f>SUM(receitas_recorrentes!B:B)+SUMIF(receitas_pontuais!E:E,B555,receitas_pontuais!B:B)</f>
        <v>56919</v>
      </c>
      <c r="E555" s="51">
        <f t="shared" si="2"/>
        <v>22906</v>
      </c>
      <c r="F555" s="53">
        <f>IFERROR(SUMIF(contas!G:G, B555, contas!B:B),0)</f>
        <v>0</v>
      </c>
      <c r="G555" s="51">
        <f>SUMIFS(previsoes!D:D, previsoes!E:E, "&lt;=" &amp; EOMONTH(DATEVALUE(B555&amp;"-01"),0), previsoes!F:F, "&gt;=" &amp; DATEVALUE(B555&amp;"-01"))</f>
        <v>0</v>
      </c>
      <c r="H555" s="52">
        <f t="shared" si="5"/>
        <v>160491.8958</v>
      </c>
      <c r="I555" s="49">
        <f t="shared" si="3"/>
        <v>22906</v>
      </c>
      <c r="J555" s="52">
        <f>IF(A555&lt;&gt;"",SUMIFS(metas!N:N, metas!E:E, "&gt;=" &amp; DATEVALUE(B555&amp;"-01"),metas!D:D, "&lt;=" &amp; DATEVALUE(B555&amp;"-01")),"")</f>
        <v>3182.813937</v>
      </c>
      <c r="K555" s="49">
        <f t="shared" si="4"/>
        <v>19723.18606</v>
      </c>
      <c r="L555" s="49">
        <f t="shared" si="6"/>
        <v>10290528.42</v>
      </c>
      <c r="M555" s="49">
        <f>IF(A555&lt;&gt;"",IF(COUNTIF(investimento!F:F, B555) &gt; 0, SUM(investimento!B:B)+I555, M554+I555),"")</f>
        <v>12472582.68</v>
      </c>
    </row>
    <row r="556" ht="22.5" customHeight="1">
      <c r="A556" s="47">
        <v>50605.0</v>
      </c>
      <c r="B556" s="48" t="str">
        <f t="shared" si="1"/>
        <v>2038-07</v>
      </c>
      <c r="C556" s="49">
        <f>SUMIF(despesas_recorrentes!C:C, "&gt;="&amp;A556,despesas_recorrentes!B:B) 
+SUMIF(despesas_recorrentes!C:C, "",despesas_recorrentes!B:B)
-despesas_recorrentes!$B$12
+IF(SUMIF(gasto_cartao!E:E,saldo!B556,gasto_cartao!B:B)&gt;despesas_recorrentes!$B$12, SUMIF(gasto_cartao!E:E,saldo!B556,gasto_cartao!B:B),despesas_recorrentes!$B$12)</f>
        <v>34013</v>
      </c>
      <c r="D556" s="51">
        <f>SUM(receitas_recorrentes!B:B)+SUMIF(receitas_pontuais!E:E,B556,receitas_pontuais!B:B)</f>
        <v>56919</v>
      </c>
      <c r="E556" s="51">
        <f t="shared" si="2"/>
        <v>22906</v>
      </c>
      <c r="F556" s="53">
        <f>IFERROR(SUMIF(contas!G:G, B556, contas!B:B),0)</f>
        <v>0</v>
      </c>
      <c r="G556" s="51">
        <f>SUMIFS(previsoes!D:D, previsoes!E:E, "&lt;=" &amp; EOMONTH(DATEVALUE(B556&amp;"-01"),0), previsoes!F:F, "&gt;=" &amp; DATEVALUE(B556&amp;"-01"))</f>
        <v>0</v>
      </c>
      <c r="H556" s="52">
        <f t="shared" si="5"/>
        <v>160491.8958</v>
      </c>
      <c r="I556" s="49">
        <f t="shared" si="3"/>
        <v>22906</v>
      </c>
      <c r="J556" s="52">
        <f>IF(A556&lt;&gt;"",SUMIFS(metas!N:N, metas!E:E, "&gt;=" &amp; DATEVALUE(B556&amp;"-01"),metas!D:D, "&lt;=" &amp; DATEVALUE(B556&amp;"-01")),"")</f>
        <v>3182.813937</v>
      </c>
      <c r="K556" s="49">
        <f t="shared" si="4"/>
        <v>19723.18606</v>
      </c>
      <c r="L556" s="49">
        <f t="shared" si="6"/>
        <v>10310251.61</v>
      </c>
      <c r="M556" s="49">
        <f>IF(A556&lt;&gt;"",IF(COUNTIF(investimento!F:F, B556) &gt; 0, SUM(investimento!B:B)+I556, M555+I556),"")</f>
        <v>12495488.68</v>
      </c>
    </row>
    <row r="557" ht="22.5" customHeight="1">
      <c r="A557" s="47">
        <v>50606.0</v>
      </c>
      <c r="B557" s="48" t="str">
        <f t="shared" si="1"/>
        <v>2038-07</v>
      </c>
      <c r="C557" s="49">
        <f>SUMIF(despesas_recorrentes!C:C, "&gt;="&amp;A557,despesas_recorrentes!B:B) 
+SUMIF(despesas_recorrentes!C:C, "",despesas_recorrentes!B:B)
-despesas_recorrentes!$B$12
+IF(SUMIF(gasto_cartao!E:E,saldo!B557,gasto_cartao!B:B)&gt;despesas_recorrentes!$B$12, SUMIF(gasto_cartao!E:E,saldo!B557,gasto_cartao!B:B),despesas_recorrentes!$B$12)</f>
        <v>34013</v>
      </c>
      <c r="D557" s="51">
        <f>SUM(receitas_recorrentes!B:B)+SUMIF(receitas_pontuais!E:E,B557,receitas_pontuais!B:B)</f>
        <v>56919</v>
      </c>
      <c r="E557" s="51">
        <f t="shared" si="2"/>
        <v>22906</v>
      </c>
      <c r="F557" s="53">
        <f>IFERROR(SUMIF(contas!G:G, B557, contas!B:B),0)</f>
        <v>0</v>
      </c>
      <c r="G557" s="51">
        <f>SUMIFS(previsoes!D:D, previsoes!E:E, "&lt;=" &amp; EOMONTH(DATEVALUE(B557&amp;"-01"),0), previsoes!F:F, "&gt;=" &amp; DATEVALUE(B557&amp;"-01"))</f>
        <v>0</v>
      </c>
      <c r="H557" s="52">
        <f t="shared" si="5"/>
        <v>160491.8958</v>
      </c>
      <c r="I557" s="49">
        <f t="shared" si="3"/>
        <v>22906</v>
      </c>
      <c r="J557" s="52">
        <f>IF(A557&lt;&gt;"",SUMIFS(metas!N:N, metas!E:E, "&gt;=" &amp; DATEVALUE(B557&amp;"-01"),metas!D:D, "&lt;=" &amp; DATEVALUE(B557&amp;"-01")),"")</f>
        <v>3182.813937</v>
      </c>
      <c r="K557" s="49">
        <f t="shared" si="4"/>
        <v>19723.18606</v>
      </c>
      <c r="L557" s="49">
        <f t="shared" si="6"/>
        <v>10329974.79</v>
      </c>
      <c r="M557" s="49">
        <f>IF(A557&lt;&gt;"",IF(COUNTIF(investimento!F:F, B557) &gt; 0, SUM(investimento!B:B)+I557, M556+I557),"")</f>
        <v>12518394.68</v>
      </c>
    </row>
    <row r="558" ht="22.5" customHeight="1">
      <c r="A558" s="47">
        <v>50607.0</v>
      </c>
      <c r="B558" s="48" t="str">
        <f t="shared" si="1"/>
        <v>2038-07</v>
      </c>
      <c r="C558" s="49">
        <f>SUMIF(despesas_recorrentes!C:C, "&gt;="&amp;A558,despesas_recorrentes!B:B) 
+SUMIF(despesas_recorrentes!C:C, "",despesas_recorrentes!B:B)
-despesas_recorrentes!$B$12
+IF(SUMIF(gasto_cartao!E:E,saldo!B558,gasto_cartao!B:B)&gt;despesas_recorrentes!$B$12, SUMIF(gasto_cartao!E:E,saldo!B558,gasto_cartao!B:B),despesas_recorrentes!$B$12)</f>
        <v>34013</v>
      </c>
      <c r="D558" s="51">
        <f>SUM(receitas_recorrentes!B:B)+SUMIF(receitas_pontuais!E:E,B558,receitas_pontuais!B:B)</f>
        <v>56919</v>
      </c>
      <c r="E558" s="51">
        <f t="shared" si="2"/>
        <v>22906</v>
      </c>
      <c r="F558" s="53">
        <f>IFERROR(SUMIF(contas!G:G, B558, contas!B:B),0)</f>
        <v>0</v>
      </c>
      <c r="G558" s="51">
        <f>SUMIFS(previsoes!D:D, previsoes!E:E, "&lt;=" &amp; EOMONTH(DATEVALUE(B558&amp;"-01"),0), previsoes!F:F, "&gt;=" &amp; DATEVALUE(B558&amp;"-01"))</f>
        <v>0</v>
      </c>
      <c r="H558" s="52">
        <f t="shared" si="5"/>
        <v>160491.8958</v>
      </c>
      <c r="I558" s="49">
        <f t="shared" si="3"/>
        <v>22906</v>
      </c>
      <c r="J558" s="52">
        <f>IF(A558&lt;&gt;"",SUMIFS(metas!N:N, metas!E:E, "&gt;=" &amp; DATEVALUE(B558&amp;"-01"),metas!D:D, "&lt;=" &amp; DATEVALUE(B558&amp;"-01")),"")</f>
        <v>3182.813937</v>
      </c>
      <c r="K558" s="49">
        <f t="shared" si="4"/>
        <v>19723.18606</v>
      </c>
      <c r="L558" s="49">
        <f t="shared" si="6"/>
        <v>10349697.98</v>
      </c>
      <c r="M558" s="49">
        <f>IF(A558&lt;&gt;"",IF(COUNTIF(investimento!F:F, B558) &gt; 0, SUM(investimento!B:B)+I558, M557+I558),"")</f>
        <v>12541300.68</v>
      </c>
    </row>
    <row r="559" ht="22.5" customHeight="1">
      <c r="A559" s="47">
        <v>50608.0</v>
      </c>
      <c r="B559" s="48" t="str">
        <f t="shared" si="1"/>
        <v>2038-07</v>
      </c>
      <c r="C559" s="49">
        <f>SUMIF(despesas_recorrentes!C:C, "&gt;="&amp;A559,despesas_recorrentes!B:B) 
+SUMIF(despesas_recorrentes!C:C, "",despesas_recorrentes!B:B)
-despesas_recorrentes!$B$12
+IF(SUMIF(gasto_cartao!E:E,saldo!B559,gasto_cartao!B:B)&gt;despesas_recorrentes!$B$12, SUMIF(gasto_cartao!E:E,saldo!B559,gasto_cartao!B:B),despesas_recorrentes!$B$12)</f>
        <v>34013</v>
      </c>
      <c r="D559" s="51">
        <f>SUM(receitas_recorrentes!B:B)+SUMIF(receitas_pontuais!E:E,B559,receitas_pontuais!B:B)</f>
        <v>56919</v>
      </c>
      <c r="E559" s="51">
        <f t="shared" si="2"/>
        <v>22906</v>
      </c>
      <c r="F559" s="53">
        <f>IFERROR(SUMIF(contas!G:G, B559, contas!B:B),0)</f>
        <v>0</v>
      </c>
      <c r="G559" s="51">
        <f>SUMIFS(previsoes!D:D, previsoes!E:E, "&lt;=" &amp; EOMONTH(DATEVALUE(B559&amp;"-01"),0), previsoes!F:F, "&gt;=" &amp; DATEVALUE(B559&amp;"-01"))</f>
        <v>0</v>
      </c>
      <c r="H559" s="52">
        <f t="shared" si="5"/>
        <v>160491.8958</v>
      </c>
      <c r="I559" s="49">
        <f t="shared" si="3"/>
        <v>22906</v>
      </c>
      <c r="J559" s="52">
        <f>IF(A559&lt;&gt;"",SUMIFS(metas!N:N, metas!E:E, "&gt;=" &amp; DATEVALUE(B559&amp;"-01"),metas!D:D, "&lt;=" &amp; DATEVALUE(B559&amp;"-01")),"")</f>
        <v>3182.813937</v>
      </c>
      <c r="K559" s="49">
        <f t="shared" si="4"/>
        <v>19723.18606</v>
      </c>
      <c r="L559" s="49">
        <f t="shared" si="6"/>
        <v>10369421.17</v>
      </c>
      <c r="M559" s="49">
        <f>IF(A559&lt;&gt;"",IF(COUNTIF(investimento!F:F, B559) &gt; 0, SUM(investimento!B:B)+I559, M558+I559),"")</f>
        <v>12564206.68</v>
      </c>
    </row>
    <row r="560" ht="22.5" customHeight="1">
      <c r="A560" s="47">
        <v>50609.0</v>
      </c>
      <c r="B560" s="48" t="str">
        <f t="shared" si="1"/>
        <v>2038-07</v>
      </c>
      <c r="C560" s="49">
        <f>SUMIF(despesas_recorrentes!C:C, "&gt;="&amp;A560,despesas_recorrentes!B:B) 
+SUMIF(despesas_recorrentes!C:C, "",despesas_recorrentes!B:B)
-despesas_recorrentes!$B$12
+IF(SUMIF(gasto_cartao!E:E,saldo!B560,gasto_cartao!B:B)&gt;despesas_recorrentes!$B$12, SUMIF(gasto_cartao!E:E,saldo!B560,gasto_cartao!B:B),despesas_recorrentes!$B$12)</f>
        <v>34013</v>
      </c>
      <c r="D560" s="51">
        <f>SUM(receitas_recorrentes!B:B)+SUMIF(receitas_pontuais!E:E,B560,receitas_pontuais!B:B)</f>
        <v>56919</v>
      </c>
      <c r="E560" s="51">
        <f t="shared" si="2"/>
        <v>22906</v>
      </c>
      <c r="F560" s="53">
        <f>IFERROR(SUMIF(contas!G:G, B560, contas!B:B),0)</f>
        <v>0</v>
      </c>
      <c r="G560" s="51">
        <f>SUMIFS(previsoes!D:D, previsoes!E:E, "&lt;=" &amp; EOMONTH(DATEVALUE(B560&amp;"-01"),0), previsoes!F:F, "&gt;=" &amp; DATEVALUE(B560&amp;"-01"))</f>
        <v>0</v>
      </c>
      <c r="H560" s="52">
        <f t="shared" si="5"/>
        <v>160491.8958</v>
      </c>
      <c r="I560" s="49">
        <f t="shared" si="3"/>
        <v>22906</v>
      </c>
      <c r="J560" s="52">
        <f>IF(A560&lt;&gt;"",SUMIFS(metas!N:N, metas!E:E, "&gt;=" &amp; DATEVALUE(B560&amp;"-01"),metas!D:D, "&lt;=" &amp; DATEVALUE(B560&amp;"-01")),"")</f>
        <v>3182.813937</v>
      </c>
      <c r="K560" s="49">
        <f t="shared" si="4"/>
        <v>19723.18606</v>
      </c>
      <c r="L560" s="49">
        <f t="shared" si="6"/>
        <v>10389144.35</v>
      </c>
      <c r="M560" s="49">
        <f>IF(A560&lt;&gt;"",IF(COUNTIF(investimento!F:F, B560) &gt; 0, SUM(investimento!B:B)+I560, M559+I560),"")</f>
        <v>12587112.68</v>
      </c>
    </row>
    <row r="561" ht="22.5" customHeight="1">
      <c r="A561" s="47">
        <v>50610.0</v>
      </c>
      <c r="B561" s="48" t="str">
        <f t="shared" si="1"/>
        <v>2038-07</v>
      </c>
      <c r="C561" s="49">
        <f>SUMIF(despesas_recorrentes!C:C, "&gt;="&amp;A561,despesas_recorrentes!B:B) 
+SUMIF(despesas_recorrentes!C:C, "",despesas_recorrentes!B:B)
-despesas_recorrentes!$B$12
+IF(SUMIF(gasto_cartao!E:E,saldo!B561,gasto_cartao!B:B)&gt;despesas_recorrentes!$B$12, SUMIF(gasto_cartao!E:E,saldo!B561,gasto_cartao!B:B),despesas_recorrentes!$B$12)</f>
        <v>34013</v>
      </c>
      <c r="D561" s="51">
        <f>SUM(receitas_recorrentes!B:B)+SUMIF(receitas_pontuais!E:E,B561,receitas_pontuais!B:B)</f>
        <v>56919</v>
      </c>
      <c r="E561" s="51">
        <f t="shared" si="2"/>
        <v>22906</v>
      </c>
      <c r="F561" s="53">
        <f>IFERROR(SUMIF(contas!G:G, B561, contas!B:B),0)</f>
        <v>0</v>
      </c>
      <c r="G561" s="51">
        <f>SUMIFS(previsoes!D:D, previsoes!E:E, "&lt;=" &amp; EOMONTH(DATEVALUE(B561&amp;"-01"),0), previsoes!F:F, "&gt;=" &amp; DATEVALUE(B561&amp;"-01"))</f>
        <v>0</v>
      </c>
      <c r="H561" s="52">
        <f t="shared" si="5"/>
        <v>160491.8958</v>
      </c>
      <c r="I561" s="49">
        <f t="shared" si="3"/>
        <v>22906</v>
      </c>
      <c r="J561" s="52">
        <f>IF(A561&lt;&gt;"",SUMIFS(metas!N:N, metas!E:E, "&gt;=" &amp; DATEVALUE(B561&amp;"-01"),metas!D:D, "&lt;=" &amp; DATEVALUE(B561&amp;"-01")),"")</f>
        <v>3182.813937</v>
      </c>
      <c r="K561" s="49">
        <f t="shared" si="4"/>
        <v>19723.18606</v>
      </c>
      <c r="L561" s="49">
        <f t="shared" si="6"/>
        <v>10408867.54</v>
      </c>
      <c r="M561" s="49">
        <f>IF(A561&lt;&gt;"",IF(COUNTIF(investimento!F:F, B561) &gt; 0, SUM(investimento!B:B)+I561, M560+I561),"")</f>
        <v>12610018.68</v>
      </c>
    </row>
    <row r="562" ht="22.5" customHeight="1">
      <c r="A562" s="47">
        <v>50611.0</v>
      </c>
      <c r="B562" s="48" t="str">
        <f t="shared" si="1"/>
        <v>2038-07</v>
      </c>
      <c r="C562" s="49">
        <f>SUMIF(despesas_recorrentes!C:C, "&gt;="&amp;A562,despesas_recorrentes!B:B) 
+SUMIF(despesas_recorrentes!C:C, "",despesas_recorrentes!B:B)
-despesas_recorrentes!$B$12
+IF(SUMIF(gasto_cartao!E:E,saldo!B562,gasto_cartao!B:B)&gt;despesas_recorrentes!$B$12, SUMIF(gasto_cartao!E:E,saldo!B562,gasto_cartao!B:B),despesas_recorrentes!$B$12)</f>
        <v>34013</v>
      </c>
      <c r="D562" s="51">
        <f>SUM(receitas_recorrentes!B:B)+SUMIF(receitas_pontuais!E:E,B562,receitas_pontuais!B:B)</f>
        <v>56919</v>
      </c>
      <c r="E562" s="51">
        <f t="shared" si="2"/>
        <v>22906</v>
      </c>
      <c r="F562" s="53">
        <f>IFERROR(SUMIF(contas!G:G, B562, contas!B:B),0)</f>
        <v>0</v>
      </c>
      <c r="G562" s="51">
        <f>SUMIFS(previsoes!D:D, previsoes!E:E, "&lt;=" &amp; EOMONTH(DATEVALUE(B562&amp;"-01"),0), previsoes!F:F, "&gt;=" &amp; DATEVALUE(B562&amp;"-01"))</f>
        <v>0</v>
      </c>
      <c r="H562" s="52">
        <f t="shared" si="5"/>
        <v>160491.8958</v>
      </c>
      <c r="I562" s="49">
        <f t="shared" si="3"/>
        <v>22906</v>
      </c>
      <c r="J562" s="52">
        <f>IF(A562&lt;&gt;"",SUMIFS(metas!N:N, metas!E:E, "&gt;=" &amp; DATEVALUE(B562&amp;"-01"),metas!D:D, "&lt;=" &amp; DATEVALUE(B562&amp;"-01")),"")</f>
        <v>3182.813937</v>
      </c>
      <c r="K562" s="49">
        <f t="shared" si="4"/>
        <v>19723.18606</v>
      </c>
      <c r="L562" s="49">
        <f t="shared" si="6"/>
        <v>10428590.72</v>
      </c>
      <c r="M562" s="49">
        <f>IF(A562&lt;&gt;"",IF(COUNTIF(investimento!F:F, B562) &gt; 0, SUM(investimento!B:B)+I562, M561+I562),"")</f>
        <v>12632924.68</v>
      </c>
    </row>
    <row r="563" ht="22.5" customHeight="1">
      <c r="A563" s="47">
        <v>50612.0</v>
      </c>
      <c r="B563" s="48" t="str">
        <f t="shared" si="1"/>
        <v>2038-07</v>
      </c>
      <c r="C563" s="49">
        <f>SUMIF(despesas_recorrentes!C:C, "&gt;="&amp;A563,despesas_recorrentes!B:B) 
+SUMIF(despesas_recorrentes!C:C, "",despesas_recorrentes!B:B)
-despesas_recorrentes!$B$12
+IF(SUMIF(gasto_cartao!E:E,saldo!B563,gasto_cartao!B:B)&gt;despesas_recorrentes!$B$12, SUMIF(gasto_cartao!E:E,saldo!B563,gasto_cartao!B:B),despesas_recorrentes!$B$12)</f>
        <v>34013</v>
      </c>
      <c r="D563" s="51">
        <f>SUM(receitas_recorrentes!B:B)+SUMIF(receitas_pontuais!E:E,B563,receitas_pontuais!B:B)</f>
        <v>56919</v>
      </c>
      <c r="E563" s="51">
        <f t="shared" si="2"/>
        <v>22906</v>
      </c>
      <c r="F563" s="53">
        <f>IFERROR(SUMIF(contas!G:G, B563, contas!B:B),0)</f>
        <v>0</v>
      </c>
      <c r="G563" s="51">
        <f>SUMIFS(previsoes!D:D, previsoes!E:E, "&lt;=" &amp; EOMONTH(DATEVALUE(B563&amp;"-01"),0), previsoes!F:F, "&gt;=" &amp; DATEVALUE(B563&amp;"-01"))</f>
        <v>0</v>
      </c>
      <c r="H563" s="52">
        <f t="shared" si="5"/>
        <v>160491.8958</v>
      </c>
      <c r="I563" s="49">
        <f t="shared" si="3"/>
        <v>22906</v>
      </c>
      <c r="J563" s="52">
        <f>IF(A563&lt;&gt;"",SUMIFS(metas!N:N, metas!E:E, "&gt;=" &amp; DATEVALUE(B563&amp;"-01"),metas!D:D, "&lt;=" &amp; DATEVALUE(B563&amp;"-01")),"")</f>
        <v>3182.813937</v>
      </c>
      <c r="K563" s="49">
        <f t="shared" si="4"/>
        <v>19723.18606</v>
      </c>
      <c r="L563" s="49">
        <f t="shared" si="6"/>
        <v>10448313.91</v>
      </c>
      <c r="M563" s="49">
        <f>IF(A563&lt;&gt;"",IF(COUNTIF(investimento!F:F, B563) &gt; 0, SUM(investimento!B:B)+I563, M562+I563),"")</f>
        <v>12655830.68</v>
      </c>
    </row>
    <row r="564" ht="22.5" customHeight="1">
      <c r="A564" s="47">
        <v>50613.0</v>
      </c>
      <c r="B564" s="48" t="str">
        <f t="shared" si="1"/>
        <v>2038-07</v>
      </c>
      <c r="C564" s="49">
        <f>SUMIF(despesas_recorrentes!C:C, "&gt;="&amp;A564,despesas_recorrentes!B:B) 
+SUMIF(despesas_recorrentes!C:C, "",despesas_recorrentes!B:B)
-despesas_recorrentes!$B$12
+IF(SUMIF(gasto_cartao!E:E,saldo!B564,gasto_cartao!B:B)&gt;despesas_recorrentes!$B$12, SUMIF(gasto_cartao!E:E,saldo!B564,gasto_cartao!B:B),despesas_recorrentes!$B$12)</f>
        <v>34013</v>
      </c>
      <c r="D564" s="51">
        <f>SUM(receitas_recorrentes!B:B)+SUMIF(receitas_pontuais!E:E,B564,receitas_pontuais!B:B)</f>
        <v>56919</v>
      </c>
      <c r="E564" s="51">
        <f t="shared" si="2"/>
        <v>22906</v>
      </c>
      <c r="F564" s="53">
        <f>IFERROR(SUMIF(contas!G:G, B564, contas!B:B),0)</f>
        <v>0</v>
      </c>
      <c r="G564" s="51">
        <f>SUMIFS(previsoes!D:D, previsoes!E:E, "&lt;=" &amp; EOMONTH(DATEVALUE(B564&amp;"-01"),0), previsoes!F:F, "&gt;=" &amp; DATEVALUE(B564&amp;"-01"))</f>
        <v>0</v>
      </c>
      <c r="H564" s="52">
        <f t="shared" si="5"/>
        <v>160491.8958</v>
      </c>
      <c r="I564" s="49">
        <f t="shared" si="3"/>
        <v>22906</v>
      </c>
      <c r="J564" s="52">
        <f>IF(A564&lt;&gt;"",SUMIFS(metas!N:N, metas!E:E, "&gt;=" &amp; DATEVALUE(B564&amp;"-01"),metas!D:D, "&lt;=" &amp; DATEVALUE(B564&amp;"-01")),"")</f>
        <v>3182.813937</v>
      </c>
      <c r="K564" s="49">
        <f t="shared" si="4"/>
        <v>19723.18606</v>
      </c>
      <c r="L564" s="49">
        <f t="shared" si="6"/>
        <v>10468037.1</v>
      </c>
      <c r="M564" s="49">
        <f>IF(A564&lt;&gt;"",IF(COUNTIF(investimento!F:F, B564) &gt; 0, SUM(investimento!B:B)+I564, M563+I564),"")</f>
        <v>12678736.68</v>
      </c>
    </row>
    <row r="565" ht="22.5" customHeight="1">
      <c r="A565" s="47">
        <v>50614.0</v>
      </c>
      <c r="B565" s="48" t="str">
        <f t="shared" si="1"/>
        <v>2038-07</v>
      </c>
      <c r="C565" s="49">
        <f>SUMIF(despesas_recorrentes!C:C, "&gt;="&amp;A565,despesas_recorrentes!B:B) 
+SUMIF(despesas_recorrentes!C:C, "",despesas_recorrentes!B:B)
-despesas_recorrentes!$B$12
+IF(SUMIF(gasto_cartao!E:E,saldo!B565,gasto_cartao!B:B)&gt;despesas_recorrentes!$B$12, SUMIF(gasto_cartao!E:E,saldo!B565,gasto_cartao!B:B),despesas_recorrentes!$B$12)</f>
        <v>34013</v>
      </c>
      <c r="D565" s="51">
        <f>SUM(receitas_recorrentes!B:B)+SUMIF(receitas_pontuais!E:E,B565,receitas_pontuais!B:B)</f>
        <v>56919</v>
      </c>
      <c r="E565" s="51">
        <f t="shared" si="2"/>
        <v>22906</v>
      </c>
      <c r="F565" s="53">
        <f>IFERROR(SUMIF(contas!G:G, B565, contas!B:B),0)</f>
        <v>0</v>
      </c>
      <c r="G565" s="51">
        <f>SUMIFS(previsoes!D:D, previsoes!E:E, "&lt;=" &amp; EOMONTH(DATEVALUE(B565&amp;"-01"),0), previsoes!F:F, "&gt;=" &amp; DATEVALUE(B565&amp;"-01"))</f>
        <v>0</v>
      </c>
      <c r="H565" s="52">
        <f t="shared" si="5"/>
        <v>160491.8958</v>
      </c>
      <c r="I565" s="49">
        <f t="shared" si="3"/>
        <v>22906</v>
      </c>
      <c r="J565" s="52">
        <f>IF(A565&lt;&gt;"",SUMIFS(metas!N:N, metas!E:E, "&gt;=" &amp; DATEVALUE(B565&amp;"-01"),metas!D:D, "&lt;=" &amp; DATEVALUE(B565&amp;"-01")),"")</f>
        <v>3182.813937</v>
      </c>
      <c r="K565" s="49">
        <f t="shared" si="4"/>
        <v>19723.18606</v>
      </c>
      <c r="L565" s="49">
        <f t="shared" si="6"/>
        <v>10487760.28</v>
      </c>
      <c r="M565" s="49">
        <f>IF(A565&lt;&gt;"",IF(COUNTIF(investimento!F:F, B565) &gt; 0, SUM(investimento!B:B)+I565, M564+I565),"")</f>
        <v>12701642.68</v>
      </c>
    </row>
    <row r="566" ht="22.5" customHeight="1">
      <c r="A566" s="47">
        <v>50615.0</v>
      </c>
      <c r="B566" s="48" t="str">
        <f t="shared" si="1"/>
        <v>2038-07</v>
      </c>
      <c r="C566" s="49">
        <f>SUMIF(despesas_recorrentes!C:C, "&gt;="&amp;A566,despesas_recorrentes!B:B) 
+SUMIF(despesas_recorrentes!C:C, "",despesas_recorrentes!B:B)
-despesas_recorrentes!$B$12
+IF(SUMIF(gasto_cartao!E:E,saldo!B566,gasto_cartao!B:B)&gt;despesas_recorrentes!$B$12, SUMIF(gasto_cartao!E:E,saldo!B566,gasto_cartao!B:B),despesas_recorrentes!$B$12)</f>
        <v>34013</v>
      </c>
      <c r="D566" s="51">
        <f>SUM(receitas_recorrentes!B:B)+SUMIF(receitas_pontuais!E:E,B566,receitas_pontuais!B:B)</f>
        <v>56919</v>
      </c>
      <c r="E566" s="51">
        <f t="shared" si="2"/>
        <v>22906</v>
      </c>
      <c r="F566" s="53">
        <f>IFERROR(SUMIF(contas!G:G, B566, contas!B:B),0)</f>
        <v>0</v>
      </c>
      <c r="G566" s="51">
        <f>SUMIFS(previsoes!D:D, previsoes!E:E, "&lt;=" &amp; EOMONTH(DATEVALUE(B566&amp;"-01"),0), previsoes!F:F, "&gt;=" &amp; DATEVALUE(B566&amp;"-01"))</f>
        <v>0</v>
      </c>
      <c r="H566" s="52">
        <f t="shared" si="5"/>
        <v>160491.8958</v>
      </c>
      <c r="I566" s="49">
        <f t="shared" si="3"/>
        <v>22906</v>
      </c>
      <c r="J566" s="52">
        <f>IF(A566&lt;&gt;"",SUMIFS(metas!N:N, metas!E:E, "&gt;=" &amp; DATEVALUE(B566&amp;"-01"),metas!D:D, "&lt;=" &amp; DATEVALUE(B566&amp;"-01")),"")</f>
        <v>3182.813937</v>
      </c>
      <c r="K566" s="49">
        <f t="shared" si="4"/>
        <v>19723.18606</v>
      </c>
      <c r="L566" s="49">
        <f t="shared" si="6"/>
        <v>10507483.47</v>
      </c>
      <c r="M566" s="49">
        <f>IF(A566&lt;&gt;"",IF(COUNTIF(investimento!F:F, B566) &gt; 0, SUM(investimento!B:B)+I566, M565+I566),"")</f>
        <v>12724548.68</v>
      </c>
    </row>
    <row r="567" ht="22.5" customHeight="1">
      <c r="A567" s="47">
        <v>50616.0</v>
      </c>
      <c r="B567" s="48" t="str">
        <f t="shared" si="1"/>
        <v>2038-07</v>
      </c>
      <c r="C567" s="49">
        <f>SUMIF(despesas_recorrentes!C:C, "&gt;="&amp;A567,despesas_recorrentes!B:B) 
+SUMIF(despesas_recorrentes!C:C, "",despesas_recorrentes!B:B)
-despesas_recorrentes!$B$12
+IF(SUMIF(gasto_cartao!E:E,saldo!B567,gasto_cartao!B:B)&gt;despesas_recorrentes!$B$12, SUMIF(gasto_cartao!E:E,saldo!B567,gasto_cartao!B:B),despesas_recorrentes!$B$12)</f>
        <v>34013</v>
      </c>
      <c r="D567" s="51">
        <f>SUM(receitas_recorrentes!B:B)+SUMIF(receitas_pontuais!E:E,B567,receitas_pontuais!B:B)</f>
        <v>56919</v>
      </c>
      <c r="E567" s="51">
        <f t="shared" si="2"/>
        <v>22906</v>
      </c>
      <c r="F567" s="53">
        <f>IFERROR(SUMIF(contas!G:G, B567, contas!B:B),0)</f>
        <v>0</v>
      </c>
      <c r="G567" s="51">
        <f>SUMIFS(previsoes!D:D, previsoes!E:E, "&lt;=" &amp; EOMONTH(DATEVALUE(B567&amp;"-01"),0), previsoes!F:F, "&gt;=" &amp; DATEVALUE(B567&amp;"-01"))</f>
        <v>0</v>
      </c>
      <c r="H567" s="52">
        <f t="shared" si="5"/>
        <v>160491.8958</v>
      </c>
      <c r="I567" s="49">
        <f t="shared" si="3"/>
        <v>22906</v>
      </c>
      <c r="J567" s="52">
        <f>IF(A567&lt;&gt;"",SUMIFS(metas!N:N, metas!E:E, "&gt;=" &amp; DATEVALUE(B567&amp;"-01"),metas!D:D, "&lt;=" &amp; DATEVALUE(B567&amp;"-01")),"")</f>
        <v>3182.813937</v>
      </c>
      <c r="K567" s="49">
        <f t="shared" si="4"/>
        <v>19723.18606</v>
      </c>
      <c r="L567" s="49">
        <f t="shared" si="6"/>
        <v>10527206.65</v>
      </c>
      <c r="M567" s="49">
        <f>IF(A567&lt;&gt;"",IF(COUNTIF(investimento!F:F, B567) &gt; 0, SUM(investimento!B:B)+I567, M566+I567),"")</f>
        <v>12747454.68</v>
      </c>
    </row>
    <row r="568" ht="22.5" customHeight="1">
      <c r="A568" s="47">
        <v>50617.0</v>
      </c>
      <c r="B568" s="48" t="str">
        <f t="shared" si="1"/>
        <v>2038-07</v>
      </c>
      <c r="C568" s="49">
        <f>SUMIF(despesas_recorrentes!C:C, "&gt;="&amp;A568,despesas_recorrentes!B:B) 
+SUMIF(despesas_recorrentes!C:C, "",despesas_recorrentes!B:B)
-despesas_recorrentes!$B$12
+IF(SUMIF(gasto_cartao!E:E,saldo!B568,gasto_cartao!B:B)&gt;despesas_recorrentes!$B$12, SUMIF(gasto_cartao!E:E,saldo!B568,gasto_cartao!B:B),despesas_recorrentes!$B$12)</f>
        <v>34013</v>
      </c>
      <c r="D568" s="51">
        <f>SUM(receitas_recorrentes!B:B)+SUMIF(receitas_pontuais!E:E,B568,receitas_pontuais!B:B)</f>
        <v>56919</v>
      </c>
      <c r="E568" s="51">
        <f t="shared" si="2"/>
        <v>22906</v>
      </c>
      <c r="F568" s="53">
        <f>IFERROR(SUMIF(contas!G:G, B568, contas!B:B),0)</f>
        <v>0</v>
      </c>
      <c r="G568" s="51">
        <f>SUMIFS(previsoes!D:D, previsoes!E:E, "&lt;=" &amp; EOMONTH(DATEVALUE(B568&amp;"-01"),0), previsoes!F:F, "&gt;=" &amp; DATEVALUE(B568&amp;"-01"))</f>
        <v>0</v>
      </c>
      <c r="H568" s="52">
        <f t="shared" si="5"/>
        <v>160491.8958</v>
      </c>
      <c r="I568" s="49">
        <f t="shared" si="3"/>
        <v>22906</v>
      </c>
      <c r="J568" s="52">
        <f>IF(A568&lt;&gt;"",SUMIFS(metas!N:N, metas!E:E, "&gt;=" &amp; DATEVALUE(B568&amp;"-01"),metas!D:D, "&lt;=" &amp; DATEVALUE(B568&amp;"-01")),"")</f>
        <v>3182.813937</v>
      </c>
      <c r="K568" s="49">
        <f t="shared" si="4"/>
        <v>19723.18606</v>
      </c>
      <c r="L568" s="49">
        <f t="shared" si="6"/>
        <v>10546929.84</v>
      </c>
      <c r="M568" s="49">
        <f>IF(A568&lt;&gt;"",IF(COUNTIF(investimento!F:F, B568) &gt; 0, SUM(investimento!B:B)+I568, M567+I568),"")</f>
        <v>12770360.68</v>
      </c>
    </row>
    <row r="569" ht="22.5" customHeight="1">
      <c r="A569" s="47">
        <v>50618.0</v>
      </c>
      <c r="B569" s="48" t="str">
        <f t="shared" si="1"/>
        <v>2038-08</v>
      </c>
      <c r="C569" s="49">
        <f>SUMIF(despesas_recorrentes!C:C, "&gt;="&amp;A569,despesas_recorrentes!B:B) 
+SUMIF(despesas_recorrentes!C:C, "",despesas_recorrentes!B:B)
-despesas_recorrentes!$B$12
+IF(SUMIF(gasto_cartao!E:E,saldo!B569,gasto_cartao!B:B)&gt;despesas_recorrentes!$B$12, SUMIF(gasto_cartao!E:E,saldo!B569,gasto_cartao!B:B),despesas_recorrentes!$B$12)</f>
        <v>34013</v>
      </c>
      <c r="D569" s="51">
        <f>SUM(receitas_recorrentes!B:B)+SUMIF(receitas_pontuais!E:E,B569,receitas_pontuais!B:B)</f>
        <v>56919</v>
      </c>
      <c r="E569" s="51">
        <f t="shared" si="2"/>
        <v>22906</v>
      </c>
      <c r="F569" s="53">
        <f>IFERROR(SUMIF(contas!G:G, B569, contas!B:B),0)</f>
        <v>0</v>
      </c>
      <c r="G569" s="51">
        <f>SUMIFS(previsoes!D:D, previsoes!E:E, "&lt;=" &amp; EOMONTH(DATEVALUE(B569&amp;"-01"),0), previsoes!F:F, "&gt;=" &amp; DATEVALUE(B569&amp;"-01"))</f>
        <v>0</v>
      </c>
      <c r="H569" s="52">
        <f t="shared" si="5"/>
        <v>160491.8958</v>
      </c>
      <c r="I569" s="49">
        <f t="shared" si="3"/>
        <v>22906</v>
      </c>
      <c r="J569" s="52">
        <f>IF(A569&lt;&gt;"",SUMIFS(metas!N:N, metas!E:E, "&gt;=" &amp; DATEVALUE(B569&amp;"-01"),metas!D:D, "&lt;=" &amp; DATEVALUE(B569&amp;"-01")),"")</f>
        <v>3182.813937</v>
      </c>
      <c r="K569" s="49">
        <f t="shared" si="4"/>
        <v>19723.18606</v>
      </c>
      <c r="L569" s="49">
        <f t="shared" si="6"/>
        <v>10566653.03</v>
      </c>
      <c r="M569" s="49">
        <f>IF(A569&lt;&gt;"",IF(COUNTIF(investimento!F:F, B569) &gt; 0, SUM(investimento!B:B)+I569, M568+I569),"")</f>
        <v>12793266.68</v>
      </c>
    </row>
    <row r="570" ht="22.5" customHeight="1">
      <c r="A570" s="47">
        <v>50619.0</v>
      </c>
      <c r="B570" s="48" t="str">
        <f t="shared" si="1"/>
        <v>2038-08</v>
      </c>
      <c r="C570" s="49">
        <f>SUMIF(despesas_recorrentes!C:C, "&gt;="&amp;A570,despesas_recorrentes!B:B) 
+SUMIF(despesas_recorrentes!C:C, "",despesas_recorrentes!B:B)
-despesas_recorrentes!$B$12
+IF(SUMIF(gasto_cartao!E:E,saldo!B570,gasto_cartao!B:B)&gt;despesas_recorrentes!$B$12, SUMIF(gasto_cartao!E:E,saldo!B570,gasto_cartao!B:B),despesas_recorrentes!$B$12)</f>
        <v>34013</v>
      </c>
      <c r="D570" s="51">
        <f>SUM(receitas_recorrentes!B:B)+SUMIF(receitas_pontuais!E:E,B570,receitas_pontuais!B:B)</f>
        <v>56919</v>
      </c>
      <c r="E570" s="51">
        <f t="shared" si="2"/>
        <v>22906</v>
      </c>
      <c r="F570" s="53">
        <f>IFERROR(SUMIF(contas!G:G, B570, contas!B:B),0)</f>
        <v>0</v>
      </c>
      <c r="G570" s="51">
        <f>SUMIFS(previsoes!D:D, previsoes!E:E, "&lt;=" &amp; EOMONTH(DATEVALUE(B570&amp;"-01"),0), previsoes!F:F, "&gt;=" &amp; DATEVALUE(B570&amp;"-01"))</f>
        <v>0</v>
      </c>
      <c r="H570" s="52">
        <f t="shared" si="5"/>
        <v>160491.8958</v>
      </c>
      <c r="I570" s="49">
        <f t="shared" si="3"/>
        <v>22906</v>
      </c>
      <c r="J570" s="52">
        <f>IF(A570&lt;&gt;"",SUMIFS(metas!N:N, metas!E:E, "&gt;=" &amp; DATEVALUE(B570&amp;"-01"),metas!D:D, "&lt;=" &amp; DATEVALUE(B570&amp;"-01")),"")</f>
        <v>3182.813937</v>
      </c>
      <c r="K570" s="49">
        <f t="shared" si="4"/>
        <v>19723.18606</v>
      </c>
      <c r="L570" s="49">
        <f t="shared" si="6"/>
        <v>10586376.21</v>
      </c>
      <c r="M570" s="49">
        <f>IF(A570&lt;&gt;"",IF(COUNTIF(investimento!F:F, B570) &gt; 0, SUM(investimento!B:B)+I570, M569+I570),"")</f>
        <v>12816172.68</v>
      </c>
    </row>
    <row r="571" ht="22.5" customHeight="1">
      <c r="A571" s="47">
        <v>50620.0</v>
      </c>
      <c r="B571" s="48" t="str">
        <f t="shared" si="1"/>
        <v>2038-08</v>
      </c>
      <c r="C571" s="49">
        <f>SUMIF(despesas_recorrentes!C:C, "&gt;="&amp;A571,despesas_recorrentes!B:B) 
+SUMIF(despesas_recorrentes!C:C, "",despesas_recorrentes!B:B)
-despesas_recorrentes!$B$12
+IF(SUMIF(gasto_cartao!E:E,saldo!B571,gasto_cartao!B:B)&gt;despesas_recorrentes!$B$12, SUMIF(gasto_cartao!E:E,saldo!B571,gasto_cartao!B:B),despesas_recorrentes!$B$12)</f>
        <v>34013</v>
      </c>
      <c r="D571" s="51">
        <f>SUM(receitas_recorrentes!B:B)+SUMIF(receitas_pontuais!E:E,B571,receitas_pontuais!B:B)</f>
        <v>56919</v>
      </c>
      <c r="E571" s="51">
        <f t="shared" si="2"/>
        <v>22906</v>
      </c>
      <c r="F571" s="53">
        <f>IFERROR(SUMIF(contas!G:G, B571, contas!B:B),0)</f>
        <v>0</v>
      </c>
      <c r="G571" s="51">
        <f>SUMIFS(previsoes!D:D, previsoes!E:E, "&lt;=" &amp; EOMONTH(DATEVALUE(B571&amp;"-01"),0), previsoes!F:F, "&gt;=" &amp; DATEVALUE(B571&amp;"-01"))</f>
        <v>0</v>
      </c>
      <c r="H571" s="52">
        <f t="shared" si="5"/>
        <v>160491.8958</v>
      </c>
      <c r="I571" s="49">
        <f t="shared" si="3"/>
        <v>22906</v>
      </c>
      <c r="J571" s="52">
        <f>IF(A571&lt;&gt;"",SUMIFS(metas!N:N, metas!E:E, "&gt;=" &amp; DATEVALUE(B571&amp;"-01"),metas!D:D, "&lt;=" &amp; DATEVALUE(B571&amp;"-01")),"")</f>
        <v>3182.813937</v>
      </c>
      <c r="K571" s="49">
        <f t="shared" si="4"/>
        <v>19723.18606</v>
      </c>
      <c r="L571" s="49">
        <f t="shared" si="6"/>
        <v>10606099.4</v>
      </c>
      <c r="M571" s="49">
        <f>IF(A571&lt;&gt;"",IF(COUNTIF(investimento!F:F, B571) &gt; 0, SUM(investimento!B:B)+I571, M570+I571),"")</f>
        <v>12839078.68</v>
      </c>
    </row>
    <row r="572" ht="22.5" customHeight="1">
      <c r="A572" s="47">
        <v>50621.0</v>
      </c>
      <c r="B572" s="48" t="str">
        <f t="shared" si="1"/>
        <v>2038-08</v>
      </c>
      <c r="C572" s="49">
        <f>SUMIF(despesas_recorrentes!C:C, "&gt;="&amp;A572,despesas_recorrentes!B:B) 
+SUMIF(despesas_recorrentes!C:C, "",despesas_recorrentes!B:B)
-despesas_recorrentes!$B$12
+IF(SUMIF(gasto_cartao!E:E,saldo!B572,gasto_cartao!B:B)&gt;despesas_recorrentes!$B$12, SUMIF(gasto_cartao!E:E,saldo!B572,gasto_cartao!B:B),despesas_recorrentes!$B$12)</f>
        <v>34013</v>
      </c>
      <c r="D572" s="51">
        <f>SUM(receitas_recorrentes!B:B)+SUMIF(receitas_pontuais!E:E,B572,receitas_pontuais!B:B)</f>
        <v>56919</v>
      </c>
      <c r="E572" s="51">
        <f t="shared" si="2"/>
        <v>22906</v>
      </c>
      <c r="F572" s="53">
        <f>IFERROR(SUMIF(contas!G:G, B572, contas!B:B),0)</f>
        <v>0</v>
      </c>
      <c r="G572" s="51">
        <f>SUMIFS(previsoes!D:D, previsoes!E:E, "&lt;=" &amp; EOMONTH(DATEVALUE(B572&amp;"-01"),0), previsoes!F:F, "&gt;=" &amp; DATEVALUE(B572&amp;"-01"))</f>
        <v>0</v>
      </c>
      <c r="H572" s="52">
        <f t="shared" si="5"/>
        <v>160491.8958</v>
      </c>
      <c r="I572" s="49">
        <f t="shared" si="3"/>
        <v>22906</v>
      </c>
      <c r="J572" s="52">
        <f>IF(A572&lt;&gt;"",SUMIFS(metas!N:N, metas!E:E, "&gt;=" &amp; DATEVALUE(B572&amp;"-01"),metas!D:D, "&lt;=" &amp; DATEVALUE(B572&amp;"-01")),"")</f>
        <v>3182.813937</v>
      </c>
      <c r="K572" s="49">
        <f t="shared" si="4"/>
        <v>19723.18606</v>
      </c>
      <c r="L572" s="49">
        <f t="shared" si="6"/>
        <v>10625822.58</v>
      </c>
      <c r="M572" s="49">
        <f>IF(A572&lt;&gt;"",IF(COUNTIF(investimento!F:F, B572) &gt; 0, SUM(investimento!B:B)+I572, M571+I572),"")</f>
        <v>12861984.68</v>
      </c>
    </row>
    <row r="573" ht="22.5" customHeight="1">
      <c r="A573" s="47">
        <v>50622.0</v>
      </c>
      <c r="B573" s="48" t="str">
        <f t="shared" si="1"/>
        <v>2038-08</v>
      </c>
      <c r="C573" s="49">
        <f>SUMIF(despesas_recorrentes!C:C, "&gt;="&amp;A573,despesas_recorrentes!B:B) 
+SUMIF(despesas_recorrentes!C:C, "",despesas_recorrentes!B:B)
-despesas_recorrentes!$B$12
+IF(SUMIF(gasto_cartao!E:E,saldo!B573,gasto_cartao!B:B)&gt;despesas_recorrentes!$B$12, SUMIF(gasto_cartao!E:E,saldo!B573,gasto_cartao!B:B),despesas_recorrentes!$B$12)</f>
        <v>34013</v>
      </c>
      <c r="D573" s="51">
        <f>SUM(receitas_recorrentes!B:B)+SUMIF(receitas_pontuais!E:E,B573,receitas_pontuais!B:B)</f>
        <v>56919</v>
      </c>
      <c r="E573" s="51">
        <f t="shared" si="2"/>
        <v>22906</v>
      </c>
      <c r="F573" s="53">
        <f>IFERROR(SUMIF(contas!G:G, B573, contas!B:B),0)</f>
        <v>0</v>
      </c>
      <c r="G573" s="51">
        <f>SUMIFS(previsoes!D:D, previsoes!E:E, "&lt;=" &amp; EOMONTH(DATEVALUE(B573&amp;"-01"),0), previsoes!F:F, "&gt;=" &amp; DATEVALUE(B573&amp;"-01"))</f>
        <v>0</v>
      </c>
      <c r="H573" s="52">
        <f t="shared" si="5"/>
        <v>160491.8958</v>
      </c>
      <c r="I573" s="49">
        <f t="shared" si="3"/>
        <v>22906</v>
      </c>
      <c r="J573" s="52">
        <f>IF(A573&lt;&gt;"",SUMIFS(metas!N:N, metas!E:E, "&gt;=" &amp; DATEVALUE(B573&amp;"-01"),metas!D:D, "&lt;=" &amp; DATEVALUE(B573&amp;"-01")),"")</f>
        <v>3182.813937</v>
      </c>
      <c r="K573" s="49">
        <f t="shared" si="4"/>
        <v>19723.18606</v>
      </c>
      <c r="L573" s="49">
        <f t="shared" si="6"/>
        <v>10645545.77</v>
      </c>
      <c r="M573" s="49">
        <f>IF(A573&lt;&gt;"",IF(COUNTIF(investimento!F:F, B573) &gt; 0, SUM(investimento!B:B)+I573, M572+I573),"")</f>
        <v>12884890.68</v>
      </c>
    </row>
    <row r="574" ht="22.5" customHeight="1">
      <c r="A574" s="47">
        <v>50623.0</v>
      </c>
      <c r="B574" s="48" t="str">
        <f t="shared" si="1"/>
        <v>2038-08</v>
      </c>
      <c r="C574" s="49">
        <f>SUMIF(despesas_recorrentes!C:C, "&gt;="&amp;A574,despesas_recorrentes!B:B) 
+SUMIF(despesas_recorrentes!C:C, "",despesas_recorrentes!B:B)
-despesas_recorrentes!$B$12
+IF(SUMIF(gasto_cartao!E:E,saldo!B574,gasto_cartao!B:B)&gt;despesas_recorrentes!$B$12, SUMIF(gasto_cartao!E:E,saldo!B574,gasto_cartao!B:B),despesas_recorrentes!$B$12)</f>
        <v>34013</v>
      </c>
      <c r="D574" s="51">
        <f>SUM(receitas_recorrentes!B:B)+SUMIF(receitas_pontuais!E:E,B574,receitas_pontuais!B:B)</f>
        <v>56919</v>
      </c>
      <c r="E574" s="51">
        <f t="shared" si="2"/>
        <v>22906</v>
      </c>
      <c r="F574" s="53">
        <f>IFERROR(SUMIF(contas!G:G, B574, contas!B:B),0)</f>
        <v>0</v>
      </c>
      <c r="G574" s="51">
        <f>SUMIFS(previsoes!D:D, previsoes!E:E, "&lt;=" &amp; EOMONTH(DATEVALUE(B574&amp;"-01"),0), previsoes!F:F, "&gt;=" &amp; DATEVALUE(B574&amp;"-01"))</f>
        <v>0</v>
      </c>
      <c r="H574" s="52">
        <f t="shared" si="5"/>
        <v>160491.8958</v>
      </c>
      <c r="I574" s="49">
        <f t="shared" si="3"/>
        <v>22906</v>
      </c>
      <c r="J574" s="52">
        <f>IF(A574&lt;&gt;"",SUMIFS(metas!N:N, metas!E:E, "&gt;=" &amp; DATEVALUE(B574&amp;"-01"),metas!D:D, "&lt;=" &amp; DATEVALUE(B574&amp;"-01")),"")</f>
        <v>3182.813937</v>
      </c>
      <c r="K574" s="49">
        <f t="shared" si="4"/>
        <v>19723.18606</v>
      </c>
      <c r="L574" s="49">
        <f t="shared" si="6"/>
        <v>10665268.96</v>
      </c>
      <c r="M574" s="49">
        <f>IF(A574&lt;&gt;"",IF(COUNTIF(investimento!F:F, B574) &gt; 0, SUM(investimento!B:B)+I574, M573+I574),"")</f>
        <v>12907796.68</v>
      </c>
    </row>
    <row r="575" ht="22.5" customHeight="1">
      <c r="A575" s="47">
        <v>50624.0</v>
      </c>
      <c r="B575" s="48" t="str">
        <f t="shared" si="1"/>
        <v>2038-08</v>
      </c>
      <c r="C575" s="49">
        <f>SUMIF(despesas_recorrentes!C:C, "&gt;="&amp;A575,despesas_recorrentes!B:B) 
+SUMIF(despesas_recorrentes!C:C, "",despesas_recorrentes!B:B)
-despesas_recorrentes!$B$12
+IF(SUMIF(gasto_cartao!E:E,saldo!B575,gasto_cartao!B:B)&gt;despesas_recorrentes!$B$12, SUMIF(gasto_cartao!E:E,saldo!B575,gasto_cartao!B:B),despesas_recorrentes!$B$12)</f>
        <v>34013</v>
      </c>
      <c r="D575" s="51">
        <f>SUM(receitas_recorrentes!B:B)+SUMIF(receitas_pontuais!E:E,B575,receitas_pontuais!B:B)</f>
        <v>56919</v>
      </c>
      <c r="E575" s="51">
        <f t="shared" si="2"/>
        <v>22906</v>
      </c>
      <c r="F575" s="53">
        <f>IFERROR(SUMIF(contas!G:G, B575, contas!B:B),0)</f>
        <v>0</v>
      </c>
      <c r="G575" s="51">
        <f>SUMIFS(previsoes!D:D, previsoes!E:E, "&lt;=" &amp; EOMONTH(DATEVALUE(B575&amp;"-01"),0), previsoes!F:F, "&gt;=" &amp; DATEVALUE(B575&amp;"-01"))</f>
        <v>0</v>
      </c>
      <c r="H575" s="52">
        <f t="shared" si="5"/>
        <v>160491.8958</v>
      </c>
      <c r="I575" s="49">
        <f t="shared" si="3"/>
        <v>22906</v>
      </c>
      <c r="J575" s="52">
        <f>IF(A575&lt;&gt;"",SUMIFS(metas!N:N, metas!E:E, "&gt;=" &amp; DATEVALUE(B575&amp;"-01"),metas!D:D, "&lt;=" &amp; DATEVALUE(B575&amp;"-01")),"")</f>
        <v>3182.813937</v>
      </c>
      <c r="K575" s="49">
        <f t="shared" si="4"/>
        <v>19723.18606</v>
      </c>
      <c r="L575" s="49">
        <f t="shared" si="6"/>
        <v>10684992.14</v>
      </c>
      <c r="M575" s="49">
        <f>IF(A575&lt;&gt;"",IF(COUNTIF(investimento!F:F, B575) &gt; 0, SUM(investimento!B:B)+I575, M574+I575),"")</f>
        <v>12930702.68</v>
      </c>
    </row>
    <row r="576" ht="22.5" customHeight="1">
      <c r="A576" s="47">
        <v>50625.0</v>
      </c>
      <c r="B576" s="48" t="str">
        <f t="shared" si="1"/>
        <v>2038-08</v>
      </c>
      <c r="C576" s="49">
        <f>SUMIF(despesas_recorrentes!C:C, "&gt;="&amp;A576,despesas_recorrentes!B:B) 
+SUMIF(despesas_recorrentes!C:C, "",despesas_recorrentes!B:B)
-despesas_recorrentes!$B$12
+IF(SUMIF(gasto_cartao!E:E,saldo!B576,gasto_cartao!B:B)&gt;despesas_recorrentes!$B$12, SUMIF(gasto_cartao!E:E,saldo!B576,gasto_cartao!B:B),despesas_recorrentes!$B$12)</f>
        <v>34013</v>
      </c>
      <c r="D576" s="51">
        <f>SUM(receitas_recorrentes!B:B)+SUMIF(receitas_pontuais!E:E,B576,receitas_pontuais!B:B)</f>
        <v>56919</v>
      </c>
      <c r="E576" s="51">
        <f t="shared" si="2"/>
        <v>22906</v>
      </c>
      <c r="F576" s="53">
        <f>IFERROR(SUMIF(contas!G:G, B576, contas!B:B),0)</f>
        <v>0</v>
      </c>
      <c r="G576" s="51">
        <f>SUMIFS(previsoes!D:D, previsoes!E:E, "&lt;=" &amp; EOMONTH(DATEVALUE(B576&amp;"-01"),0), previsoes!F:F, "&gt;=" &amp; DATEVALUE(B576&amp;"-01"))</f>
        <v>0</v>
      </c>
      <c r="H576" s="52">
        <f t="shared" si="5"/>
        <v>160491.8958</v>
      </c>
      <c r="I576" s="49">
        <f t="shared" si="3"/>
        <v>22906</v>
      </c>
      <c r="J576" s="52">
        <f>IF(A576&lt;&gt;"",SUMIFS(metas!N:N, metas!E:E, "&gt;=" &amp; DATEVALUE(B576&amp;"-01"),metas!D:D, "&lt;=" &amp; DATEVALUE(B576&amp;"-01")),"")</f>
        <v>3182.813937</v>
      </c>
      <c r="K576" s="49">
        <f t="shared" si="4"/>
        <v>19723.18606</v>
      </c>
      <c r="L576" s="49">
        <f t="shared" si="6"/>
        <v>10704715.33</v>
      </c>
      <c r="M576" s="49">
        <f>IF(A576&lt;&gt;"",IF(COUNTIF(investimento!F:F, B576) &gt; 0, SUM(investimento!B:B)+I576, M575+I576),"")</f>
        <v>12953608.68</v>
      </c>
    </row>
    <row r="577" ht="22.5" customHeight="1">
      <c r="A577" s="47">
        <v>50626.0</v>
      </c>
      <c r="B577" s="48" t="str">
        <f t="shared" si="1"/>
        <v>2038-08</v>
      </c>
      <c r="C577" s="49">
        <f>SUMIF(despesas_recorrentes!C:C, "&gt;="&amp;A577,despesas_recorrentes!B:B) 
+SUMIF(despesas_recorrentes!C:C, "",despesas_recorrentes!B:B)
-despesas_recorrentes!$B$12
+IF(SUMIF(gasto_cartao!E:E,saldo!B577,gasto_cartao!B:B)&gt;despesas_recorrentes!$B$12, SUMIF(gasto_cartao!E:E,saldo!B577,gasto_cartao!B:B),despesas_recorrentes!$B$12)</f>
        <v>34013</v>
      </c>
      <c r="D577" s="51">
        <f>SUM(receitas_recorrentes!B:B)+SUMIF(receitas_pontuais!E:E,B577,receitas_pontuais!B:B)</f>
        <v>56919</v>
      </c>
      <c r="E577" s="51">
        <f t="shared" si="2"/>
        <v>22906</v>
      </c>
      <c r="F577" s="53">
        <f>IFERROR(SUMIF(contas!G:G, B577, contas!B:B),0)</f>
        <v>0</v>
      </c>
      <c r="G577" s="51">
        <f>SUMIFS(previsoes!D:D, previsoes!E:E, "&lt;=" &amp; EOMONTH(DATEVALUE(B577&amp;"-01"),0), previsoes!F:F, "&gt;=" &amp; DATEVALUE(B577&amp;"-01"))</f>
        <v>0</v>
      </c>
      <c r="H577" s="52">
        <f t="shared" si="5"/>
        <v>160491.8958</v>
      </c>
      <c r="I577" s="49">
        <f t="shared" si="3"/>
        <v>22906</v>
      </c>
      <c r="J577" s="52">
        <f>IF(A577&lt;&gt;"",SUMIFS(metas!N:N, metas!E:E, "&gt;=" &amp; DATEVALUE(B577&amp;"-01"),metas!D:D, "&lt;=" &amp; DATEVALUE(B577&amp;"-01")),"")</f>
        <v>3182.813937</v>
      </c>
      <c r="K577" s="49">
        <f t="shared" si="4"/>
        <v>19723.18606</v>
      </c>
      <c r="L577" s="49">
        <f t="shared" si="6"/>
        <v>10724438.51</v>
      </c>
      <c r="M577" s="49">
        <f>IF(A577&lt;&gt;"",IF(COUNTIF(investimento!F:F, B577) &gt; 0, SUM(investimento!B:B)+I577, M576+I577),"")</f>
        <v>12976514.68</v>
      </c>
    </row>
    <row r="578" ht="22.5" customHeight="1">
      <c r="A578" s="47">
        <v>50627.0</v>
      </c>
      <c r="B578" s="48" t="str">
        <f t="shared" si="1"/>
        <v>2038-08</v>
      </c>
      <c r="C578" s="49">
        <f>SUMIF(despesas_recorrentes!C:C, "&gt;="&amp;A578,despesas_recorrentes!B:B) 
+SUMIF(despesas_recorrentes!C:C, "",despesas_recorrentes!B:B)
-despesas_recorrentes!$B$12
+IF(SUMIF(gasto_cartao!E:E,saldo!B578,gasto_cartao!B:B)&gt;despesas_recorrentes!$B$12, SUMIF(gasto_cartao!E:E,saldo!B578,gasto_cartao!B:B),despesas_recorrentes!$B$12)</f>
        <v>34013</v>
      </c>
      <c r="D578" s="51">
        <f>SUM(receitas_recorrentes!B:B)+SUMIF(receitas_pontuais!E:E,B578,receitas_pontuais!B:B)</f>
        <v>56919</v>
      </c>
      <c r="E578" s="51">
        <f t="shared" si="2"/>
        <v>22906</v>
      </c>
      <c r="F578" s="53">
        <f>IFERROR(SUMIF(contas!G:G, B578, contas!B:B),0)</f>
        <v>0</v>
      </c>
      <c r="G578" s="51">
        <f>SUMIFS(previsoes!D:D, previsoes!E:E, "&lt;=" &amp; EOMONTH(DATEVALUE(B578&amp;"-01"),0), previsoes!F:F, "&gt;=" &amp; DATEVALUE(B578&amp;"-01"))</f>
        <v>0</v>
      </c>
      <c r="H578" s="52">
        <f t="shared" si="5"/>
        <v>160491.8958</v>
      </c>
      <c r="I578" s="49">
        <f t="shared" si="3"/>
        <v>22906</v>
      </c>
      <c r="J578" s="52">
        <f>IF(A578&lt;&gt;"",SUMIFS(metas!N:N, metas!E:E, "&gt;=" &amp; DATEVALUE(B578&amp;"-01"),metas!D:D, "&lt;=" &amp; DATEVALUE(B578&amp;"-01")),"")</f>
        <v>3182.813937</v>
      </c>
      <c r="K578" s="49">
        <f t="shared" si="4"/>
        <v>19723.18606</v>
      </c>
      <c r="L578" s="49">
        <f t="shared" si="6"/>
        <v>10744161.7</v>
      </c>
      <c r="M578" s="49">
        <f>IF(A578&lt;&gt;"",IF(COUNTIF(investimento!F:F, B578) &gt; 0, SUM(investimento!B:B)+I578, M577+I578),"")</f>
        <v>12999420.68</v>
      </c>
    </row>
    <row r="579" ht="22.5" customHeight="1">
      <c r="A579" s="47">
        <v>50628.0</v>
      </c>
      <c r="B579" s="48" t="str">
        <f t="shared" si="1"/>
        <v>2038-08</v>
      </c>
      <c r="C579" s="49">
        <f>SUMIF(despesas_recorrentes!C:C, "&gt;="&amp;A579,despesas_recorrentes!B:B) 
+SUMIF(despesas_recorrentes!C:C, "",despesas_recorrentes!B:B)
-despesas_recorrentes!$B$12
+IF(SUMIF(gasto_cartao!E:E,saldo!B579,gasto_cartao!B:B)&gt;despesas_recorrentes!$B$12, SUMIF(gasto_cartao!E:E,saldo!B579,gasto_cartao!B:B),despesas_recorrentes!$B$12)</f>
        <v>34013</v>
      </c>
      <c r="D579" s="51">
        <f>SUM(receitas_recorrentes!B:B)+SUMIF(receitas_pontuais!E:E,B579,receitas_pontuais!B:B)</f>
        <v>56919</v>
      </c>
      <c r="E579" s="51">
        <f t="shared" si="2"/>
        <v>22906</v>
      </c>
      <c r="F579" s="53">
        <f>IFERROR(SUMIF(contas!G:G, B579, contas!B:B),0)</f>
        <v>0</v>
      </c>
      <c r="G579" s="51">
        <f>SUMIFS(previsoes!D:D, previsoes!E:E, "&lt;=" &amp; EOMONTH(DATEVALUE(B579&amp;"-01"),0), previsoes!F:F, "&gt;=" &amp; DATEVALUE(B579&amp;"-01"))</f>
        <v>0</v>
      </c>
      <c r="H579" s="52">
        <f t="shared" si="5"/>
        <v>160491.8958</v>
      </c>
      <c r="I579" s="49">
        <f t="shared" si="3"/>
        <v>22906</v>
      </c>
      <c r="J579" s="52">
        <f>IF(A579&lt;&gt;"",SUMIFS(metas!N:N, metas!E:E, "&gt;=" &amp; DATEVALUE(B579&amp;"-01"),metas!D:D, "&lt;=" &amp; DATEVALUE(B579&amp;"-01")),"")</f>
        <v>3182.813937</v>
      </c>
      <c r="K579" s="49">
        <f t="shared" si="4"/>
        <v>19723.18606</v>
      </c>
      <c r="L579" s="49">
        <f t="shared" si="6"/>
        <v>10763884.89</v>
      </c>
      <c r="M579" s="49">
        <f>IF(A579&lt;&gt;"",IF(COUNTIF(investimento!F:F, B579) &gt; 0, SUM(investimento!B:B)+I579, M578+I579),"")</f>
        <v>13022326.68</v>
      </c>
    </row>
    <row r="580" ht="22.5" customHeight="1">
      <c r="A580" s="47">
        <v>50629.0</v>
      </c>
      <c r="B580" s="48" t="str">
        <f t="shared" si="1"/>
        <v>2038-08</v>
      </c>
      <c r="C580" s="49">
        <f>SUMIF(despesas_recorrentes!C:C, "&gt;="&amp;A580,despesas_recorrentes!B:B) 
+SUMIF(despesas_recorrentes!C:C, "",despesas_recorrentes!B:B)
-despesas_recorrentes!$B$12
+IF(SUMIF(gasto_cartao!E:E,saldo!B580,gasto_cartao!B:B)&gt;despesas_recorrentes!$B$12, SUMIF(gasto_cartao!E:E,saldo!B580,gasto_cartao!B:B),despesas_recorrentes!$B$12)</f>
        <v>34013</v>
      </c>
      <c r="D580" s="51">
        <f>SUM(receitas_recorrentes!B:B)+SUMIF(receitas_pontuais!E:E,B580,receitas_pontuais!B:B)</f>
        <v>56919</v>
      </c>
      <c r="E580" s="51">
        <f t="shared" si="2"/>
        <v>22906</v>
      </c>
      <c r="F580" s="53">
        <f>IFERROR(SUMIF(contas!G:G, B580, contas!B:B),0)</f>
        <v>0</v>
      </c>
      <c r="G580" s="51">
        <f>SUMIFS(previsoes!D:D, previsoes!E:E, "&lt;=" &amp; EOMONTH(DATEVALUE(B580&amp;"-01"),0), previsoes!F:F, "&gt;=" &amp; DATEVALUE(B580&amp;"-01"))</f>
        <v>0</v>
      </c>
      <c r="H580" s="52">
        <f t="shared" si="5"/>
        <v>160491.8958</v>
      </c>
      <c r="I580" s="49">
        <f t="shared" si="3"/>
        <v>22906</v>
      </c>
      <c r="J580" s="52">
        <f>IF(A580&lt;&gt;"",SUMIFS(metas!N:N, metas!E:E, "&gt;=" &amp; DATEVALUE(B580&amp;"-01"),metas!D:D, "&lt;=" &amp; DATEVALUE(B580&amp;"-01")),"")</f>
        <v>3182.813937</v>
      </c>
      <c r="K580" s="49">
        <f t="shared" si="4"/>
        <v>19723.18606</v>
      </c>
      <c r="L580" s="49">
        <f t="shared" si="6"/>
        <v>10783608.07</v>
      </c>
      <c r="M580" s="49">
        <f>IF(A580&lt;&gt;"",IF(COUNTIF(investimento!F:F, B580) &gt; 0, SUM(investimento!B:B)+I580, M579+I580),"")</f>
        <v>13045232.68</v>
      </c>
    </row>
    <row r="581" ht="22.5" customHeight="1">
      <c r="A581" s="47">
        <v>50630.0</v>
      </c>
      <c r="B581" s="48" t="str">
        <f t="shared" si="1"/>
        <v>2038-08</v>
      </c>
      <c r="C581" s="49">
        <f>SUMIF(despesas_recorrentes!C:C, "&gt;="&amp;A581,despesas_recorrentes!B:B) 
+SUMIF(despesas_recorrentes!C:C, "",despesas_recorrentes!B:B)
-despesas_recorrentes!$B$12
+IF(SUMIF(gasto_cartao!E:E,saldo!B581,gasto_cartao!B:B)&gt;despesas_recorrentes!$B$12, SUMIF(gasto_cartao!E:E,saldo!B581,gasto_cartao!B:B),despesas_recorrentes!$B$12)</f>
        <v>34013</v>
      </c>
      <c r="D581" s="51">
        <f>SUM(receitas_recorrentes!B:B)+SUMIF(receitas_pontuais!E:E,B581,receitas_pontuais!B:B)</f>
        <v>56919</v>
      </c>
      <c r="E581" s="51">
        <f t="shared" si="2"/>
        <v>22906</v>
      </c>
      <c r="F581" s="53">
        <f>IFERROR(SUMIF(contas!G:G, B581, contas!B:B),0)</f>
        <v>0</v>
      </c>
      <c r="G581" s="51">
        <f>SUMIFS(previsoes!D:D, previsoes!E:E, "&lt;=" &amp; EOMONTH(DATEVALUE(B581&amp;"-01"),0), previsoes!F:F, "&gt;=" &amp; DATEVALUE(B581&amp;"-01"))</f>
        <v>0</v>
      </c>
      <c r="H581" s="52">
        <f t="shared" si="5"/>
        <v>160491.8958</v>
      </c>
      <c r="I581" s="49">
        <f t="shared" si="3"/>
        <v>22906</v>
      </c>
      <c r="J581" s="52">
        <f>IF(A581&lt;&gt;"",SUMIFS(metas!N:N, metas!E:E, "&gt;=" &amp; DATEVALUE(B581&amp;"-01"),metas!D:D, "&lt;=" &amp; DATEVALUE(B581&amp;"-01")),"")</f>
        <v>3182.813937</v>
      </c>
      <c r="K581" s="49">
        <f t="shared" si="4"/>
        <v>19723.18606</v>
      </c>
      <c r="L581" s="49">
        <f t="shared" si="6"/>
        <v>10803331.26</v>
      </c>
      <c r="M581" s="49">
        <f>IF(A581&lt;&gt;"",IF(COUNTIF(investimento!F:F, B581) &gt; 0, SUM(investimento!B:B)+I581, M580+I581),"")</f>
        <v>13068138.68</v>
      </c>
    </row>
    <row r="582" ht="22.5" customHeight="1">
      <c r="A582" s="47">
        <v>50631.0</v>
      </c>
      <c r="B582" s="48" t="str">
        <f t="shared" si="1"/>
        <v>2038-08</v>
      </c>
      <c r="C582" s="49">
        <f>SUMIF(despesas_recorrentes!C:C, "&gt;="&amp;A582,despesas_recorrentes!B:B) 
+SUMIF(despesas_recorrentes!C:C, "",despesas_recorrentes!B:B)
-despesas_recorrentes!$B$12
+IF(SUMIF(gasto_cartao!E:E,saldo!B582,gasto_cartao!B:B)&gt;despesas_recorrentes!$B$12, SUMIF(gasto_cartao!E:E,saldo!B582,gasto_cartao!B:B),despesas_recorrentes!$B$12)</f>
        <v>34013</v>
      </c>
      <c r="D582" s="51">
        <f>SUM(receitas_recorrentes!B:B)+SUMIF(receitas_pontuais!E:E,B582,receitas_pontuais!B:B)</f>
        <v>56919</v>
      </c>
      <c r="E582" s="51">
        <f t="shared" si="2"/>
        <v>22906</v>
      </c>
      <c r="F582" s="53">
        <f>IFERROR(SUMIF(contas!G:G, B582, contas!B:B),0)</f>
        <v>0</v>
      </c>
      <c r="G582" s="51">
        <f>SUMIFS(previsoes!D:D, previsoes!E:E, "&lt;=" &amp; EOMONTH(DATEVALUE(B582&amp;"-01"),0), previsoes!F:F, "&gt;=" &amp; DATEVALUE(B582&amp;"-01"))</f>
        <v>0</v>
      </c>
      <c r="H582" s="52">
        <f t="shared" si="5"/>
        <v>160491.8958</v>
      </c>
      <c r="I582" s="49">
        <f t="shared" si="3"/>
        <v>22906</v>
      </c>
      <c r="J582" s="52">
        <f>IF(A582&lt;&gt;"",SUMIFS(metas!N:N, metas!E:E, "&gt;=" &amp; DATEVALUE(B582&amp;"-01"),metas!D:D, "&lt;=" &amp; DATEVALUE(B582&amp;"-01")),"")</f>
        <v>3182.813937</v>
      </c>
      <c r="K582" s="49">
        <f t="shared" si="4"/>
        <v>19723.18606</v>
      </c>
      <c r="L582" s="49">
        <f t="shared" si="6"/>
        <v>10823054.45</v>
      </c>
      <c r="M582" s="49">
        <f>IF(A582&lt;&gt;"",IF(COUNTIF(investimento!F:F, B582) &gt; 0, SUM(investimento!B:B)+I582, M581+I582),"")</f>
        <v>13091044.68</v>
      </c>
    </row>
    <row r="583" ht="22.5" customHeight="1">
      <c r="A583" s="47">
        <v>50632.0</v>
      </c>
      <c r="B583" s="48" t="str">
        <f t="shared" si="1"/>
        <v>2038-08</v>
      </c>
      <c r="C583" s="49">
        <f>SUMIF(despesas_recorrentes!C:C, "&gt;="&amp;A583,despesas_recorrentes!B:B) 
+SUMIF(despesas_recorrentes!C:C, "",despesas_recorrentes!B:B)
-despesas_recorrentes!$B$12
+IF(SUMIF(gasto_cartao!E:E,saldo!B583,gasto_cartao!B:B)&gt;despesas_recorrentes!$B$12, SUMIF(gasto_cartao!E:E,saldo!B583,gasto_cartao!B:B),despesas_recorrentes!$B$12)</f>
        <v>34013</v>
      </c>
      <c r="D583" s="51">
        <f>SUM(receitas_recorrentes!B:B)+SUMIF(receitas_pontuais!E:E,B583,receitas_pontuais!B:B)</f>
        <v>56919</v>
      </c>
      <c r="E583" s="51">
        <f t="shared" si="2"/>
        <v>22906</v>
      </c>
      <c r="F583" s="53">
        <f>IFERROR(SUMIF(contas!G:G, B583, contas!B:B),0)</f>
        <v>0</v>
      </c>
      <c r="G583" s="51">
        <f>SUMIFS(previsoes!D:D, previsoes!E:E, "&lt;=" &amp; EOMONTH(DATEVALUE(B583&amp;"-01"),0), previsoes!F:F, "&gt;=" &amp; DATEVALUE(B583&amp;"-01"))</f>
        <v>0</v>
      </c>
      <c r="H583" s="52">
        <f t="shared" si="5"/>
        <v>160491.8958</v>
      </c>
      <c r="I583" s="49">
        <f t="shared" si="3"/>
        <v>22906</v>
      </c>
      <c r="J583" s="52">
        <f>IF(A583&lt;&gt;"",SUMIFS(metas!N:N, metas!E:E, "&gt;=" &amp; DATEVALUE(B583&amp;"-01"),metas!D:D, "&lt;=" &amp; DATEVALUE(B583&amp;"-01")),"")</f>
        <v>3182.813937</v>
      </c>
      <c r="K583" s="49">
        <f t="shared" si="4"/>
        <v>19723.18606</v>
      </c>
      <c r="L583" s="49">
        <f t="shared" si="6"/>
        <v>10842777.63</v>
      </c>
      <c r="M583" s="49">
        <f>IF(A583&lt;&gt;"",IF(COUNTIF(investimento!F:F, B583) &gt; 0, SUM(investimento!B:B)+I583, M582+I583),"")</f>
        <v>13113950.68</v>
      </c>
    </row>
    <row r="584" ht="22.5" customHeight="1">
      <c r="A584" s="47">
        <v>50633.0</v>
      </c>
      <c r="B584" s="48" t="str">
        <f t="shared" si="1"/>
        <v>2038-08</v>
      </c>
      <c r="C584" s="49">
        <f>SUMIF(despesas_recorrentes!C:C, "&gt;="&amp;A584,despesas_recorrentes!B:B) 
+SUMIF(despesas_recorrentes!C:C, "",despesas_recorrentes!B:B)
-despesas_recorrentes!$B$12
+IF(SUMIF(gasto_cartao!E:E,saldo!B584,gasto_cartao!B:B)&gt;despesas_recorrentes!$B$12, SUMIF(gasto_cartao!E:E,saldo!B584,gasto_cartao!B:B),despesas_recorrentes!$B$12)</f>
        <v>34013</v>
      </c>
      <c r="D584" s="51">
        <f>SUM(receitas_recorrentes!B:B)+SUMIF(receitas_pontuais!E:E,B584,receitas_pontuais!B:B)</f>
        <v>56919</v>
      </c>
      <c r="E584" s="51">
        <f t="shared" si="2"/>
        <v>22906</v>
      </c>
      <c r="F584" s="53">
        <f>IFERROR(SUMIF(contas!G:G, B584, contas!B:B),0)</f>
        <v>0</v>
      </c>
      <c r="G584" s="51">
        <f>SUMIFS(previsoes!D:D, previsoes!E:E, "&lt;=" &amp; EOMONTH(DATEVALUE(B584&amp;"-01"),0), previsoes!F:F, "&gt;=" &amp; DATEVALUE(B584&amp;"-01"))</f>
        <v>0</v>
      </c>
      <c r="H584" s="52">
        <f t="shared" si="5"/>
        <v>160491.8958</v>
      </c>
      <c r="I584" s="49">
        <f t="shared" si="3"/>
        <v>22906</v>
      </c>
      <c r="J584" s="52">
        <f>IF(A584&lt;&gt;"",SUMIFS(metas!N:N, metas!E:E, "&gt;=" &amp; DATEVALUE(B584&amp;"-01"),metas!D:D, "&lt;=" &amp; DATEVALUE(B584&amp;"-01")),"")</f>
        <v>3182.813937</v>
      </c>
      <c r="K584" s="49">
        <f t="shared" si="4"/>
        <v>19723.18606</v>
      </c>
      <c r="L584" s="49">
        <f t="shared" si="6"/>
        <v>10862500.82</v>
      </c>
      <c r="M584" s="49">
        <f>IF(A584&lt;&gt;"",IF(COUNTIF(investimento!F:F, B584) &gt; 0, SUM(investimento!B:B)+I584, M583+I584),"")</f>
        <v>13136856.68</v>
      </c>
    </row>
    <row r="585" ht="22.5" customHeight="1">
      <c r="A585" s="47">
        <v>50634.0</v>
      </c>
      <c r="B585" s="48" t="str">
        <f t="shared" si="1"/>
        <v>2038-08</v>
      </c>
      <c r="C585" s="49">
        <f>SUMIF(despesas_recorrentes!C:C, "&gt;="&amp;A585,despesas_recorrentes!B:B) 
+SUMIF(despesas_recorrentes!C:C, "",despesas_recorrentes!B:B)
-despesas_recorrentes!$B$12
+IF(SUMIF(gasto_cartao!E:E,saldo!B585,gasto_cartao!B:B)&gt;despesas_recorrentes!$B$12, SUMIF(gasto_cartao!E:E,saldo!B585,gasto_cartao!B:B),despesas_recorrentes!$B$12)</f>
        <v>34013</v>
      </c>
      <c r="D585" s="51">
        <f>SUM(receitas_recorrentes!B:B)+SUMIF(receitas_pontuais!E:E,B585,receitas_pontuais!B:B)</f>
        <v>56919</v>
      </c>
      <c r="E585" s="51">
        <f t="shared" si="2"/>
        <v>22906</v>
      </c>
      <c r="F585" s="53">
        <f>IFERROR(SUMIF(contas!G:G, B585, contas!B:B),0)</f>
        <v>0</v>
      </c>
      <c r="G585" s="51">
        <f>SUMIFS(previsoes!D:D, previsoes!E:E, "&lt;=" &amp; EOMONTH(DATEVALUE(B585&amp;"-01"),0), previsoes!F:F, "&gt;=" &amp; DATEVALUE(B585&amp;"-01"))</f>
        <v>0</v>
      </c>
      <c r="H585" s="52">
        <f t="shared" si="5"/>
        <v>160491.8958</v>
      </c>
      <c r="I585" s="49">
        <f t="shared" si="3"/>
        <v>22906</v>
      </c>
      <c r="J585" s="52">
        <f>IF(A585&lt;&gt;"",SUMIFS(metas!N:N, metas!E:E, "&gt;=" &amp; DATEVALUE(B585&amp;"-01"),metas!D:D, "&lt;=" &amp; DATEVALUE(B585&amp;"-01")),"")</f>
        <v>3182.813937</v>
      </c>
      <c r="K585" s="49">
        <f t="shared" si="4"/>
        <v>19723.18606</v>
      </c>
      <c r="L585" s="49">
        <f t="shared" si="6"/>
        <v>10882224</v>
      </c>
      <c r="M585" s="49">
        <f>IF(A585&lt;&gt;"",IF(COUNTIF(investimento!F:F, B585) &gt; 0, SUM(investimento!B:B)+I585, M584+I585),"")</f>
        <v>13159762.68</v>
      </c>
    </row>
    <row r="586" ht="22.5" customHeight="1">
      <c r="A586" s="47">
        <v>50635.0</v>
      </c>
      <c r="B586" s="48" t="str">
        <f t="shared" si="1"/>
        <v>2038-08</v>
      </c>
      <c r="C586" s="49">
        <f>SUMIF(despesas_recorrentes!C:C, "&gt;="&amp;A586,despesas_recorrentes!B:B) 
+SUMIF(despesas_recorrentes!C:C, "",despesas_recorrentes!B:B)
-despesas_recorrentes!$B$12
+IF(SUMIF(gasto_cartao!E:E,saldo!B586,gasto_cartao!B:B)&gt;despesas_recorrentes!$B$12, SUMIF(gasto_cartao!E:E,saldo!B586,gasto_cartao!B:B),despesas_recorrentes!$B$12)</f>
        <v>34013</v>
      </c>
      <c r="D586" s="51">
        <f>SUM(receitas_recorrentes!B:B)+SUMIF(receitas_pontuais!E:E,B586,receitas_pontuais!B:B)</f>
        <v>56919</v>
      </c>
      <c r="E586" s="51">
        <f t="shared" si="2"/>
        <v>22906</v>
      </c>
      <c r="F586" s="53">
        <f>IFERROR(SUMIF(contas!G:G, B586, contas!B:B),0)</f>
        <v>0</v>
      </c>
      <c r="G586" s="51">
        <f>SUMIFS(previsoes!D:D, previsoes!E:E, "&lt;=" &amp; EOMONTH(DATEVALUE(B586&amp;"-01"),0), previsoes!F:F, "&gt;=" &amp; DATEVALUE(B586&amp;"-01"))</f>
        <v>0</v>
      </c>
      <c r="H586" s="52">
        <f t="shared" si="5"/>
        <v>160491.8958</v>
      </c>
      <c r="I586" s="49">
        <f t="shared" si="3"/>
        <v>22906</v>
      </c>
      <c r="J586" s="52">
        <f>IF(A586&lt;&gt;"",SUMIFS(metas!N:N, metas!E:E, "&gt;=" &amp; DATEVALUE(B586&amp;"-01"),metas!D:D, "&lt;=" &amp; DATEVALUE(B586&amp;"-01")),"")</f>
        <v>3182.813937</v>
      </c>
      <c r="K586" s="49">
        <f t="shared" si="4"/>
        <v>19723.18606</v>
      </c>
      <c r="L586" s="49">
        <f t="shared" si="6"/>
        <v>10901947.19</v>
      </c>
      <c r="M586" s="49">
        <f>IF(A586&lt;&gt;"",IF(COUNTIF(investimento!F:F, B586) &gt; 0, SUM(investimento!B:B)+I586, M585+I586),"")</f>
        <v>13182668.68</v>
      </c>
    </row>
    <row r="587" ht="22.5" customHeight="1">
      <c r="A587" s="47">
        <v>50636.0</v>
      </c>
      <c r="B587" s="48" t="str">
        <f t="shared" si="1"/>
        <v>2038-08</v>
      </c>
      <c r="C587" s="49">
        <f>SUMIF(despesas_recorrentes!C:C, "&gt;="&amp;A587,despesas_recorrentes!B:B) 
+SUMIF(despesas_recorrentes!C:C, "",despesas_recorrentes!B:B)
-despesas_recorrentes!$B$12
+IF(SUMIF(gasto_cartao!E:E,saldo!B587,gasto_cartao!B:B)&gt;despesas_recorrentes!$B$12, SUMIF(gasto_cartao!E:E,saldo!B587,gasto_cartao!B:B),despesas_recorrentes!$B$12)</f>
        <v>34013</v>
      </c>
      <c r="D587" s="51">
        <f>SUM(receitas_recorrentes!B:B)+SUMIF(receitas_pontuais!E:E,B587,receitas_pontuais!B:B)</f>
        <v>56919</v>
      </c>
      <c r="E587" s="51">
        <f t="shared" si="2"/>
        <v>22906</v>
      </c>
      <c r="F587" s="53">
        <f>IFERROR(SUMIF(contas!G:G, B587, contas!B:B),0)</f>
        <v>0</v>
      </c>
      <c r="G587" s="51">
        <f>SUMIFS(previsoes!D:D, previsoes!E:E, "&lt;=" &amp; EOMONTH(DATEVALUE(B587&amp;"-01"),0), previsoes!F:F, "&gt;=" &amp; DATEVALUE(B587&amp;"-01"))</f>
        <v>0</v>
      </c>
      <c r="H587" s="52">
        <f t="shared" si="5"/>
        <v>160491.8958</v>
      </c>
      <c r="I587" s="49">
        <f t="shared" si="3"/>
        <v>22906</v>
      </c>
      <c r="J587" s="52">
        <f>IF(A587&lt;&gt;"",SUMIFS(metas!N:N, metas!E:E, "&gt;=" &amp; DATEVALUE(B587&amp;"-01"),metas!D:D, "&lt;=" &amp; DATEVALUE(B587&amp;"-01")),"")</f>
        <v>3182.813937</v>
      </c>
      <c r="K587" s="49">
        <f t="shared" si="4"/>
        <v>19723.18606</v>
      </c>
      <c r="L587" s="49">
        <f t="shared" si="6"/>
        <v>10921670.38</v>
      </c>
      <c r="M587" s="49">
        <f>IF(A587&lt;&gt;"",IF(COUNTIF(investimento!F:F, B587) &gt; 0, SUM(investimento!B:B)+I587, M586+I587),"")</f>
        <v>13205574.68</v>
      </c>
    </row>
    <row r="588" ht="22.5" customHeight="1">
      <c r="A588" s="47">
        <v>50637.0</v>
      </c>
      <c r="B588" s="48" t="str">
        <f t="shared" si="1"/>
        <v>2038-08</v>
      </c>
      <c r="C588" s="49">
        <f>SUMIF(despesas_recorrentes!C:C, "&gt;="&amp;A588,despesas_recorrentes!B:B) 
+SUMIF(despesas_recorrentes!C:C, "",despesas_recorrentes!B:B)
-despesas_recorrentes!$B$12
+IF(SUMIF(gasto_cartao!E:E,saldo!B588,gasto_cartao!B:B)&gt;despesas_recorrentes!$B$12, SUMIF(gasto_cartao!E:E,saldo!B588,gasto_cartao!B:B),despesas_recorrentes!$B$12)</f>
        <v>34013</v>
      </c>
      <c r="D588" s="51">
        <f>SUM(receitas_recorrentes!B:B)+SUMIF(receitas_pontuais!E:E,B588,receitas_pontuais!B:B)</f>
        <v>56919</v>
      </c>
      <c r="E588" s="51">
        <f t="shared" si="2"/>
        <v>22906</v>
      </c>
      <c r="F588" s="53">
        <f>IFERROR(SUMIF(contas!G:G, B588, contas!B:B),0)</f>
        <v>0</v>
      </c>
      <c r="G588" s="51">
        <f>SUMIFS(previsoes!D:D, previsoes!E:E, "&lt;=" &amp; EOMONTH(DATEVALUE(B588&amp;"-01"),0), previsoes!F:F, "&gt;=" &amp; DATEVALUE(B588&amp;"-01"))</f>
        <v>0</v>
      </c>
      <c r="H588" s="52">
        <f t="shared" si="5"/>
        <v>160491.8958</v>
      </c>
      <c r="I588" s="49">
        <f t="shared" si="3"/>
        <v>22906</v>
      </c>
      <c r="J588" s="52">
        <f>IF(A588&lt;&gt;"",SUMIFS(metas!N:N, metas!E:E, "&gt;=" &amp; DATEVALUE(B588&amp;"-01"),metas!D:D, "&lt;=" &amp; DATEVALUE(B588&amp;"-01")),"")</f>
        <v>3182.813937</v>
      </c>
      <c r="K588" s="49">
        <f t="shared" si="4"/>
        <v>19723.18606</v>
      </c>
      <c r="L588" s="49">
        <f t="shared" si="6"/>
        <v>10941393.56</v>
      </c>
      <c r="M588" s="49">
        <f>IF(A588&lt;&gt;"",IF(COUNTIF(investimento!F:F, B588) &gt; 0, SUM(investimento!B:B)+I588, M587+I588),"")</f>
        <v>13228480.68</v>
      </c>
    </row>
    <row r="589" ht="22.5" customHeight="1">
      <c r="A589" s="47">
        <v>50638.0</v>
      </c>
      <c r="B589" s="48" t="str">
        <f t="shared" si="1"/>
        <v>2038-08</v>
      </c>
      <c r="C589" s="49">
        <f>SUMIF(despesas_recorrentes!C:C, "&gt;="&amp;A589,despesas_recorrentes!B:B) 
+SUMIF(despesas_recorrentes!C:C, "",despesas_recorrentes!B:B)
-despesas_recorrentes!$B$12
+IF(SUMIF(gasto_cartao!E:E,saldo!B589,gasto_cartao!B:B)&gt;despesas_recorrentes!$B$12, SUMIF(gasto_cartao!E:E,saldo!B589,gasto_cartao!B:B),despesas_recorrentes!$B$12)</f>
        <v>34013</v>
      </c>
      <c r="D589" s="51">
        <f>SUM(receitas_recorrentes!B:B)+SUMIF(receitas_pontuais!E:E,B589,receitas_pontuais!B:B)</f>
        <v>56919</v>
      </c>
      <c r="E589" s="51">
        <f t="shared" si="2"/>
        <v>22906</v>
      </c>
      <c r="F589" s="53">
        <f>IFERROR(SUMIF(contas!G:G, B589, contas!B:B),0)</f>
        <v>0</v>
      </c>
      <c r="G589" s="51">
        <f>SUMIFS(previsoes!D:D, previsoes!E:E, "&lt;=" &amp; EOMONTH(DATEVALUE(B589&amp;"-01"),0), previsoes!F:F, "&gt;=" &amp; DATEVALUE(B589&amp;"-01"))</f>
        <v>0</v>
      </c>
      <c r="H589" s="52">
        <f t="shared" si="5"/>
        <v>160491.8958</v>
      </c>
      <c r="I589" s="49">
        <f t="shared" si="3"/>
        <v>22906</v>
      </c>
      <c r="J589" s="52">
        <f>IF(A589&lt;&gt;"",SUMIFS(metas!N:N, metas!E:E, "&gt;=" &amp; DATEVALUE(B589&amp;"-01"),metas!D:D, "&lt;=" &amp; DATEVALUE(B589&amp;"-01")),"")</f>
        <v>3182.813937</v>
      </c>
      <c r="K589" s="49">
        <f t="shared" si="4"/>
        <v>19723.18606</v>
      </c>
      <c r="L589" s="49">
        <f t="shared" si="6"/>
        <v>10961116.75</v>
      </c>
      <c r="M589" s="49">
        <f>IF(A589&lt;&gt;"",IF(COUNTIF(investimento!F:F, B589) &gt; 0, SUM(investimento!B:B)+I589, M588+I589),"")</f>
        <v>13251386.68</v>
      </c>
    </row>
    <row r="590" ht="22.5" customHeight="1">
      <c r="A590" s="47">
        <v>50639.0</v>
      </c>
      <c r="B590" s="48" t="str">
        <f t="shared" si="1"/>
        <v>2038-08</v>
      </c>
      <c r="C590" s="49">
        <f>SUMIF(despesas_recorrentes!C:C, "&gt;="&amp;A590,despesas_recorrentes!B:B) 
+SUMIF(despesas_recorrentes!C:C, "",despesas_recorrentes!B:B)
-despesas_recorrentes!$B$12
+IF(SUMIF(gasto_cartao!E:E,saldo!B590,gasto_cartao!B:B)&gt;despesas_recorrentes!$B$12, SUMIF(gasto_cartao!E:E,saldo!B590,gasto_cartao!B:B),despesas_recorrentes!$B$12)</f>
        <v>34013</v>
      </c>
      <c r="D590" s="51">
        <f>SUM(receitas_recorrentes!B:B)+SUMIF(receitas_pontuais!E:E,B590,receitas_pontuais!B:B)</f>
        <v>56919</v>
      </c>
      <c r="E590" s="51">
        <f t="shared" si="2"/>
        <v>22906</v>
      </c>
      <c r="F590" s="53">
        <f>IFERROR(SUMIF(contas!G:G, B590, contas!B:B),0)</f>
        <v>0</v>
      </c>
      <c r="G590" s="51">
        <f>SUMIFS(previsoes!D:D, previsoes!E:E, "&lt;=" &amp; EOMONTH(DATEVALUE(B590&amp;"-01"),0), previsoes!F:F, "&gt;=" &amp; DATEVALUE(B590&amp;"-01"))</f>
        <v>0</v>
      </c>
      <c r="H590" s="52">
        <f t="shared" si="5"/>
        <v>160491.8958</v>
      </c>
      <c r="I590" s="49">
        <f t="shared" si="3"/>
        <v>22906</v>
      </c>
      <c r="J590" s="52">
        <f>IF(A590&lt;&gt;"",SUMIFS(metas!N:N, metas!E:E, "&gt;=" &amp; DATEVALUE(B590&amp;"-01"),metas!D:D, "&lt;=" &amp; DATEVALUE(B590&amp;"-01")),"")</f>
        <v>3182.813937</v>
      </c>
      <c r="K590" s="49">
        <f t="shared" si="4"/>
        <v>19723.18606</v>
      </c>
      <c r="L590" s="49">
        <f t="shared" si="6"/>
        <v>10980839.93</v>
      </c>
      <c r="M590" s="49">
        <f>IF(A590&lt;&gt;"",IF(COUNTIF(investimento!F:F, B590) &gt; 0, SUM(investimento!B:B)+I590, M589+I590),"")</f>
        <v>13274292.68</v>
      </c>
    </row>
    <row r="591" ht="22.5" customHeight="1">
      <c r="A591" s="47">
        <v>50640.0</v>
      </c>
      <c r="B591" s="48" t="str">
        <f t="shared" si="1"/>
        <v>2038-08</v>
      </c>
      <c r="C591" s="49">
        <f>SUMIF(despesas_recorrentes!C:C, "&gt;="&amp;A591,despesas_recorrentes!B:B) 
+SUMIF(despesas_recorrentes!C:C, "",despesas_recorrentes!B:B)
-despesas_recorrentes!$B$12
+IF(SUMIF(gasto_cartao!E:E,saldo!B591,gasto_cartao!B:B)&gt;despesas_recorrentes!$B$12, SUMIF(gasto_cartao!E:E,saldo!B591,gasto_cartao!B:B),despesas_recorrentes!$B$12)</f>
        <v>34013</v>
      </c>
      <c r="D591" s="51">
        <f>SUM(receitas_recorrentes!B:B)+SUMIF(receitas_pontuais!E:E,B591,receitas_pontuais!B:B)</f>
        <v>56919</v>
      </c>
      <c r="E591" s="51">
        <f t="shared" si="2"/>
        <v>22906</v>
      </c>
      <c r="F591" s="53">
        <f>IFERROR(SUMIF(contas!G:G, B591, contas!B:B),0)</f>
        <v>0</v>
      </c>
      <c r="G591" s="51">
        <f>SUMIFS(previsoes!D:D, previsoes!E:E, "&lt;=" &amp; EOMONTH(DATEVALUE(B591&amp;"-01"),0), previsoes!F:F, "&gt;=" &amp; DATEVALUE(B591&amp;"-01"))</f>
        <v>0</v>
      </c>
      <c r="H591" s="52">
        <f t="shared" si="5"/>
        <v>160491.8958</v>
      </c>
      <c r="I591" s="49">
        <f t="shared" si="3"/>
        <v>22906</v>
      </c>
      <c r="J591" s="52">
        <f>IF(A591&lt;&gt;"",SUMIFS(metas!N:N, metas!E:E, "&gt;=" &amp; DATEVALUE(B591&amp;"-01"),metas!D:D, "&lt;=" &amp; DATEVALUE(B591&amp;"-01")),"")</f>
        <v>3182.813937</v>
      </c>
      <c r="K591" s="49">
        <f t="shared" si="4"/>
        <v>19723.18606</v>
      </c>
      <c r="L591" s="49">
        <f t="shared" si="6"/>
        <v>11000563.12</v>
      </c>
      <c r="M591" s="49">
        <f>IF(A591&lt;&gt;"",IF(COUNTIF(investimento!F:F, B591) &gt; 0, SUM(investimento!B:B)+I591, M590+I591),"")</f>
        <v>13297198.68</v>
      </c>
    </row>
    <row r="592" ht="22.5" customHeight="1">
      <c r="A592" s="47">
        <v>50641.0</v>
      </c>
      <c r="B592" s="48" t="str">
        <f t="shared" si="1"/>
        <v>2038-08</v>
      </c>
      <c r="C592" s="49">
        <f>SUMIF(despesas_recorrentes!C:C, "&gt;="&amp;A592,despesas_recorrentes!B:B) 
+SUMIF(despesas_recorrentes!C:C, "",despesas_recorrentes!B:B)
-despesas_recorrentes!$B$12
+IF(SUMIF(gasto_cartao!E:E,saldo!B592,gasto_cartao!B:B)&gt;despesas_recorrentes!$B$12, SUMIF(gasto_cartao!E:E,saldo!B592,gasto_cartao!B:B),despesas_recorrentes!$B$12)</f>
        <v>34013</v>
      </c>
      <c r="D592" s="51">
        <f>SUM(receitas_recorrentes!B:B)+SUMIF(receitas_pontuais!E:E,B592,receitas_pontuais!B:B)</f>
        <v>56919</v>
      </c>
      <c r="E592" s="51">
        <f t="shared" si="2"/>
        <v>22906</v>
      </c>
      <c r="F592" s="53">
        <f>IFERROR(SUMIF(contas!G:G, B592, contas!B:B),0)</f>
        <v>0</v>
      </c>
      <c r="G592" s="51">
        <f>SUMIFS(previsoes!D:D, previsoes!E:E, "&lt;=" &amp; EOMONTH(DATEVALUE(B592&amp;"-01"),0), previsoes!F:F, "&gt;=" &amp; DATEVALUE(B592&amp;"-01"))</f>
        <v>0</v>
      </c>
      <c r="H592" s="52">
        <f t="shared" si="5"/>
        <v>160491.8958</v>
      </c>
      <c r="I592" s="49">
        <f t="shared" si="3"/>
        <v>22906</v>
      </c>
      <c r="J592" s="52">
        <f>IF(A592&lt;&gt;"",SUMIFS(metas!N:N, metas!E:E, "&gt;=" &amp; DATEVALUE(B592&amp;"-01"),metas!D:D, "&lt;=" &amp; DATEVALUE(B592&amp;"-01")),"")</f>
        <v>3182.813937</v>
      </c>
      <c r="K592" s="49">
        <f t="shared" si="4"/>
        <v>19723.18606</v>
      </c>
      <c r="L592" s="49">
        <f t="shared" si="6"/>
        <v>11020286.31</v>
      </c>
      <c r="M592" s="49">
        <f>IF(A592&lt;&gt;"",IF(COUNTIF(investimento!F:F, B592) &gt; 0, SUM(investimento!B:B)+I592, M591+I592),"")</f>
        <v>13320104.68</v>
      </c>
    </row>
    <row r="593" ht="22.5" customHeight="1">
      <c r="A593" s="47">
        <v>50642.0</v>
      </c>
      <c r="B593" s="48" t="str">
        <f t="shared" si="1"/>
        <v>2038-08</v>
      </c>
      <c r="C593" s="49">
        <f>SUMIF(despesas_recorrentes!C:C, "&gt;="&amp;A593,despesas_recorrentes!B:B) 
+SUMIF(despesas_recorrentes!C:C, "",despesas_recorrentes!B:B)
-despesas_recorrentes!$B$12
+IF(SUMIF(gasto_cartao!E:E,saldo!B593,gasto_cartao!B:B)&gt;despesas_recorrentes!$B$12, SUMIF(gasto_cartao!E:E,saldo!B593,gasto_cartao!B:B),despesas_recorrentes!$B$12)</f>
        <v>34013</v>
      </c>
      <c r="D593" s="51">
        <f>SUM(receitas_recorrentes!B:B)+SUMIF(receitas_pontuais!E:E,B593,receitas_pontuais!B:B)</f>
        <v>56919</v>
      </c>
      <c r="E593" s="51">
        <f t="shared" si="2"/>
        <v>22906</v>
      </c>
      <c r="F593" s="53">
        <f>IFERROR(SUMIF(contas!G:G, B593, contas!B:B),0)</f>
        <v>0</v>
      </c>
      <c r="G593" s="51">
        <f>SUMIFS(previsoes!D:D, previsoes!E:E, "&lt;=" &amp; EOMONTH(DATEVALUE(B593&amp;"-01"),0), previsoes!F:F, "&gt;=" &amp; DATEVALUE(B593&amp;"-01"))</f>
        <v>0</v>
      </c>
      <c r="H593" s="52">
        <f t="shared" si="5"/>
        <v>160491.8958</v>
      </c>
      <c r="I593" s="49">
        <f t="shared" si="3"/>
        <v>22906</v>
      </c>
      <c r="J593" s="52">
        <f>IF(A593&lt;&gt;"",SUMIFS(metas!N:N, metas!E:E, "&gt;=" &amp; DATEVALUE(B593&amp;"-01"),metas!D:D, "&lt;=" &amp; DATEVALUE(B593&amp;"-01")),"")</f>
        <v>3182.813937</v>
      </c>
      <c r="K593" s="49">
        <f t="shared" si="4"/>
        <v>19723.18606</v>
      </c>
      <c r="L593" s="49">
        <f t="shared" si="6"/>
        <v>11040009.49</v>
      </c>
      <c r="M593" s="49">
        <f>IF(A593&lt;&gt;"",IF(COUNTIF(investimento!F:F, B593) &gt; 0, SUM(investimento!B:B)+I593, M592+I593),"")</f>
        <v>13343010.68</v>
      </c>
    </row>
    <row r="594" ht="22.5" customHeight="1">
      <c r="A594" s="47">
        <v>50643.0</v>
      </c>
      <c r="B594" s="48" t="str">
        <f t="shared" si="1"/>
        <v>2038-08</v>
      </c>
      <c r="C594" s="49">
        <f>SUMIF(despesas_recorrentes!C:C, "&gt;="&amp;A594,despesas_recorrentes!B:B) 
+SUMIF(despesas_recorrentes!C:C, "",despesas_recorrentes!B:B)
-despesas_recorrentes!$B$12
+IF(SUMIF(gasto_cartao!E:E,saldo!B594,gasto_cartao!B:B)&gt;despesas_recorrentes!$B$12, SUMIF(gasto_cartao!E:E,saldo!B594,gasto_cartao!B:B),despesas_recorrentes!$B$12)</f>
        <v>34013</v>
      </c>
      <c r="D594" s="51">
        <f>SUM(receitas_recorrentes!B:B)+SUMIF(receitas_pontuais!E:E,B594,receitas_pontuais!B:B)</f>
        <v>56919</v>
      </c>
      <c r="E594" s="51">
        <f t="shared" si="2"/>
        <v>22906</v>
      </c>
      <c r="F594" s="53">
        <f>IFERROR(SUMIF(contas!G:G, B594, contas!B:B),0)</f>
        <v>0</v>
      </c>
      <c r="G594" s="51">
        <f>SUMIFS(previsoes!D:D, previsoes!E:E, "&lt;=" &amp; EOMONTH(DATEVALUE(B594&amp;"-01"),0), previsoes!F:F, "&gt;=" &amp; DATEVALUE(B594&amp;"-01"))</f>
        <v>0</v>
      </c>
      <c r="H594" s="52">
        <f t="shared" si="5"/>
        <v>160491.8958</v>
      </c>
      <c r="I594" s="49">
        <f t="shared" si="3"/>
        <v>22906</v>
      </c>
      <c r="J594" s="52">
        <f>IF(A594&lt;&gt;"",SUMIFS(metas!N:N, metas!E:E, "&gt;=" &amp; DATEVALUE(B594&amp;"-01"),metas!D:D, "&lt;=" &amp; DATEVALUE(B594&amp;"-01")),"")</f>
        <v>3182.813937</v>
      </c>
      <c r="K594" s="49">
        <f t="shared" si="4"/>
        <v>19723.18606</v>
      </c>
      <c r="L594" s="49">
        <f t="shared" si="6"/>
        <v>11059732.68</v>
      </c>
      <c r="M594" s="49">
        <f>IF(A594&lt;&gt;"",IF(COUNTIF(investimento!F:F, B594) &gt; 0, SUM(investimento!B:B)+I594, M593+I594),"")</f>
        <v>13365916.68</v>
      </c>
    </row>
    <row r="595" ht="22.5" customHeight="1">
      <c r="A595" s="47">
        <v>50644.0</v>
      </c>
      <c r="B595" s="48" t="str">
        <f t="shared" si="1"/>
        <v>2038-08</v>
      </c>
      <c r="C595" s="49">
        <f>SUMIF(despesas_recorrentes!C:C, "&gt;="&amp;A595,despesas_recorrentes!B:B) 
+SUMIF(despesas_recorrentes!C:C, "",despesas_recorrentes!B:B)
-despesas_recorrentes!$B$12
+IF(SUMIF(gasto_cartao!E:E,saldo!B595,gasto_cartao!B:B)&gt;despesas_recorrentes!$B$12, SUMIF(gasto_cartao!E:E,saldo!B595,gasto_cartao!B:B),despesas_recorrentes!$B$12)</f>
        <v>34013</v>
      </c>
      <c r="D595" s="51">
        <f>SUM(receitas_recorrentes!B:B)+SUMIF(receitas_pontuais!E:E,B595,receitas_pontuais!B:B)</f>
        <v>56919</v>
      </c>
      <c r="E595" s="51">
        <f t="shared" si="2"/>
        <v>22906</v>
      </c>
      <c r="F595" s="53">
        <f>IFERROR(SUMIF(contas!G:G, B595, contas!B:B),0)</f>
        <v>0</v>
      </c>
      <c r="G595" s="51">
        <f>SUMIFS(previsoes!D:D, previsoes!E:E, "&lt;=" &amp; EOMONTH(DATEVALUE(B595&amp;"-01"),0), previsoes!F:F, "&gt;=" &amp; DATEVALUE(B595&amp;"-01"))</f>
        <v>0</v>
      </c>
      <c r="H595" s="52">
        <f t="shared" si="5"/>
        <v>160491.8958</v>
      </c>
      <c r="I595" s="49">
        <f t="shared" si="3"/>
        <v>22906</v>
      </c>
      <c r="J595" s="52">
        <f>IF(A595&lt;&gt;"",SUMIFS(metas!N:N, metas!E:E, "&gt;=" &amp; DATEVALUE(B595&amp;"-01"),metas!D:D, "&lt;=" &amp; DATEVALUE(B595&amp;"-01")),"")</f>
        <v>3182.813937</v>
      </c>
      <c r="K595" s="49">
        <f t="shared" si="4"/>
        <v>19723.18606</v>
      </c>
      <c r="L595" s="49">
        <f t="shared" si="6"/>
        <v>11079455.86</v>
      </c>
      <c r="M595" s="49">
        <f>IF(A595&lt;&gt;"",IF(COUNTIF(investimento!F:F, B595) &gt; 0, SUM(investimento!B:B)+I595, M594+I595),"")</f>
        <v>13388822.68</v>
      </c>
    </row>
    <row r="596" ht="22.5" customHeight="1">
      <c r="A596" s="47">
        <v>50645.0</v>
      </c>
      <c r="B596" s="48" t="str">
        <f t="shared" si="1"/>
        <v>2038-08</v>
      </c>
      <c r="C596" s="49">
        <f>SUMIF(despesas_recorrentes!C:C, "&gt;="&amp;A596,despesas_recorrentes!B:B) 
+SUMIF(despesas_recorrentes!C:C, "",despesas_recorrentes!B:B)
-despesas_recorrentes!$B$12
+IF(SUMIF(gasto_cartao!E:E,saldo!B596,gasto_cartao!B:B)&gt;despesas_recorrentes!$B$12, SUMIF(gasto_cartao!E:E,saldo!B596,gasto_cartao!B:B),despesas_recorrentes!$B$12)</f>
        <v>34013</v>
      </c>
      <c r="D596" s="51">
        <f>SUM(receitas_recorrentes!B:B)+SUMIF(receitas_pontuais!E:E,B596,receitas_pontuais!B:B)</f>
        <v>56919</v>
      </c>
      <c r="E596" s="51">
        <f t="shared" si="2"/>
        <v>22906</v>
      </c>
      <c r="F596" s="53">
        <f>IFERROR(SUMIF(contas!G:G, B596, contas!B:B),0)</f>
        <v>0</v>
      </c>
      <c r="G596" s="51">
        <f>SUMIFS(previsoes!D:D, previsoes!E:E, "&lt;=" &amp; EOMONTH(DATEVALUE(B596&amp;"-01"),0), previsoes!F:F, "&gt;=" &amp; DATEVALUE(B596&amp;"-01"))</f>
        <v>0</v>
      </c>
      <c r="H596" s="52">
        <f t="shared" si="5"/>
        <v>160491.8958</v>
      </c>
      <c r="I596" s="49">
        <f t="shared" si="3"/>
        <v>22906</v>
      </c>
      <c r="J596" s="52">
        <f>IF(A596&lt;&gt;"",SUMIFS(metas!N:N, metas!E:E, "&gt;=" &amp; DATEVALUE(B596&amp;"-01"),metas!D:D, "&lt;=" &amp; DATEVALUE(B596&amp;"-01")),"")</f>
        <v>3182.813937</v>
      </c>
      <c r="K596" s="49">
        <f t="shared" si="4"/>
        <v>19723.18606</v>
      </c>
      <c r="L596" s="49">
        <f t="shared" si="6"/>
        <v>11099179.05</v>
      </c>
      <c r="M596" s="49">
        <f>IF(A596&lt;&gt;"",IF(COUNTIF(investimento!F:F, B596) &gt; 0, SUM(investimento!B:B)+I596, M595+I596),"")</f>
        <v>13411728.68</v>
      </c>
    </row>
    <row r="597" ht="22.5" customHeight="1">
      <c r="A597" s="47">
        <v>50646.0</v>
      </c>
      <c r="B597" s="48" t="str">
        <f t="shared" si="1"/>
        <v>2038-08</v>
      </c>
      <c r="C597" s="49">
        <f>SUMIF(despesas_recorrentes!C:C, "&gt;="&amp;A597,despesas_recorrentes!B:B) 
+SUMIF(despesas_recorrentes!C:C, "",despesas_recorrentes!B:B)
-despesas_recorrentes!$B$12
+IF(SUMIF(gasto_cartao!E:E,saldo!B597,gasto_cartao!B:B)&gt;despesas_recorrentes!$B$12, SUMIF(gasto_cartao!E:E,saldo!B597,gasto_cartao!B:B),despesas_recorrentes!$B$12)</f>
        <v>34013</v>
      </c>
      <c r="D597" s="51">
        <f>SUM(receitas_recorrentes!B:B)+SUMIF(receitas_pontuais!E:E,B597,receitas_pontuais!B:B)</f>
        <v>56919</v>
      </c>
      <c r="E597" s="51">
        <f t="shared" si="2"/>
        <v>22906</v>
      </c>
      <c r="F597" s="53">
        <f>IFERROR(SUMIF(contas!G:G, B597, contas!B:B),0)</f>
        <v>0</v>
      </c>
      <c r="G597" s="51">
        <f>SUMIFS(previsoes!D:D, previsoes!E:E, "&lt;=" &amp; EOMONTH(DATEVALUE(B597&amp;"-01"),0), previsoes!F:F, "&gt;=" &amp; DATEVALUE(B597&amp;"-01"))</f>
        <v>0</v>
      </c>
      <c r="H597" s="52">
        <f t="shared" si="5"/>
        <v>160491.8958</v>
      </c>
      <c r="I597" s="49">
        <f t="shared" si="3"/>
        <v>22906</v>
      </c>
      <c r="J597" s="52">
        <f>IF(A597&lt;&gt;"",SUMIFS(metas!N:N, metas!E:E, "&gt;=" &amp; DATEVALUE(B597&amp;"-01"),metas!D:D, "&lt;=" &amp; DATEVALUE(B597&amp;"-01")),"")</f>
        <v>3182.813937</v>
      </c>
      <c r="K597" s="49">
        <f t="shared" si="4"/>
        <v>19723.18606</v>
      </c>
      <c r="L597" s="49">
        <f t="shared" si="6"/>
        <v>11118902.24</v>
      </c>
      <c r="M597" s="49">
        <f>IF(A597&lt;&gt;"",IF(COUNTIF(investimento!F:F, B597) &gt; 0, SUM(investimento!B:B)+I597, M596+I597),"")</f>
        <v>13434634.68</v>
      </c>
    </row>
    <row r="598" ht="22.5" customHeight="1">
      <c r="A598" s="47">
        <v>50647.0</v>
      </c>
      <c r="B598" s="48" t="str">
        <f t="shared" si="1"/>
        <v>2038-08</v>
      </c>
      <c r="C598" s="49">
        <f>SUMIF(despesas_recorrentes!C:C, "&gt;="&amp;A598,despesas_recorrentes!B:B) 
+SUMIF(despesas_recorrentes!C:C, "",despesas_recorrentes!B:B)
-despesas_recorrentes!$B$12
+IF(SUMIF(gasto_cartao!E:E,saldo!B598,gasto_cartao!B:B)&gt;despesas_recorrentes!$B$12, SUMIF(gasto_cartao!E:E,saldo!B598,gasto_cartao!B:B),despesas_recorrentes!$B$12)</f>
        <v>34013</v>
      </c>
      <c r="D598" s="51">
        <f>SUM(receitas_recorrentes!B:B)+SUMIF(receitas_pontuais!E:E,B598,receitas_pontuais!B:B)</f>
        <v>56919</v>
      </c>
      <c r="E598" s="51">
        <f t="shared" si="2"/>
        <v>22906</v>
      </c>
      <c r="F598" s="53">
        <f>IFERROR(SUMIF(contas!G:G, B598, contas!B:B),0)</f>
        <v>0</v>
      </c>
      <c r="G598" s="51">
        <f>SUMIFS(previsoes!D:D, previsoes!E:E, "&lt;=" &amp; EOMONTH(DATEVALUE(B598&amp;"-01"),0), previsoes!F:F, "&gt;=" &amp; DATEVALUE(B598&amp;"-01"))</f>
        <v>0</v>
      </c>
      <c r="H598" s="52">
        <f t="shared" si="5"/>
        <v>160491.8958</v>
      </c>
      <c r="I598" s="49">
        <f t="shared" si="3"/>
        <v>22906</v>
      </c>
      <c r="J598" s="52">
        <f>IF(A598&lt;&gt;"",SUMIFS(metas!N:N, metas!E:E, "&gt;=" &amp; DATEVALUE(B598&amp;"-01"),metas!D:D, "&lt;=" &amp; DATEVALUE(B598&amp;"-01")),"")</f>
        <v>3182.813937</v>
      </c>
      <c r="K598" s="49">
        <f t="shared" si="4"/>
        <v>19723.18606</v>
      </c>
      <c r="L598" s="49">
        <f t="shared" si="6"/>
        <v>11138625.42</v>
      </c>
      <c r="M598" s="49">
        <f>IF(A598&lt;&gt;"",IF(COUNTIF(investimento!F:F, B598) &gt; 0, SUM(investimento!B:B)+I598, M597+I598),"")</f>
        <v>13457540.68</v>
      </c>
    </row>
    <row r="599" ht="22.5" customHeight="1">
      <c r="A599" s="47">
        <v>50648.0</v>
      </c>
      <c r="B599" s="48" t="str">
        <f t="shared" si="1"/>
        <v>2038-08</v>
      </c>
      <c r="C599" s="49">
        <f>SUMIF(despesas_recorrentes!C:C, "&gt;="&amp;A599,despesas_recorrentes!B:B) 
+SUMIF(despesas_recorrentes!C:C, "",despesas_recorrentes!B:B)
-despesas_recorrentes!$B$12
+IF(SUMIF(gasto_cartao!E:E,saldo!B599,gasto_cartao!B:B)&gt;despesas_recorrentes!$B$12, SUMIF(gasto_cartao!E:E,saldo!B599,gasto_cartao!B:B),despesas_recorrentes!$B$12)</f>
        <v>34013</v>
      </c>
      <c r="D599" s="51">
        <f>SUM(receitas_recorrentes!B:B)+SUMIF(receitas_pontuais!E:E,B599,receitas_pontuais!B:B)</f>
        <v>56919</v>
      </c>
      <c r="E599" s="51">
        <f t="shared" si="2"/>
        <v>22906</v>
      </c>
      <c r="F599" s="53">
        <f>IFERROR(SUMIF(contas!G:G, B599, contas!B:B),0)</f>
        <v>0</v>
      </c>
      <c r="G599" s="51">
        <f>SUMIFS(previsoes!D:D, previsoes!E:E, "&lt;=" &amp; EOMONTH(DATEVALUE(B599&amp;"-01"),0), previsoes!F:F, "&gt;=" &amp; DATEVALUE(B599&amp;"-01"))</f>
        <v>0</v>
      </c>
      <c r="H599" s="52">
        <f t="shared" si="5"/>
        <v>160491.8958</v>
      </c>
      <c r="I599" s="49">
        <f t="shared" si="3"/>
        <v>22906</v>
      </c>
      <c r="J599" s="52">
        <f>IF(A599&lt;&gt;"",SUMIFS(metas!N:N, metas!E:E, "&gt;=" &amp; DATEVALUE(B599&amp;"-01"),metas!D:D, "&lt;=" &amp; DATEVALUE(B599&amp;"-01")),"")</f>
        <v>3182.813937</v>
      </c>
      <c r="K599" s="49">
        <f t="shared" si="4"/>
        <v>19723.18606</v>
      </c>
      <c r="L599" s="49">
        <f t="shared" si="6"/>
        <v>11158348.61</v>
      </c>
      <c r="M599" s="49">
        <f>IF(A599&lt;&gt;"",IF(COUNTIF(investimento!F:F, B599) &gt; 0, SUM(investimento!B:B)+I599, M598+I599),"")</f>
        <v>13480446.68</v>
      </c>
    </row>
    <row r="600" ht="22.5" customHeight="1">
      <c r="A600" s="47">
        <v>50649.0</v>
      </c>
      <c r="B600" s="48" t="str">
        <f t="shared" si="1"/>
        <v>2038-09</v>
      </c>
      <c r="C600" s="49">
        <f>SUMIF(despesas_recorrentes!C:C, "&gt;="&amp;A600,despesas_recorrentes!B:B) 
+SUMIF(despesas_recorrentes!C:C, "",despesas_recorrentes!B:B)
-despesas_recorrentes!$B$12
+IF(SUMIF(gasto_cartao!E:E,saldo!B600,gasto_cartao!B:B)&gt;despesas_recorrentes!$B$12, SUMIF(gasto_cartao!E:E,saldo!B600,gasto_cartao!B:B),despesas_recorrentes!$B$12)</f>
        <v>34013</v>
      </c>
      <c r="D600" s="51">
        <f>SUM(receitas_recorrentes!B:B)+SUMIF(receitas_pontuais!E:E,B600,receitas_pontuais!B:B)</f>
        <v>56919</v>
      </c>
      <c r="E600" s="51">
        <f t="shared" si="2"/>
        <v>22906</v>
      </c>
      <c r="F600" s="53">
        <f>IFERROR(SUMIF(contas!G:G, B600, contas!B:B),0)</f>
        <v>0</v>
      </c>
      <c r="G600" s="51">
        <f>SUMIFS(previsoes!D:D, previsoes!E:E, "&lt;=" &amp; EOMONTH(DATEVALUE(B600&amp;"-01"),0), previsoes!F:F, "&gt;=" &amp; DATEVALUE(B600&amp;"-01"))</f>
        <v>0</v>
      </c>
      <c r="H600" s="52">
        <f t="shared" si="5"/>
        <v>160491.8958</v>
      </c>
      <c r="I600" s="49">
        <f t="shared" si="3"/>
        <v>22906</v>
      </c>
      <c r="J600" s="52">
        <f>IF(A600&lt;&gt;"",SUMIFS(metas!N:N, metas!E:E, "&gt;=" &amp; DATEVALUE(B600&amp;"-01"),metas!D:D, "&lt;=" &amp; DATEVALUE(B600&amp;"-01")),"")</f>
        <v>3182.813937</v>
      </c>
      <c r="K600" s="49">
        <f t="shared" si="4"/>
        <v>19723.18606</v>
      </c>
      <c r="L600" s="49">
        <f t="shared" si="6"/>
        <v>11178071.79</v>
      </c>
      <c r="M600" s="49">
        <f>IF(A600&lt;&gt;"",IF(COUNTIF(investimento!F:F, B600) &gt; 0, SUM(investimento!B:B)+I600, M599+I600),"")</f>
        <v>13503352.68</v>
      </c>
    </row>
    <row r="601" ht="22.5" customHeight="1">
      <c r="A601" s="47">
        <v>50650.0</v>
      </c>
      <c r="B601" s="48" t="str">
        <f t="shared" si="1"/>
        <v>2038-09</v>
      </c>
      <c r="C601" s="49">
        <f>SUMIF(despesas_recorrentes!C:C, "&gt;="&amp;A601,despesas_recorrentes!B:B) 
+SUMIF(despesas_recorrentes!C:C, "",despesas_recorrentes!B:B)
-despesas_recorrentes!$B$12
+IF(SUMIF(gasto_cartao!E:E,saldo!B601,gasto_cartao!B:B)&gt;despesas_recorrentes!$B$12, SUMIF(gasto_cartao!E:E,saldo!B601,gasto_cartao!B:B),despesas_recorrentes!$B$12)</f>
        <v>34013</v>
      </c>
      <c r="D601" s="51">
        <f>SUM(receitas_recorrentes!B:B)+SUMIF(receitas_pontuais!E:E,B601,receitas_pontuais!B:B)</f>
        <v>56919</v>
      </c>
      <c r="E601" s="51">
        <f t="shared" si="2"/>
        <v>22906</v>
      </c>
      <c r="F601" s="53">
        <f>IFERROR(SUMIF(contas!G:G, B601, contas!B:B),0)</f>
        <v>0</v>
      </c>
      <c r="G601" s="51">
        <f>SUMIFS(previsoes!D:D, previsoes!E:E, "&lt;=" &amp; EOMONTH(DATEVALUE(B601&amp;"-01"),0), previsoes!F:F, "&gt;=" &amp; DATEVALUE(B601&amp;"-01"))</f>
        <v>0</v>
      </c>
      <c r="H601" s="52">
        <f t="shared" si="5"/>
        <v>160491.8958</v>
      </c>
      <c r="I601" s="49">
        <f t="shared" si="3"/>
        <v>22906</v>
      </c>
      <c r="J601" s="52">
        <f>IF(A601&lt;&gt;"",SUMIFS(metas!N:N, metas!E:E, "&gt;=" &amp; DATEVALUE(B601&amp;"-01"),metas!D:D, "&lt;=" &amp; DATEVALUE(B601&amp;"-01")),"")</f>
        <v>3182.813937</v>
      </c>
      <c r="K601" s="49">
        <f t="shared" si="4"/>
        <v>19723.18606</v>
      </c>
      <c r="L601" s="49">
        <f t="shared" si="6"/>
        <v>11197794.98</v>
      </c>
      <c r="M601" s="49">
        <f>IF(A601&lt;&gt;"",IF(COUNTIF(investimento!F:F, B601) &gt; 0, SUM(investimento!B:B)+I601, M600+I601),"")</f>
        <v>13526258.68</v>
      </c>
    </row>
    <row r="602" ht="22.5" customHeight="1">
      <c r="A602" s="47">
        <v>50651.0</v>
      </c>
      <c r="B602" s="48" t="str">
        <f t="shared" si="1"/>
        <v>2038-09</v>
      </c>
      <c r="C602" s="49">
        <f>SUMIF(despesas_recorrentes!C:C, "&gt;="&amp;A602,despesas_recorrentes!B:B) 
+SUMIF(despesas_recorrentes!C:C, "",despesas_recorrentes!B:B)
-despesas_recorrentes!$B$12
+IF(SUMIF(gasto_cartao!E:E,saldo!B602,gasto_cartao!B:B)&gt;despesas_recorrentes!$B$12, SUMIF(gasto_cartao!E:E,saldo!B602,gasto_cartao!B:B),despesas_recorrentes!$B$12)</f>
        <v>34013</v>
      </c>
      <c r="D602" s="51">
        <f>SUM(receitas_recorrentes!B:B)+SUMIF(receitas_pontuais!E:E,B602,receitas_pontuais!B:B)</f>
        <v>56919</v>
      </c>
      <c r="E602" s="51">
        <f t="shared" si="2"/>
        <v>22906</v>
      </c>
      <c r="F602" s="53">
        <f>IFERROR(SUMIF(contas!G:G, B602, contas!B:B),0)</f>
        <v>0</v>
      </c>
      <c r="G602" s="51">
        <f>SUMIFS(previsoes!D:D, previsoes!E:E, "&lt;=" &amp; EOMONTH(DATEVALUE(B602&amp;"-01"),0), previsoes!F:F, "&gt;=" &amp; DATEVALUE(B602&amp;"-01"))</f>
        <v>0</v>
      </c>
      <c r="H602" s="52">
        <f t="shared" si="5"/>
        <v>160491.8958</v>
      </c>
      <c r="I602" s="49">
        <f t="shared" si="3"/>
        <v>22906</v>
      </c>
      <c r="J602" s="52">
        <f>IF(A602&lt;&gt;"",SUMIFS(metas!N:N, metas!E:E, "&gt;=" &amp; DATEVALUE(B602&amp;"-01"),metas!D:D, "&lt;=" &amp; DATEVALUE(B602&amp;"-01")),"")</f>
        <v>3182.813937</v>
      </c>
      <c r="K602" s="49">
        <f t="shared" si="4"/>
        <v>19723.18606</v>
      </c>
      <c r="L602" s="49">
        <f t="shared" si="6"/>
        <v>11217518.17</v>
      </c>
      <c r="M602" s="49">
        <f>IF(A602&lt;&gt;"",IF(COUNTIF(investimento!F:F, B602) &gt; 0, SUM(investimento!B:B)+I602, M601+I602),"")</f>
        <v>13549164.68</v>
      </c>
    </row>
    <row r="603" ht="22.5" customHeight="1">
      <c r="A603" s="47">
        <v>50652.0</v>
      </c>
      <c r="B603" s="48" t="str">
        <f t="shared" si="1"/>
        <v>2038-09</v>
      </c>
      <c r="C603" s="49">
        <f>SUMIF(despesas_recorrentes!C:C, "&gt;="&amp;A603,despesas_recorrentes!B:B) 
+SUMIF(despesas_recorrentes!C:C, "",despesas_recorrentes!B:B)
-despesas_recorrentes!$B$12
+IF(SUMIF(gasto_cartao!E:E,saldo!B603,gasto_cartao!B:B)&gt;despesas_recorrentes!$B$12, SUMIF(gasto_cartao!E:E,saldo!B603,gasto_cartao!B:B),despesas_recorrentes!$B$12)</f>
        <v>34013</v>
      </c>
      <c r="D603" s="51">
        <f>SUM(receitas_recorrentes!B:B)+SUMIF(receitas_pontuais!E:E,B603,receitas_pontuais!B:B)</f>
        <v>56919</v>
      </c>
      <c r="E603" s="51">
        <f t="shared" si="2"/>
        <v>22906</v>
      </c>
      <c r="F603" s="53">
        <f>IFERROR(SUMIF(contas!G:G, B603, contas!B:B),0)</f>
        <v>0</v>
      </c>
      <c r="G603" s="51">
        <f>SUMIFS(previsoes!D:D, previsoes!E:E, "&lt;=" &amp; EOMONTH(DATEVALUE(B603&amp;"-01"),0), previsoes!F:F, "&gt;=" &amp; DATEVALUE(B603&amp;"-01"))</f>
        <v>0</v>
      </c>
      <c r="H603" s="52">
        <f t="shared" si="5"/>
        <v>160491.8958</v>
      </c>
      <c r="I603" s="49">
        <f t="shared" si="3"/>
        <v>22906</v>
      </c>
      <c r="J603" s="52">
        <f>IF(A603&lt;&gt;"",SUMIFS(metas!N:N, metas!E:E, "&gt;=" &amp; DATEVALUE(B603&amp;"-01"),metas!D:D, "&lt;=" &amp; DATEVALUE(B603&amp;"-01")),"")</f>
        <v>3182.813937</v>
      </c>
      <c r="K603" s="49">
        <f t="shared" si="4"/>
        <v>19723.18606</v>
      </c>
      <c r="L603" s="49">
        <f t="shared" si="6"/>
        <v>11237241.35</v>
      </c>
      <c r="M603" s="49">
        <f>IF(A603&lt;&gt;"",IF(COUNTIF(investimento!F:F, B603) &gt; 0, SUM(investimento!B:B)+I603, M602+I603),"")</f>
        <v>13572070.68</v>
      </c>
    </row>
    <row r="604" ht="22.5" customHeight="1">
      <c r="A604" s="47">
        <v>50653.0</v>
      </c>
      <c r="B604" s="48" t="str">
        <f t="shared" si="1"/>
        <v>2038-09</v>
      </c>
      <c r="C604" s="49">
        <f>SUMIF(despesas_recorrentes!C:C, "&gt;="&amp;A604,despesas_recorrentes!B:B) 
+SUMIF(despesas_recorrentes!C:C, "",despesas_recorrentes!B:B)
-despesas_recorrentes!$B$12
+IF(SUMIF(gasto_cartao!E:E,saldo!B604,gasto_cartao!B:B)&gt;despesas_recorrentes!$B$12, SUMIF(gasto_cartao!E:E,saldo!B604,gasto_cartao!B:B),despesas_recorrentes!$B$12)</f>
        <v>34013</v>
      </c>
      <c r="D604" s="51">
        <f>SUM(receitas_recorrentes!B:B)+SUMIF(receitas_pontuais!E:E,B604,receitas_pontuais!B:B)</f>
        <v>56919</v>
      </c>
      <c r="E604" s="51">
        <f t="shared" si="2"/>
        <v>22906</v>
      </c>
      <c r="F604" s="53">
        <f>IFERROR(SUMIF(contas!G:G, B604, contas!B:B),0)</f>
        <v>0</v>
      </c>
      <c r="G604" s="51">
        <f>SUMIFS(previsoes!D:D, previsoes!E:E, "&lt;=" &amp; EOMONTH(DATEVALUE(B604&amp;"-01"),0), previsoes!F:F, "&gt;=" &amp; DATEVALUE(B604&amp;"-01"))</f>
        <v>0</v>
      </c>
      <c r="H604" s="52">
        <f t="shared" si="5"/>
        <v>160491.8958</v>
      </c>
      <c r="I604" s="49">
        <f t="shared" si="3"/>
        <v>22906</v>
      </c>
      <c r="J604" s="52">
        <f>IF(A604&lt;&gt;"",SUMIFS(metas!N:N, metas!E:E, "&gt;=" &amp; DATEVALUE(B604&amp;"-01"),metas!D:D, "&lt;=" &amp; DATEVALUE(B604&amp;"-01")),"")</f>
        <v>3182.813937</v>
      </c>
      <c r="K604" s="49">
        <f t="shared" si="4"/>
        <v>19723.18606</v>
      </c>
      <c r="L604" s="49">
        <f t="shared" si="6"/>
        <v>11256964.54</v>
      </c>
      <c r="M604" s="49">
        <f>IF(A604&lt;&gt;"",IF(COUNTIF(investimento!F:F, B604) &gt; 0, SUM(investimento!B:B)+I604, M603+I604),"")</f>
        <v>13594976.68</v>
      </c>
    </row>
    <row r="605" ht="22.5" customHeight="1">
      <c r="A605" s="47">
        <v>50654.0</v>
      </c>
      <c r="B605" s="48" t="str">
        <f t="shared" si="1"/>
        <v>2038-09</v>
      </c>
      <c r="C605" s="49">
        <f>SUMIF(despesas_recorrentes!C:C, "&gt;="&amp;A605,despesas_recorrentes!B:B) 
+SUMIF(despesas_recorrentes!C:C, "",despesas_recorrentes!B:B)
-despesas_recorrentes!$B$12
+IF(SUMIF(gasto_cartao!E:E,saldo!B605,gasto_cartao!B:B)&gt;despesas_recorrentes!$B$12, SUMIF(gasto_cartao!E:E,saldo!B605,gasto_cartao!B:B),despesas_recorrentes!$B$12)</f>
        <v>34013</v>
      </c>
      <c r="D605" s="51">
        <f>SUM(receitas_recorrentes!B:B)+SUMIF(receitas_pontuais!E:E,B605,receitas_pontuais!B:B)</f>
        <v>56919</v>
      </c>
      <c r="E605" s="51">
        <f t="shared" si="2"/>
        <v>22906</v>
      </c>
      <c r="F605" s="53">
        <f>IFERROR(SUMIF(contas!G:G, B605, contas!B:B),0)</f>
        <v>0</v>
      </c>
      <c r="G605" s="51">
        <f>SUMIFS(previsoes!D:D, previsoes!E:E, "&lt;=" &amp; EOMONTH(DATEVALUE(B605&amp;"-01"),0), previsoes!F:F, "&gt;=" &amp; DATEVALUE(B605&amp;"-01"))</f>
        <v>0</v>
      </c>
      <c r="H605" s="52">
        <f t="shared" si="5"/>
        <v>160491.8958</v>
      </c>
      <c r="I605" s="49">
        <f t="shared" si="3"/>
        <v>22906</v>
      </c>
      <c r="J605" s="52">
        <f>IF(A605&lt;&gt;"",SUMIFS(metas!N:N, metas!E:E, "&gt;=" &amp; DATEVALUE(B605&amp;"-01"),metas!D:D, "&lt;=" &amp; DATEVALUE(B605&amp;"-01")),"")</f>
        <v>3182.813937</v>
      </c>
      <c r="K605" s="49">
        <f t="shared" si="4"/>
        <v>19723.18606</v>
      </c>
      <c r="L605" s="49">
        <f t="shared" si="6"/>
        <v>11276687.72</v>
      </c>
      <c r="M605" s="49">
        <f>IF(A605&lt;&gt;"",IF(COUNTIF(investimento!F:F, B605) &gt; 0, SUM(investimento!B:B)+I605, M604+I605),"")</f>
        <v>13617882.68</v>
      </c>
    </row>
    <row r="606" ht="22.5" customHeight="1">
      <c r="A606" s="47">
        <v>50655.0</v>
      </c>
      <c r="B606" s="48" t="str">
        <f t="shared" si="1"/>
        <v>2038-09</v>
      </c>
      <c r="C606" s="49">
        <f>SUMIF(despesas_recorrentes!C:C, "&gt;="&amp;A606,despesas_recorrentes!B:B) 
+SUMIF(despesas_recorrentes!C:C, "",despesas_recorrentes!B:B)
-despesas_recorrentes!$B$12
+IF(SUMIF(gasto_cartao!E:E,saldo!B606,gasto_cartao!B:B)&gt;despesas_recorrentes!$B$12, SUMIF(gasto_cartao!E:E,saldo!B606,gasto_cartao!B:B),despesas_recorrentes!$B$12)</f>
        <v>34013</v>
      </c>
      <c r="D606" s="51">
        <f>SUM(receitas_recorrentes!B:B)+SUMIF(receitas_pontuais!E:E,B606,receitas_pontuais!B:B)</f>
        <v>56919</v>
      </c>
      <c r="E606" s="51">
        <f t="shared" si="2"/>
        <v>22906</v>
      </c>
      <c r="F606" s="53">
        <f>IFERROR(SUMIF(contas!G:G, B606, contas!B:B),0)</f>
        <v>0</v>
      </c>
      <c r="G606" s="51">
        <f>SUMIFS(previsoes!D:D, previsoes!E:E, "&lt;=" &amp; EOMONTH(DATEVALUE(B606&amp;"-01"),0), previsoes!F:F, "&gt;=" &amp; DATEVALUE(B606&amp;"-01"))</f>
        <v>0</v>
      </c>
      <c r="H606" s="52">
        <f t="shared" si="5"/>
        <v>160491.8958</v>
      </c>
      <c r="I606" s="49">
        <f t="shared" si="3"/>
        <v>22906</v>
      </c>
      <c r="J606" s="52">
        <f>IF(A606&lt;&gt;"",SUMIFS(metas!N:N, metas!E:E, "&gt;=" &amp; DATEVALUE(B606&amp;"-01"),metas!D:D, "&lt;=" &amp; DATEVALUE(B606&amp;"-01")),"")</f>
        <v>3182.813937</v>
      </c>
      <c r="K606" s="49">
        <f t="shared" si="4"/>
        <v>19723.18606</v>
      </c>
      <c r="L606" s="49">
        <f t="shared" si="6"/>
        <v>11296410.91</v>
      </c>
      <c r="M606" s="49">
        <f>IF(A606&lt;&gt;"",IF(COUNTIF(investimento!F:F, B606) &gt; 0, SUM(investimento!B:B)+I606, M605+I606),"")</f>
        <v>13640788.68</v>
      </c>
    </row>
    <row r="607" ht="22.5" customHeight="1">
      <c r="A607" s="47">
        <v>50656.0</v>
      </c>
      <c r="B607" s="48" t="str">
        <f t="shared" si="1"/>
        <v>2038-09</v>
      </c>
      <c r="C607" s="49">
        <f>SUMIF(despesas_recorrentes!C:C, "&gt;="&amp;A607,despesas_recorrentes!B:B) 
+SUMIF(despesas_recorrentes!C:C, "",despesas_recorrentes!B:B)
-despesas_recorrentes!$B$12
+IF(SUMIF(gasto_cartao!E:E,saldo!B607,gasto_cartao!B:B)&gt;despesas_recorrentes!$B$12, SUMIF(gasto_cartao!E:E,saldo!B607,gasto_cartao!B:B),despesas_recorrentes!$B$12)</f>
        <v>34013</v>
      </c>
      <c r="D607" s="51">
        <f>SUM(receitas_recorrentes!B:B)+SUMIF(receitas_pontuais!E:E,B607,receitas_pontuais!B:B)</f>
        <v>56919</v>
      </c>
      <c r="E607" s="51">
        <f t="shared" si="2"/>
        <v>22906</v>
      </c>
      <c r="F607" s="53">
        <f>IFERROR(SUMIF(contas!G:G, B607, contas!B:B),0)</f>
        <v>0</v>
      </c>
      <c r="G607" s="51">
        <f>SUMIFS(previsoes!D:D, previsoes!E:E, "&lt;=" &amp; EOMONTH(DATEVALUE(B607&amp;"-01"),0), previsoes!F:F, "&gt;=" &amp; DATEVALUE(B607&amp;"-01"))</f>
        <v>0</v>
      </c>
      <c r="H607" s="52">
        <f t="shared" si="5"/>
        <v>160491.8958</v>
      </c>
      <c r="I607" s="49">
        <f t="shared" si="3"/>
        <v>22906</v>
      </c>
      <c r="J607" s="52">
        <f>IF(A607&lt;&gt;"",SUMIFS(metas!N:N, metas!E:E, "&gt;=" &amp; DATEVALUE(B607&amp;"-01"),metas!D:D, "&lt;=" &amp; DATEVALUE(B607&amp;"-01")),"")</f>
        <v>3182.813937</v>
      </c>
      <c r="K607" s="49">
        <f t="shared" si="4"/>
        <v>19723.18606</v>
      </c>
      <c r="L607" s="49">
        <f t="shared" si="6"/>
        <v>11316134.1</v>
      </c>
      <c r="M607" s="49">
        <f>IF(A607&lt;&gt;"",IF(COUNTIF(investimento!F:F, B607) &gt; 0, SUM(investimento!B:B)+I607, M606+I607),"")</f>
        <v>13663694.68</v>
      </c>
    </row>
    <row r="608" ht="22.5" customHeight="1">
      <c r="A608" s="47">
        <v>50657.0</v>
      </c>
      <c r="B608" s="48" t="str">
        <f t="shared" si="1"/>
        <v>2038-09</v>
      </c>
      <c r="C608" s="49">
        <f>SUMIF(despesas_recorrentes!C:C, "&gt;="&amp;A608,despesas_recorrentes!B:B) 
+SUMIF(despesas_recorrentes!C:C, "",despesas_recorrentes!B:B)
-despesas_recorrentes!$B$12
+IF(SUMIF(gasto_cartao!E:E,saldo!B608,gasto_cartao!B:B)&gt;despesas_recorrentes!$B$12, SUMIF(gasto_cartao!E:E,saldo!B608,gasto_cartao!B:B),despesas_recorrentes!$B$12)</f>
        <v>34013</v>
      </c>
      <c r="D608" s="51">
        <f>SUM(receitas_recorrentes!B:B)+SUMIF(receitas_pontuais!E:E,B608,receitas_pontuais!B:B)</f>
        <v>56919</v>
      </c>
      <c r="E608" s="51">
        <f t="shared" si="2"/>
        <v>22906</v>
      </c>
      <c r="F608" s="53">
        <f>IFERROR(SUMIF(contas!G:G, B608, contas!B:B),0)</f>
        <v>0</v>
      </c>
      <c r="G608" s="51">
        <f>SUMIFS(previsoes!D:D, previsoes!E:E, "&lt;=" &amp; EOMONTH(DATEVALUE(B608&amp;"-01"),0), previsoes!F:F, "&gt;=" &amp; DATEVALUE(B608&amp;"-01"))</f>
        <v>0</v>
      </c>
      <c r="H608" s="52">
        <f t="shared" si="5"/>
        <v>160491.8958</v>
      </c>
      <c r="I608" s="49">
        <f t="shared" si="3"/>
        <v>22906</v>
      </c>
      <c r="J608" s="52">
        <f>IF(A608&lt;&gt;"",SUMIFS(metas!N:N, metas!E:E, "&gt;=" &amp; DATEVALUE(B608&amp;"-01"),metas!D:D, "&lt;=" &amp; DATEVALUE(B608&amp;"-01")),"")</f>
        <v>3182.813937</v>
      </c>
      <c r="K608" s="49">
        <f t="shared" si="4"/>
        <v>19723.18606</v>
      </c>
      <c r="L608" s="49">
        <f t="shared" si="6"/>
        <v>11335857.28</v>
      </c>
      <c r="M608" s="49">
        <f>IF(A608&lt;&gt;"",IF(COUNTIF(investimento!F:F, B608) &gt; 0, SUM(investimento!B:B)+I608, M607+I608),"")</f>
        <v>13686600.68</v>
      </c>
    </row>
    <row r="609" ht="22.5" customHeight="1">
      <c r="A609" s="47">
        <v>50658.0</v>
      </c>
      <c r="B609" s="48" t="str">
        <f t="shared" si="1"/>
        <v>2038-09</v>
      </c>
      <c r="C609" s="49">
        <f>SUMIF(despesas_recorrentes!C:C, "&gt;="&amp;A609,despesas_recorrentes!B:B) 
+SUMIF(despesas_recorrentes!C:C, "",despesas_recorrentes!B:B)
-despesas_recorrentes!$B$12
+IF(SUMIF(gasto_cartao!E:E,saldo!B609,gasto_cartao!B:B)&gt;despesas_recorrentes!$B$12, SUMIF(gasto_cartao!E:E,saldo!B609,gasto_cartao!B:B),despesas_recorrentes!$B$12)</f>
        <v>34013</v>
      </c>
      <c r="D609" s="51">
        <f>SUM(receitas_recorrentes!B:B)+SUMIF(receitas_pontuais!E:E,B609,receitas_pontuais!B:B)</f>
        <v>56919</v>
      </c>
      <c r="E609" s="51">
        <f t="shared" si="2"/>
        <v>22906</v>
      </c>
      <c r="F609" s="53">
        <f>IFERROR(SUMIF(contas!G:G, B609, contas!B:B),0)</f>
        <v>0</v>
      </c>
      <c r="G609" s="51">
        <f>SUMIFS(previsoes!D:D, previsoes!E:E, "&lt;=" &amp; EOMONTH(DATEVALUE(B609&amp;"-01"),0), previsoes!F:F, "&gt;=" &amp; DATEVALUE(B609&amp;"-01"))</f>
        <v>0</v>
      </c>
      <c r="H609" s="52">
        <f t="shared" si="5"/>
        <v>160491.8958</v>
      </c>
      <c r="I609" s="49">
        <f t="shared" si="3"/>
        <v>22906</v>
      </c>
      <c r="J609" s="52">
        <f>IF(A609&lt;&gt;"",SUMIFS(metas!N:N, metas!E:E, "&gt;=" &amp; DATEVALUE(B609&amp;"-01"),metas!D:D, "&lt;=" &amp; DATEVALUE(B609&amp;"-01")),"")</f>
        <v>3182.813937</v>
      </c>
      <c r="K609" s="49">
        <f t="shared" si="4"/>
        <v>19723.18606</v>
      </c>
      <c r="L609" s="49">
        <f t="shared" si="6"/>
        <v>11355580.47</v>
      </c>
      <c r="M609" s="49">
        <f>IF(A609&lt;&gt;"",IF(COUNTIF(investimento!F:F, B609) &gt; 0, SUM(investimento!B:B)+I609, M608+I609),"")</f>
        <v>13709506.68</v>
      </c>
    </row>
    <row r="610" ht="22.5" customHeight="1">
      <c r="A610" s="47">
        <v>50659.0</v>
      </c>
      <c r="B610" s="48" t="str">
        <f t="shared" si="1"/>
        <v>2038-09</v>
      </c>
      <c r="C610" s="49">
        <f>SUMIF(despesas_recorrentes!C:C, "&gt;="&amp;A610,despesas_recorrentes!B:B) 
+SUMIF(despesas_recorrentes!C:C, "",despesas_recorrentes!B:B)
-despesas_recorrentes!$B$12
+IF(SUMIF(gasto_cartao!E:E,saldo!B610,gasto_cartao!B:B)&gt;despesas_recorrentes!$B$12, SUMIF(gasto_cartao!E:E,saldo!B610,gasto_cartao!B:B),despesas_recorrentes!$B$12)</f>
        <v>34013</v>
      </c>
      <c r="D610" s="51">
        <f>SUM(receitas_recorrentes!B:B)+SUMIF(receitas_pontuais!E:E,B610,receitas_pontuais!B:B)</f>
        <v>56919</v>
      </c>
      <c r="E610" s="51">
        <f t="shared" si="2"/>
        <v>22906</v>
      </c>
      <c r="F610" s="53">
        <f>IFERROR(SUMIF(contas!G:G, B610, contas!B:B),0)</f>
        <v>0</v>
      </c>
      <c r="G610" s="51">
        <f>SUMIFS(previsoes!D:D, previsoes!E:E, "&lt;=" &amp; EOMONTH(DATEVALUE(B610&amp;"-01"),0), previsoes!F:F, "&gt;=" &amp; DATEVALUE(B610&amp;"-01"))</f>
        <v>0</v>
      </c>
      <c r="H610" s="52">
        <f t="shared" si="5"/>
        <v>160491.8958</v>
      </c>
      <c r="I610" s="49">
        <f t="shared" si="3"/>
        <v>22906</v>
      </c>
      <c r="J610" s="52">
        <f>IF(A610&lt;&gt;"",SUMIFS(metas!N:N, metas!E:E, "&gt;=" &amp; DATEVALUE(B610&amp;"-01"),metas!D:D, "&lt;=" &amp; DATEVALUE(B610&amp;"-01")),"")</f>
        <v>3182.813937</v>
      </c>
      <c r="K610" s="49">
        <f t="shared" si="4"/>
        <v>19723.18606</v>
      </c>
      <c r="L610" s="49">
        <f t="shared" si="6"/>
        <v>11375303.65</v>
      </c>
      <c r="M610" s="49">
        <f>IF(A610&lt;&gt;"",IF(COUNTIF(investimento!F:F, B610) &gt; 0, SUM(investimento!B:B)+I610, M609+I610),"")</f>
        <v>13732412.68</v>
      </c>
    </row>
    <row r="611" ht="22.5" customHeight="1">
      <c r="A611" s="47">
        <v>50660.0</v>
      </c>
      <c r="B611" s="48" t="str">
        <f t="shared" si="1"/>
        <v>2038-09</v>
      </c>
      <c r="C611" s="49">
        <f>SUMIF(despesas_recorrentes!C:C, "&gt;="&amp;A611,despesas_recorrentes!B:B) 
+SUMIF(despesas_recorrentes!C:C, "",despesas_recorrentes!B:B)
-despesas_recorrentes!$B$12
+IF(SUMIF(gasto_cartao!E:E,saldo!B611,gasto_cartao!B:B)&gt;despesas_recorrentes!$B$12, SUMIF(gasto_cartao!E:E,saldo!B611,gasto_cartao!B:B),despesas_recorrentes!$B$12)</f>
        <v>34013</v>
      </c>
      <c r="D611" s="51">
        <f>SUM(receitas_recorrentes!B:B)+SUMIF(receitas_pontuais!E:E,B611,receitas_pontuais!B:B)</f>
        <v>56919</v>
      </c>
      <c r="E611" s="51">
        <f t="shared" si="2"/>
        <v>22906</v>
      </c>
      <c r="F611" s="53">
        <f>IFERROR(SUMIF(contas!G:G, B611, contas!B:B),0)</f>
        <v>0</v>
      </c>
      <c r="G611" s="51">
        <f>SUMIFS(previsoes!D:D, previsoes!E:E, "&lt;=" &amp; EOMONTH(DATEVALUE(B611&amp;"-01"),0), previsoes!F:F, "&gt;=" &amp; DATEVALUE(B611&amp;"-01"))</f>
        <v>0</v>
      </c>
      <c r="H611" s="52">
        <f t="shared" si="5"/>
        <v>160491.8958</v>
      </c>
      <c r="I611" s="49">
        <f t="shared" si="3"/>
        <v>22906</v>
      </c>
      <c r="J611" s="52">
        <f>IF(A611&lt;&gt;"",SUMIFS(metas!N:N, metas!E:E, "&gt;=" &amp; DATEVALUE(B611&amp;"-01"),metas!D:D, "&lt;=" &amp; DATEVALUE(B611&amp;"-01")),"")</f>
        <v>3182.813937</v>
      </c>
      <c r="K611" s="49">
        <f t="shared" si="4"/>
        <v>19723.18606</v>
      </c>
      <c r="L611" s="49">
        <f t="shared" si="6"/>
        <v>11395026.84</v>
      </c>
      <c r="M611" s="49">
        <f>IF(A611&lt;&gt;"",IF(COUNTIF(investimento!F:F, B611) &gt; 0, SUM(investimento!B:B)+I611, M610+I611),"")</f>
        <v>13755318.68</v>
      </c>
    </row>
    <row r="612" ht="22.5" customHeight="1">
      <c r="A612" s="47">
        <v>50661.0</v>
      </c>
      <c r="B612" s="48" t="str">
        <f t="shared" si="1"/>
        <v>2038-09</v>
      </c>
      <c r="C612" s="49">
        <f>SUMIF(despesas_recorrentes!C:C, "&gt;="&amp;A612,despesas_recorrentes!B:B) 
+SUMIF(despesas_recorrentes!C:C, "",despesas_recorrentes!B:B)
-despesas_recorrentes!$B$12
+IF(SUMIF(gasto_cartao!E:E,saldo!B612,gasto_cartao!B:B)&gt;despesas_recorrentes!$B$12, SUMIF(gasto_cartao!E:E,saldo!B612,gasto_cartao!B:B),despesas_recorrentes!$B$12)</f>
        <v>34013</v>
      </c>
      <c r="D612" s="51">
        <f>SUM(receitas_recorrentes!B:B)+SUMIF(receitas_pontuais!E:E,B612,receitas_pontuais!B:B)</f>
        <v>56919</v>
      </c>
      <c r="E612" s="51">
        <f t="shared" si="2"/>
        <v>22906</v>
      </c>
      <c r="F612" s="53">
        <f>IFERROR(SUMIF(contas!G:G, B612, contas!B:B),0)</f>
        <v>0</v>
      </c>
      <c r="G612" s="51">
        <f>SUMIFS(previsoes!D:D, previsoes!E:E, "&lt;=" &amp; EOMONTH(DATEVALUE(B612&amp;"-01"),0), previsoes!F:F, "&gt;=" &amp; DATEVALUE(B612&amp;"-01"))</f>
        <v>0</v>
      </c>
      <c r="H612" s="52">
        <f t="shared" si="5"/>
        <v>160491.8958</v>
      </c>
      <c r="I612" s="49">
        <f t="shared" si="3"/>
        <v>22906</v>
      </c>
      <c r="J612" s="52">
        <f>IF(A612&lt;&gt;"",SUMIFS(metas!N:N, metas!E:E, "&gt;=" &amp; DATEVALUE(B612&amp;"-01"),metas!D:D, "&lt;=" &amp; DATEVALUE(B612&amp;"-01")),"")</f>
        <v>3182.813937</v>
      </c>
      <c r="K612" s="49">
        <f t="shared" si="4"/>
        <v>19723.18606</v>
      </c>
      <c r="L612" s="49">
        <f t="shared" si="6"/>
        <v>11414750.03</v>
      </c>
      <c r="M612" s="49">
        <f>IF(A612&lt;&gt;"",IF(COUNTIF(investimento!F:F, B612) &gt; 0, SUM(investimento!B:B)+I612, M611+I612),"")</f>
        <v>13778224.68</v>
      </c>
    </row>
    <row r="613" ht="22.5" customHeight="1">
      <c r="A613" s="47">
        <v>50662.0</v>
      </c>
      <c r="B613" s="48" t="str">
        <f t="shared" si="1"/>
        <v>2038-09</v>
      </c>
      <c r="C613" s="49">
        <f>SUMIF(despesas_recorrentes!C:C, "&gt;="&amp;A613,despesas_recorrentes!B:B) 
+SUMIF(despesas_recorrentes!C:C, "",despesas_recorrentes!B:B)
-despesas_recorrentes!$B$12
+IF(SUMIF(gasto_cartao!E:E,saldo!B613,gasto_cartao!B:B)&gt;despesas_recorrentes!$B$12, SUMIF(gasto_cartao!E:E,saldo!B613,gasto_cartao!B:B),despesas_recorrentes!$B$12)</f>
        <v>34013</v>
      </c>
      <c r="D613" s="51">
        <f>SUM(receitas_recorrentes!B:B)+SUMIF(receitas_pontuais!E:E,B613,receitas_pontuais!B:B)</f>
        <v>56919</v>
      </c>
      <c r="E613" s="51">
        <f t="shared" si="2"/>
        <v>22906</v>
      </c>
      <c r="F613" s="53">
        <f>IFERROR(SUMIF(contas!G:G, B613, contas!B:B),0)</f>
        <v>0</v>
      </c>
      <c r="G613" s="51">
        <f>SUMIFS(previsoes!D:D, previsoes!E:E, "&lt;=" &amp; EOMONTH(DATEVALUE(B613&amp;"-01"),0), previsoes!F:F, "&gt;=" &amp; DATEVALUE(B613&amp;"-01"))</f>
        <v>0</v>
      </c>
      <c r="H613" s="52">
        <f t="shared" si="5"/>
        <v>160491.8958</v>
      </c>
      <c r="I613" s="49">
        <f t="shared" si="3"/>
        <v>22906</v>
      </c>
      <c r="J613" s="52">
        <f>IF(A613&lt;&gt;"",SUMIFS(metas!N:N, metas!E:E, "&gt;=" &amp; DATEVALUE(B613&amp;"-01"),metas!D:D, "&lt;=" &amp; DATEVALUE(B613&amp;"-01")),"")</f>
        <v>3182.813937</v>
      </c>
      <c r="K613" s="49">
        <f t="shared" si="4"/>
        <v>19723.18606</v>
      </c>
      <c r="L613" s="49">
        <f t="shared" si="6"/>
        <v>11434473.21</v>
      </c>
      <c r="M613" s="49">
        <f>IF(A613&lt;&gt;"",IF(COUNTIF(investimento!F:F, B613) &gt; 0, SUM(investimento!B:B)+I613, M612+I613),"")</f>
        <v>13801130.68</v>
      </c>
    </row>
    <row r="614" ht="22.5" customHeight="1">
      <c r="A614" s="47">
        <v>50663.0</v>
      </c>
      <c r="B614" s="48" t="str">
        <f t="shared" si="1"/>
        <v>2038-09</v>
      </c>
      <c r="C614" s="49">
        <f>SUMIF(despesas_recorrentes!C:C, "&gt;="&amp;A614,despesas_recorrentes!B:B) 
+SUMIF(despesas_recorrentes!C:C, "",despesas_recorrentes!B:B)
-despesas_recorrentes!$B$12
+IF(SUMIF(gasto_cartao!E:E,saldo!B614,gasto_cartao!B:B)&gt;despesas_recorrentes!$B$12, SUMIF(gasto_cartao!E:E,saldo!B614,gasto_cartao!B:B),despesas_recorrentes!$B$12)</f>
        <v>34013</v>
      </c>
      <c r="D614" s="51">
        <f>SUM(receitas_recorrentes!B:B)+SUMIF(receitas_pontuais!E:E,B614,receitas_pontuais!B:B)</f>
        <v>56919</v>
      </c>
      <c r="E614" s="51">
        <f t="shared" si="2"/>
        <v>22906</v>
      </c>
      <c r="F614" s="53">
        <f>IFERROR(SUMIF(contas!G:G, B614, contas!B:B),0)</f>
        <v>0</v>
      </c>
      <c r="G614" s="51">
        <f>SUMIFS(previsoes!D:D, previsoes!E:E, "&lt;=" &amp; EOMONTH(DATEVALUE(B614&amp;"-01"),0), previsoes!F:F, "&gt;=" &amp; DATEVALUE(B614&amp;"-01"))</f>
        <v>0</v>
      </c>
      <c r="H614" s="52">
        <f t="shared" si="5"/>
        <v>160491.8958</v>
      </c>
      <c r="I614" s="49">
        <f t="shared" si="3"/>
        <v>22906</v>
      </c>
      <c r="J614" s="52">
        <f>IF(A614&lt;&gt;"",SUMIFS(metas!N:N, metas!E:E, "&gt;=" &amp; DATEVALUE(B614&amp;"-01"),metas!D:D, "&lt;=" &amp; DATEVALUE(B614&amp;"-01")),"")</f>
        <v>3182.813937</v>
      </c>
      <c r="K614" s="49">
        <f t="shared" si="4"/>
        <v>19723.18606</v>
      </c>
      <c r="L614" s="49">
        <f t="shared" si="6"/>
        <v>11454196.4</v>
      </c>
      <c r="M614" s="49">
        <f>IF(A614&lt;&gt;"",IF(COUNTIF(investimento!F:F, B614) &gt; 0, SUM(investimento!B:B)+I614, M613+I614),"")</f>
        <v>13824036.68</v>
      </c>
    </row>
    <row r="615" ht="22.5" customHeight="1">
      <c r="A615" s="47">
        <v>50664.0</v>
      </c>
      <c r="B615" s="48" t="str">
        <f t="shared" si="1"/>
        <v>2038-09</v>
      </c>
      <c r="C615" s="49">
        <f>SUMIF(despesas_recorrentes!C:C, "&gt;="&amp;A615,despesas_recorrentes!B:B) 
+SUMIF(despesas_recorrentes!C:C, "",despesas_recorrentes!B:B)
-despesas_recorrentes!$B$12
+IF(SUMIF(gasto_cartao!E:E,saldo!B615,gasto_cartao!B:B)&gt;despesas_recorrentes!$B$12, SUMIF(gasto_cartao!E:E,saldo!B615,gasto_cartao!B:B),despesas_recorrentes!$B$12)</f>
        <v>34013</v>
      </c>
      <c r="D615" s="51">
        <f>SUM(receitas_recorrentes!B:B)+SUMIF(receitas_pontuais!E:E,B615,receitas_pontuais!B:B)</f>
        <v>56919</v>
      </c>
      <c r="E615" s="51">
        <f t="shared" si="2"/>
        <v>22906</v>
      </c>
      <c r="F615" s="53">
        <f>IFERROR(SUMIF(contas!G:G, B615, contas!B:B),0)</f>
        <v>0</v>
      </c>
      <c r="G615" s="51">
        <f>SUMIFS(previsoes!D:D, previsoes!E:E, "&lt;=" &amp; EOMONTH(DATEVALUE(B615&amp;"-01"),0), previsoes!F:F, "&gt;=" &amp; DATEVALUE(B615&amp;"-01"))</f>
        <v>0</v>
      </c>
      <c r="H615" s="52">
        <f t="shared" si="5"/>
        <v>160491.8958</v>
      </c>
      <c r="I615" s="49">
        <f t="shared" si="3"/>
        <v>22906</v>
      </c>
      <c r="J615" s="52">
        <f>IF(A615&lt;&gt;"",SUMIFS(metas!N:N, metas!E:E, "&gt;=" &amp; DATEVALUE(B615&amp;"-01"),metas!D:D, "&lt;=" &amp; DATEVALUE(B615&amp;"-01")),"")</f>
        <v>3182.813937</v>
      </c>
      <c r="K615" s="49">
        <f t="shared" si="4"/>
        <v>19723.18606</v>
      </c>
      <c r="L615" s="49">
        <f t="shared" si="6"/>
        <v>11473919.59</v>
      </c>
      <c r="M615" s="49">
        <f>IF(A615&lt;&gt;"",IF(COUNTIF(investimento!F:F, B615) &gt; 0, SUM(investimento!B:B)+I615, M614+I615),"")</f>
        <v>13846942.68</v>
      </c>
    </row>
    <row r="616" ht="22.5" customHeight="1">
      <c r="A616" s="47">
        <v>50665.0</v>
      </c>
      <c r="B616" s="48" t="str">
        <f t="shared" si="1"/>
        <v>2038-09</v>
      </c>
      <c r="C616" s="49">
        <f>SUMIF(despesas_recorrentes!C:C, "&gt;="&amp;A616,despesas_recorrentes!B:B) 
+SUMIF(despesas_recorrentes!C:C, "",despesas_recorrentes!B:B)
-despesas_recorrentes!$B$12
+IF(SUMIF(gasto_cartao!E:E,saldo!B616,gasto_cartao!B:B)&gt;despesas_recorrentes!$B$12, SUMIF(gasto_cartao!E:E,saldo!B616,gasto_cartao!B:B),despesas_recorrentes!$B$12)</f>
        <v>34013</v>
      </c>
      <c r="D616" s="51">
        <f>SUM(receitas_recorrentes!B:B)+SUMIF(receitas_pontuais!E:E,B616,receitas_pontuais!B:B)</f>
        <v>56919</v>
      </c>
      <c r="E616" s="51">
        <f t="shared" si="2"/>
        <v>22906</v>
      </c>
      <c r="F616" s="53">
        <f>IFERROR(SUMIF(contas!G:G, B616, contas!B:B),0)</f>
        <v>0</v>
      </c>
      <c r="G616" s="51">
        <f>SUMIFS(previsoes!D:D, previsoes!E:E, "&lt;=" &amp; EOMONTH(DATEVALUE(B616&amp;"-01"),0), previsoes!F:F, "&gt;=" &amp; DATEVALUE(B616&amp;"-01"))</f>
        <v>0</v>
      </c>
      <c r="H616" s="52">
        <f t="shared" si="5"/>
        <v>160491.8958</v>
      </c>
      <c r="I616" s="49">
        <f t="shared" si="3"/>
        <v>22906</v>
      </c>
      <c r="J616" s="52">
        <f>IF(A616&lt;&gt;"",SUMIFS(metas!N:N, metas!E:E, "&gt;=" &amp; DATEVALUE(B616&amp;"-01"),metas!D:D, "&lt;=" &amp; DATEVALUE(B616&amp;"-01")),"")</f>
        <v>3182.813937</v>
      </c>
      <c r="K616" s="49">
        <f t="shared" si="4"/>
        <v>19723.18606</v>
      </c>
      <c r="L616" s="49">
        <f t="shared" si="6"/>
        <v>11493642.77</v>
      </c>
      <c r="M616" s="49">
        <f>IF(A616&lt;&gt;"",IF(COUNTIF(investimento!F:F, B616) &gt; 0, SUM(investimento!B:B)+I616, M615+I616),"")</f>
        <v>13869848.68</v>
      </c>
    </row>
    <row r="617" ht="22.5" customHeight="1">
      <c r="A617" s="47">
        <v>50666.0</v>
      </c>
      <c r="B617" s="48" t="str">
        <f t="shared" si="1"/>
        <v>2038-09</v>
      </c>
      <c r="C617" s="49">
        <f>SUMIF(despesas_recorrentes!C:C, "&gt;="&amp;A617,despesas_recorrentes!B:B) 
+SUMIF(despesas_recorrentes!C:C, "",despesas_recorrentes!B:B)
-despesas_recorrentes!$B$12
+IF(SUMIF(gasto_cartao!E:E,saldo!B617,gasto_cartao!B:B)&gt;despesas_recorrentes!$B$12, SUMIF(gasto_cartao!E:E,saldo!B617,gasto_cartao!B:B),despesas_recorrentes!$B$12)</f>
        <v>34013</v>
      </c>
      <c r="D617" s="51">
        <f>SUM(receitas_recorrentes!B:B)+SUMIF(receitas_pontuais!E:E,B617,receitas_pontuais!B:B)</f>
        <v>56919</v>
      </c>
      <c r="E617" s="51">
        <f t="shared" si="2"/>
        <v>22906</v>
      </c>
      <c r="F617" s="53">
        <f>IFERROR(SUMIF(contas!G:G, B617, contas!B:B),0)</f>
        <v>0</v>
      </c>
      <c r="G617" s="51">
        <f>SUMIFS(previsoes!D:D, previsoes!E:E, "&lt;=" &amp; EOMONTH(DATEVALUE(B617&amp;"-01"),0), previsoes!F:F, "&gt;=" &amp; DATEVALUE(B617&amp;"-01"))</f>
        <v>0</v>
      </c>
      <c r="H617" s="52">
        <f t="shared" si="5"/>
        <v>160491.8958</v>
      </c>
      <c r="I617" s="49">
        <f t="shared" si="3"/>
        <v>22906</v>
      </c>
      <c r="J617" s="52">
        <f>IF(A617&lt;&gt;"",SUMIFS(metas!N:N, metas!E:E, "&gt;=" &amp; DATEVALUE(B617&amp;"-01"),metas!D:D, "&lt;=" &amp; DATEVALUE(B617&amp;"-01")),"")</f>
        <v>3182.813937</v>
      </c>
      <c r="K617" s="49">
        <f t="shared" si="4"/>
        <v>19723.18606</v>
      </c>
      <c r="L617" s="49">
        <f t="shared" si="6"/>
        <v>11513365.96</v>
      </c>
      <c r="M617" s="49">
        <f>IF(A617&lt;&gt;"",IF(COUNTIF(investimento!F:F, B617) &gt; 0, SUM(investimento!B:B)+I617, M616+I617),"")</f>
        <v>13892754.68</v>
      </c>
    </row>
    <row r="618" ht="22.5" customHeight="1">
      <c r="A618" s="47">
        <v>50667.0</v>
      </c>
      <c r="B618" s="48" t="str">
        <f t="shared" si="1"/>
        <v>2038-09</v>
      </c>
      <c r="C618" s="49">
        <f>SUMIF(despesas_recorrentes!C:C, "&gt;="&amp;A618,despesas_recorrentes!B:B) 
+SUMIF(despesas_recorrentes!C:C, "",despesas_recorrentes!B:B)
-despesas_recorrentes!$B$12
+IF(SUMIF(gasto_cartao!E:E,saldo!B618,gasto_cartao!B:B)&gt;despesas_recorrentes!$B$12, SUMIF(gasto_cartao!E:E,saldo!B618,gasto_cartao!B:B),despesas_recorrentes!$B$12)</f>
        <v>34013</v>
      </c>
      <c r="D618" s="51">
        <f>SUM(receitas_recorrentes!B:B)+SUMIF(receitas_pontuais!E:E,B618,receitas_pontuais!B:B)</f>
        <v>56919</v>
      </c>
      <c r="E618" s="51">
        <f t="shared" si="2"/>
        <v>22906</v>
      </c>
      <c r="F618" s="53">
        <f>IFERROR(SUMIF(contas!G:G, B618, contas!B:B),0)</f>
        <v>0</v>
      </c>
      <c r="G618" s="51">
        <f>SUMIFS(previsoes!D:D, previsoes!E:E, "&lt;=" &amp; EOMONTH(DATEVALUE(B618&amp;"-01"),0), previsoes!F:F, "&gt;=" &amp; DATEVALUE(B618&amp;"-01"))</f>
        <v>0</v>
      </c>
      <c r="H618" s="52">
        <f t="shared" si="5"/>
        <v>160491.8958</v>
      </c>
      <c r="I618" s="49">
        <f t="shared" si="3"/>
        <v>22906</v>
      </c>
      <c r="J618" s="52">
        <f>IF(A618&lt;&gt;"",SUMIFS(metas!N:N, metas!E:E, "&gt;=" &amp; DATEVALUE(B618&amp;"-01"),metas!D:D, "&lt;=" &amp; DATEVALUE(B618&amp;"-01")),"")</f>
        <v>3182.813937</v>
      </c>
      <c r="K618" s="49">
        <f t="shared" si="4"/>
        <v>19723.18606</v>
      </c>
      <c r="L618" s="49">
        <f t="shared" si="6"/>
        <v>11533089.14</v>
      </c>
      <c r="M618" s="49">
        <f>IF(A618&lt;&gt;"",IF(COUNTIF(investimento!F:F, B618) &gt; 0, SUM(investimento!B:B)+I618, M617+I618),"")</f>
        <v>13915660.68</v>
      </c>
    </row>
    <row r="619" ht="22.5" customHeight="1">
      <c r="A619" s="47">
        <v>50668.0</v>
      </c>
      <c r="B619" s="48" t="str">
        <f t="shared" si="1"/>
        <v>2038-09</v>
      </c>
      <c r="C619" s="49">
        <f>SUMIF(despesas_recorrentes!C:C, "&gt;="&amp;A619,despesas_recorrentes!B:B) 
+SUMIF(despesas_recorrentes!C:C, "",despesas_recorrentes!B:B)
-despesas_recorrentes!$B$12
+IF(SUMIF(gasto_cartao!E:E,saldo!B619,gasto_cartao!B:B)&gt;despesas_recorrentes!$B$12, SUMIF(gasto_cartao!E:E,saldo!B619,gasto_cartao!B:B),despesas_recorrentes!$B$12)</f>
        <v>34013</v>
      </c>
      <c r="D619" s="51">
        <f>SUM(receitas_recorrentes!B:B)+SUMIF(receitas_pontuais!E:E,B619,receitas_pontuais!B:B)</f>
        <v>56919</v>
      </c>
      <c r="E619" s="51">
        <f t="shared" si="2"/>
        <v>22906</v>
      </c>
      <c r="F619" s="53">
        <f>IFERROR(SUMIF(contas!G:G, B619, contas!B:B),0)</f>
        <v>0</v>
      </c>
      <c r="G619" s="51">
        <f>SUMIFS(previsoes!D:D, previsoes!E:E, "&lt;=" &amp; EOMONTH(DATEVALUE(B619&amp;"-01"),0), previsoes!F:F, "&gt;=" &amp; DATEVALUE(B619&amp;"-01"))</f>
        <v>0</v>
      </c>
      <c r="H619" s="52">
        <f t="shared" si="5"/>
        <v>160491.8958</v>
      </c>
      <c r="I619" s="49">
        <f t="shared" si="3"/>
        <v>22906</v>
      </c>
      <c r="J619" s="52">
        <f>IF(A619&lt;&gt;"",SUMIFS(metas!N:N, metas!E:E, "&gt;=" &amp; DATEVALUE(B619&amp;"-01"),metas!D:D, "&lt;=" &amp; DATEVALUE(B619&amp;"-01")),"")</f>
        <v>3182.813937</v>
      </c>
      <c r="K619" s="49">
        <f t="shared" si="4"/>
        <v>19723.18606</v>
      </c>
      <c r="L619" s="49">
        <f t="shared" si="6"/>
        <v>11552812.33</v>
      </c>
      <c r="M619" s="49">
        <f>IF(A619&lt;&gt;"",IF(COUNTIF(investimento!F:F, B619) &gt; 0, SUM(investimento!B:B)+I619, M618+I619),"")</f>
        <v>13938566.68</v>
      </c>
    </row>
    <row r="620" ht="22.5" customHeight="1">
      <c r="A620" s="47">
        <v>50669.0</v>
      </c>
      <c r="B620" s="48" t="str">
        <f t="shared" si="1"/>
        <v>2038-09</v>
      </c>
      <c r="C620" s="49">
        <f>SUMIF(despesas_recorrentes!C:C, "&gt;="&amp;A620,despesas_recorrentes!B:B) 
+SUMIF(despesas_recorrentes!C:C, "",despesas_recorrentes!B:B)
-despesas_recorrentes!$B$12
+IF(SUMIF(gasto_cartao!E:E,saldo!B620,gasto_cartao!B:B)&gt;despesas_recorrentes!$B$12, SUMIF(gasto_cartao!E:E,saldo!B620,gasto_cartao!B:B),despesas_recorrentes!$B$12)</f>
        <v>34013</v>
      </c>
      <c r="D620" s="51">
        <f>SUM(receitas_recorrentes!B:B)+SUMIF(receitas_pontuais!E:E,B620,receitas_pontuais!B:B)</f>
        <v>56919</v>
      </c>
      <c r="E620" s="51">
        <f t="shared" si="2"/>
        <v>22906</v>
      </c>
      <c r="F620" s="53">
        <f>IFERROR(SUMIF(contas!G:G, B620, contas!B:B),0)</f>
        <v>0</v>
      </c>
      <c r="G620" s="51">
        <f>SUMIFS(previsoes!D:D, previsoes!E:E, "&lt;=" &amp; EOMONTH(DATEVALUE(B620&amp;"-01"),0), previsoes!F:F, "&gt;=" &amp; DATEVALUE(B620&amp;"-01"))</f>
        <v>0</v>
      </c>
      <c r="H620" s="52">
        <f t="shared" si="5"/>
        <v>160491.8958</v>
      </c>
      <c r="I620" s="49">
        <f t="shared" si="3"/>
        <v>22906</v>
      </c>
      <c r="J620" s="52">
        <f>IF(A620&lt;&gt;"",SUMIFS(metas!N:N, metas!E:E, "&gt;=" &amp; DATEVALUE(B620&amp;"-01"),metas!D:D, "&lt;=" &amp; DATEVALUE(B620&amp;"-01")),"")</f>
        <v>3182.813937</v>
      </c>
      <c r="K620" s="49">
        <f t="shared" si="4"/>
        <v>19723.18606</v>
      </c>
      <c r="L620" s="49">
        <f t="shared" si="6"/>
        <v>11572535.52</v>
      </c>
      <c r="M620" s="49">
        <f>IF(A620&lt;&gt;"",IF(COUNTIF(investimento!F:F, B620) &gt; 0, SUM(investimento!B:B)+I620, M619+I620),"")</f>
        <v>13961472.68</v>
      </c>
    </row>
    <row r="621" ht="22.5" customHeight="1">
      <c r="A621" s="47">
        <v>50670.0</v>
      </c>
      <c r="B621" s="48" t="str">
        <f t="shared" si="1"/>
        <v>2038-09</v>
      </c>
      <c r="C621" s="49">
        <f>SUMIF(despesas_recorrentes!C:C, "&gt;="&amp;A621,despesas_recorrentes!B:B) 
+SUMIF(despesas_recorrentes!C:C, "",despesas_recorrentes!B:B)
-despesas_recorrentes!$B$12
+IF(SUMIF(gasto_cartao!E:E,saldo!B621,gasto_cartao!B:B)&gt;despesas_recorrentes!$B$12, SUMIF(gasto_cartao!E:E,saldo!B621,gasto_cartao!B:B),despesas_recorrentes!$B$12)</f>
        <v>34013</v>
      </c>
      <c r="D621" s="51">
        <f>SUM(receitas_recorrentes!B:B)+SUMIF(receitas_pontuais!E:E,B621,receitas_pontuais!B:B)</f>
        <v>56919</v>
      </c>
      <c r="E621" s="51">
        <f t="shared" si="2"/>
        <v>22906</v>
      </c>
      <c r="F621" s="53">
        <f>IFERROR(SUMIF(contas!G:G, B621, contas!B:B),0)</f>
        <v>0</v>
      </c>
      <c r="G621" s="51">
        <f>SUMIFS(previsoes!D:D, previsoes!E:E, "&lt;=" &amp; EOMONTH(DATEVALUE(B621&amp;"-01"),0), previsoes!F:F, "&gt;=" &amp; DATEVALUE(B621&amp;"-01"))</f>
        <v>0</v>
      </c>
      <c r="H621" s="52">
        <f t="shared" si="5"/>
        <v>160491.8958</v>
      </c>
      <c r="I621" s="49">
        <f t="shared" si="3"/>
        <v>22906</v>
      </c>
      <c r="J621" s="52">
        <f>IF(A621&lt;&gt;"",SUMIFS(metas!N:N, metas!E:E, "&gt;=" &amp; DATEVALUE(B621&amp;"-01"),metas!D:D, "&lt;=" &amp; DATEVALUE(B621&amp;"-01")),"")</f>
        <v>3182.813937</v>
      </c>
      <c r="K621" s="49">
        <f t="shared" si="4"/>
        <v>19723.18606</v>
      </c>
      <c r="L621" s="49">
        <f t="shared" si="6"/>
        <v>11592258.7</v>
      </c>
      <c r="M621" s="49">
        <f>IF(A621&lt;&gt;"",IF(COUNTIF(investimento!F:F, B621) &gt; 0, SUM(investimento!B:B)+I621, M620+I621),"")</f>
        <v>13984378.68</v>
      </c>
    </row>
    <row r="622" ht="22.5" customHeight="1">
      <c r="A622" s="47">
        <v>50671.0</v>
      </c>
      <c r="B622" s="48" t="str">
        <f t="shared" si="1"/>
        <v>2038-09</v>
      </c>
      <c r="C622" s="49">
        <f>SUMIF(despesas_recorrentes!C:C, "&gt;="&amp;A622,despesas_recorrentes!B:B) 
+SUMIF(despesas_recorrentes!C:C, "",despesas_recorrentes!B:B)
-despesas_recorrentes!$B$12
+IF(SUMIF(gasto_cartao!E:E,saldo!B622,gasto_cartao!B:B)&gt;despesas_recorrentes!$B$12, SUMIF(gasto_cartao!E:E,saldo!B622,gasto_cartao!B:B),despesas_recorrentes!$B$12)</f>
        <v>34013</v>
      </c>
      <c r="D622" s="51">
        <f>SUM(receitas_recorrentes!B:B)+SUMIF(receitas_pontuais!E:E,B622,receitas_pontuais!B:B)</f>
        <v>56919</v>
      </c>
      <c r="E622" s="51">
        <f t="shared" si="2"/>
        <v>22906</v>
      </c>
      <c r="F622" s="53">
        <f>IFERROR(SUMIF(contas!G:G, B622, contas!B:B),0)</f>
        <v>0</v>
      </c>
      <c r="G622" s="51">
        <f>SUMIFS(previsoes!D:D, previsoes!E:E, "&lt;=" &amp; EOMONTH(DATEVALUE(B622&amp;"-01"),0), previsoes!F:F, "&gt;=" &amp; DATEVALUE(B622&amp;"-01"))</f>
        <v>0</v>
      </c>
      <c r="H622" s="52">
        <f t="shared" si="5"/>
        <v>160491.8958</v>
      </c>
      <c r="I622" s="49">
        <f t="shared" si="3"/>
        <v>22906</v>
      </c>
      <c r="J622" s="52">
        <f>IF(A622&lt;&gt;"",SUMIFS(metas!N:N, metas!E:E, "&gt;=" &amp; DATEVALUE(B622&amp;"-01"),metas!D:D, "&lt;=" &amp; DATEVALUE(B622&amp;"-01")),"")</f>
        <v>3182.813937</v>
      </c>
      <c r="K622" s="49">
        <f t="shared" si="4"/>
        <v>19723.18606</v>
      </c>
      <c r="L622" s="49">
        <f t="shared" si="6"/>
        <v>11611981.89</v>
      </c>
      <c r="M622" s="49">
        <f>IF(A622&lt;&gt;"",IF(COUNTIF(investimento!F:F, B622) &gt; 0, SUM(investimento!B:B)+I622, M621+I622),"")</f>
        <v>14007284.68</v>
      </c>
    </row>
    <row r="623" ht="22.5" customHeight="1">
      <c r="A623" s="47">
        <v>50672.0</v>
      </c>
      <c r="B623" s="48" t="str">
        <f t="shared" si="1"/>
        <v>2038-09</v>
      </c>
      <c r="C623" s="49">
        <f>SUMIF(despesas_recorrentes!C:C, "&gt;="&amp;A623,despesas_recorrentes!B:B) 
+SUMIF(despesas_recorrentes!C:C, "",despesas_recorrentes!B:B)
-despesas_recorrentes!$B$12
+IF(SUMIF(gasto_cartao!E:E,saldo!B623,gasto_cartao!B:B)&gt;despesas_recorrentes!$B$12, SUMIF(gasto_cartao!E:E,saldo!B623,gasto_cartao!B:B),despesas_recorrentes!$B$12)</f>
        <v>34013</v>
      </c>
      <c r="D623" s="51">
        <f>SUM(receitas_recorrentes!B:B)+SUMIF(receitas_pontuais!E:E,B623,receitas_pontuais!B:B)</f>
        <v>56919</v>
      </c>
      <c r="E623" s="51">
        <f t="shared" si="2"/>
        <v>22906</v>
      </c>
      <c r="F623" s="53">
        <f>IFERROR(SUMIF(contas!G:G, B623, contas!B:B),0)</f>
        <v>0</v>
      </c>
      <c r="G623" s="51">
        <f>SUMIFS(previsoes!D:D, previsoes!E:E, "&lt;=" &amp; EOMONTH(DATEVALUE(B623&amp;"-01"),0), previsoes!F:F, "&gt;=" &amp; DATEVALUE(B623&amp;"-01"))</f>
        <v>0</v>
      </c>
      <c r="H623" s="52">
        <f t="shared" si="5"/>
        <v>160491.8958</v>
      </c>
      <c r="I623" s="49">
        <f t="shared" si="3"/>
        <v>22906</v>
      </c>
      <c r="J623" s="52">
        <f>IF(A623&lt;&gt;"",SUMIFS(metas!N:N, metas!E:E, "&gt;=" &amp; DATEVALUE(B623&amp;"-01"),metas!D:D, "&lt;=" &amp; DATEVALUE(B623&amp;"-01")),"")</f>
        <v>3182.813937</v>
      </c>
      <c r="K623" s="49">
        <f t="shared" si="4"/>
        <v>19723.18606</v>
      </c>
      <c r="L623" s="49">
        <f t="shared" si="6"/>
        <v>11631705.07</v>
      </c>
      <c r="M623" s="49">
        <f>IF(A623&lt;&gt;"",IF(COUNTIF(investimento!F:F, B623) &gt; 0, SUM(investimento!B:B)+I623, M622+I623),"")</f>
        <v>14030190.68</v>
      </c>
    </row>
    <row r="624" ht="22.5" customHeight="1">
      <c r="A624" s="47">
        <v>50673.0</v>
      </c>
      <c r="B624" s="48" t="str">
        <f t="shared" si="1"/>
        <v>2038-09</v>
      </c>
      <c r="C624" s="49">
        <f>SUMIF(despesas_recorrentes!C:C, "&gt;="&amp;A624,despesas_recorrentes!B:B) 
+SUMIF(despesas_recorrentes!C:C, "",despesas_recorrentes!B:B)
-despesas_recorrentes!$B$12
+IF(SUMIF(gasto_cartao!E:E,saldo!B624,gasto_cartao!B:B)&gt;despesas_recorrentes!$B$12, SUMIF(gasto_cartao!E:E,saldo!B624,gasto_cartao!B:B),despesas_recorrentes!$B$12)</f>
        <v>34013</v>
      </c>
      <c r="D624" s="51">
        <f>SUM(receitas_recorrentes!B:B)+SUMIF(receitas_pontuais!E:E,B624,receitas_pontuais!B:B)</f>
        <v>56919</v>
      </c>
      <c r="E624" s="51">
        <f t="shared" si="2"/>
        <v>22906</v>
      </c>
      <c r="F624" s="53">
        <f>IFERROR(SUMIF(contas!G:G, B624, contas!B:B),0)</f>
        <v>0</v>
      </c>
      <c r="G624" s="51">
        <f>SUMIFS(previsoes!D:D, previsoes!E:E, "&lt;=" &amp; EOMONTH(DATEVALUE(B624&amp;"-01"),0), previsoes!F:F, "&gt;=" &amp; DATEVALUE(B624&amp;"-01"))</f>
        <v>0</v>
      </c>
      <c r="H624" s="52">
        <f t="shared" si="5"/>
        <v>160491.8958</v>
      </c>
      <c r="I624" s="49">
        <f t="shared" si="3"/>
        <v>22906</v>
      </c>
      <c r="J624" s="52">
        <f>IF(A624&lt;&gt;"",SUMIFS(metas!N:N, metas!E:E, "&gt;=" &amp; DATEVALUE(B624&amp;"-01"),metas!D:D, "&lt;=" &amp; DATEVALUE(B624&amp;"-01")),"")</f>
        <v>3182.813937</v>
      </c>
      <c r="K624" s="49">
        <f t="shared" si="4"/>
        <v>19723.18606</v>
      </c>
      <c r="L624" s="49">
        <f t="shared" si="6"/>
        <v>11651428.26</v>
      </c>
      <c r="M624" s="49">
        <f>IF(A624&lt;&gt;"",IF(COUNTIF(investimento!F:F, B624) &gt; 0, SUM(investimento!B:B)+I624, M623+I624),"")</f>
        <v>14053096.68</v>
      </c>
    </row>
    <row r="625" ht="22.5" customHeight="1">
      <c r="A625" s="47">
        <v>50674.0</v>
      </c>
      <c r="B625" s="48" t="str">
        <f t="shared" si="1"/>
        <v>2038-09</v>
      </c>
      <c r="C625" s="49">
        <f>SUMIF(despesas_recorrentes!C:C, "&gt;="&amp;A625,despesas_recorrentes!B:B) 
+SUMIF(despesas_recorrentes!C:C, "",despesas_recorrentes!B:B)
-despesas_recorrentes!$B$12
+IF(SUMIF(gasto_cartao!E:E,saldo!B625,gasto_cartao!B:B)&gt;despesas_recorrentes!$B$12, SUMIF(gasto_cartao!E:E,saldo!B625,gasto_cartao!B:B),despesas_recorrentes!$B$12)</f>
        <v>34013</v>
      </c>
      <c r="D625" s="51">
        <f>SUM(receitas_recorrentes!B:B)+SUMIF(receitas_pontuais!E:E,B625,receitas_pontuais!B:B)</f>
        <v>56919</v>
      </c>
      <c r="E625" s="51">
        <f t="shared" si="2"/>
        <v>22906</v>
      </c>
      <c r="F625" s="53">
        <f>IFERROR(SUMIF(contas!G:G, B625, contas!B:B),0)</f>
        <v>0</v>
      </c>
      <c r="G625" s="51">
        <f>SUMIFS(previsoes!D:D, previsoes!E:E, "&lt;=" &amp; EOMONTH(DATEVALUE(B625&amp;"-01"),0), previsoes!F:F, "&gt;=" &amp; DATEVALUE(B625&amp;"-01"))</f>
        <v>0</v>
      </c>
      <c r="H625" s="52">
        <f t="shared" si="5"/>
        <v>160491.8958</v>
      </c>
      <c r="I625" s="49">
        <f t="shared" si="3"/>
        <v>22906</v>
      </c>
      <c r="J625" s="52">
        <f>IF(A625&lt;&gt;"",SUMIFS(metas!N:N, metas!E:E, "&gt;=" &amp; DATEVALUE(B625&amp;"-01"),metas!D:D, "&lt;=" &amp; DATEVALUE(B625&amp;"-01")),"")</f>
        <v>3182.813937</v>
      </c>
      <c r="K625" s="49">
        <f t="shared" si="4"/>
        <v>19723.18606</v>
      </c>
      <c r="L625" s="49">
        <f t="shared" si="6"/>
        <v>11671151.45</v>
      </c>
      <c r="M625" s="49">
        <f>IF(A625&lt;&gt;"",IF(COUNTIF(investimento!F:F, B625) &gt; 0, SUM(investimento!B:B)+I625, M624+I625),"")</f>
        <v>14076002.68</v>
      </c>
    </row>
    <row r="626" ht="22.5" customHeight="1">
      <c r="A626" s="47">
        <v>50675.0</v>
      </c>
      <c r="B626" s="48" t="str">
        <f t="shared" si="1"/>
        <v>2038-09</v>
      </c>
      <c r="C626" s="49">
        <f>SUMIF(despesas_recorrentes!C:C, "&gt;="&amp;A626,despesas_recorrentes!B:B) 
+SUMIF(despesas_recorrentes!C:C, "",despesas_recorrentes!B:B)
-despesas_recorrentes!$B$12
+IF(SUMIF(gasto_cartao!E:E,saldo!B626,gasto_cartao!B:B)&gt;despesas_recorrentes!$B$12, SUMIF(gasto_cartao!E:E,saldo!B626,gasto_cartao!B:B),despesas_recorrentes!$B$12)</f>
        <v>34013</v>
      </c>
      <c r="D626" s="51">
        <f>SUM(receitas_recorrentes!B:B)+SUMIF(receitas_pontuais!E:E,B626,receitas_pontuais!B:B)</f>
        <v>56919</v>
      </c>
      <c r="E626" s="51">
        <f t="shared" si="2"/>
        <v>22906</v>
      </c>
      <c r="F626" s="53">
        <f>IFERROR(SUMIF(contas!G:G, B626, contas!B:B),0)</f>
        <v>0</v>
      </c>
      <c r="G626" s="51">
        <f>SUMIFS(previsoes!D:D, previsoes!E:E, "&lt;=" &amp; EOMONTH(DATEVALUE(B626&amp;"-01"),0), previsoes!F:F, "&gt;=" &amp; DATEVALUE(B626&amp;"-01"))</f>
        <v>0</v>
      </c>
      <c r="H626" s="52">
        <f t="shared" si="5"/>
        <v>160491.8958</v>
      </c>
      <c r="I626" s="49">
        <f t="shared" si="3"/>
        <v>22906</v>
      </c>
      <c r="J626" s="52">
        <f>IF(A626&lt;&gt;"",SUMIFS(metas!N:N, metas!E:E, "&gt;=" &amp; DATEVALUE(B626&amp;"-01"),metas!D:D, "&lt;=" &amp; DATEVALUE(B626&amp;"-01")),"")</f>
        <v>3182.813937</v>
      </c>
      <c r="K626" s="49">
        <f t="shared" si="4"/>
        <v>19723.18606</v>
      </c>
      <c r="L626" s="49">
        <f t="shared" si="6"/>
        <v>11690874.63</v>
      </c>
      <c r="M626" s="49">
        <f>IF(A626&lt;&gt;"",IF(COUNTIF(investimento!F:F, B626) &gt; 0, SUM(investimento!B:B)+I626, M625+I626),"")</f>
        <v>14098908.68</v>
      </c>
    </row>
    <row r="627" ht="22.5" customHeight="1">
      <c r="A627" s="47">
        <v>50676.0</v>
      </c>
      <c r="B627" s="48" t="str">
        <f t="shared" si="1"/>
        <v>2038-09</v>
      </c>
      <c r="C627" s="49">
        <f>SUMIF(despesas_recorrentes!C:C, "&gt;="&amp;A627,despesas_recorrentes!B:B) 
+SUMIF(despesas_recorrentes!C:C, "",despesas_recorrentes!B:B)
-despesas_recorrentes!$B$12
+IF(SUMIF(gasto_cartao!E:E,saldo!B627,gasto_cartao!B:B)&gt;despesas_recorrentes!$B$12, SUMIF(gasto_cartao!E:E,saldo!B627,gasto_cartao!B:B),despesas_recorrentes!$B$12)</f>
        <v>34013</v>
      </c>
      <c r="D627" s="51">
        <f>SUM(receitas_recorrentes!B:B)+SUMIF(receitas_pontuais!E:E,B627,receitas_pontuais!B:B)</f>
        <v>56919</v>
      </c>
      <c r="E627" s="51">
        <f t="shared" si="2"/>
        <v>22906</v>
      </c>
      <c r="F627" s="53">
        <f>IFERROR(SUMIF(contas!G:G, B627, contas!B:B),0)</f>
        <v>0</v>
      </c>
      <c r="G627" s="51">
        <f>SUMIFS(previsoes!D:D, previsoes!E:E, "&lt;=" &amp; EOMONTH(DATEVALUE(B627&amp;"-01"),0), previsoes!F:F, "&gt;=" &amp; DATEVALUE(B627&amp;"-01"))</f>
        <v>0</v>
      </c>
      <c r="H627" s="52">
        <f t="shared" si="5"/>
        <v>160491.8958</v>
      </c>
      <c r="I627" s="49">
        <f t="shared" si="3"/>
        <v>22906</v>
      </c>
      <c r="J627" s="52">
        <f>IF(A627&lt;&gt;"",SUMIFS(metas!N:N, metas!E:E, "&gt;=" &amp; DATEVALUE(B627&amp;"-01"),metas!D:D, "&lt;=" &amp; DATEVALUE(B627&amp;"-01")),"")</f>
        <v>3182.813937</v>
      </c>
      <c r="K627" s="49">
        <f t="shared" si="4"/>
        <v>19723.18606</v>
      </c>
      <c r="L627" s="49">
        <f t="shared" si="6"/>
        <v>11710597.82</v>
      </c>
      <c r="M627" s="49">
        <f>IF(A627&lt;&gt;"",IF(COUNTIF(investimento!F:F, B627) &gt; 0, SUM(investimento!B:B)+I627, M626+I627),"")</f>
        <v>14121814.68</v>
      </c>
    </row>
    <row r="628" ht="22.5" customHeight="1">
      <c r="A628" s="47">
        <v>50677.0</v>
      </c>
      <c r="B628" s="48" t="str">
        <f t="shared" si="1"/>
        <v>2038-09</v>
      </c>
      <c r="C628" s="49">
        <f>SUMIF(despesas_recorrentes!C:C, "&gt;="&amp;A628,despesas_recorrentes!B:B) 
+SUMIF(despesas_recorrentes!C:C, "",despesas_recorrentes!B:B)
-despesas_recorrentes!$B$12
+IF(SUMIF(gasto_cartao!E:E,saldo!B628,gasto_cartao!B:B)&gt;despesas_recorrentes!$B$12, SUMIF(gasto_cartao!E:E,saldo!B628,gasto_cartao!B:B),despesas_recorrentes!$B$12)</f>
        <v>34013</v>
      </c>
      <c r="D628" s="51">
        <f>SUM(receitas_recorrentes!B:B)+SUMIF(receitas_pontuais!E:E,B628,receitas_pontuais!B:B)</f>
        <v>56919</v>
      </c>
      <c r="E628" s="51">
        <f t="shared" si="2"/>
        <v>22906</v>
      </c>
      <c r="F628" s="53">
        <f>IFERROR(SUMIF(contas!G:G, B628, contas!B:B),0)</f>
        <v>0</v>
      </c>
      <c r="G628" s="51">
        <f>SUMIFS(previsoes!D:D, previsoes!E:E, "&lt;=" &amp; EOMONTH(DATEVALUE(B628&amp;"-01"),0), previsoes!F:F, "&gt;=" &amp; DATEVALUE(B628&amp;"-01"))</f>
        <v>0</v>
      </c>
      <c r="H628" s="52">
        <f t="shared" si="5"/>
        <v>160491.8958</v>
      </c>
      <c r="I628" s="49">
        <f t="shared" si="3"/>
        <v>22906</v>
      </c>
      <c r="J628" s="52">
        <f>IF(A628&lt;&gt;"",SUMIFS(metas!N:N, metas!E:E, "&gt;=" &amp; DATEVALUE(B628&amp;"-01"),metas!D:D, "&lt;=" &amp; DATEVALUE(B628&amp;"-01")),"")</f>
        <v>3182.813937</v>
      </c>
      <c r="K628" s="49">
        <f t="shared" si="4"/>
        <v>19723.18606</v>
      </c>
      <c r="L628" s="49">
        <f t="shared" si="6"/>
        <v>11730321</v>
      </c>
      <c r="M628" s="49">
        <f>IF(A628&lt;&gt;"",IF(COUNTIF(investimento!F:F, B628) &gt; 0, SUM(investimento!B:B)+I628, M627+I628),"")</f>
        <v>14144720.68</v>
      </c>
    </row>
    <row r="629" ht="22.5" customHeight="1">
      <c r="A629" s="47">
        <v>50678.0</v>
      </c>
      <c r="B629" s="48" t="str">
        <f t="shared" si="1"/>
        <v>2038-09</v>
      </c>
      <c r="C629" s="49">
        <f>SUMIF(despesas_recorrentes!C:C, "&gt;="&amp;A629,despesas_recorrentes!B:B) 
+SUMIF(despesas_recorrentes!C:C, "",despesas_recorrentes!B:B)
-despesas_recorrentes!$B$12
+IF(SUMIF(gasto_cartao!E:E,saldo!B629,gasto_cartao!B:B)&gt;despesas_recorrentes!$B$12, SUMIF(gasto_cartao!E:E,saldo!B629,gasto_cartao!B:B),despesas_recorrentes!$B$12)</f>
        <v>34013</v>
      </c>
      <c r="D629" s="51">
        <f>SUM(receitas_recorrentes!B:B)+SUMIF(receitas_pontuais!E:E,B629,receitas_pontuais!B:B)</f>
        <v>56919</v>
      </c>
      <c r="E629" s="51">
        <f t="shared" si="2"/>
        <v>22906</v>
      </c>
      <c r="F629" s="53">
        <f>IFERROR(SUMIF(contas!G:G, B629, contas!B:B),0)</f>
        <v>0</v>
      </c>
      <c r="G629" s="51">
        <f>SUMIFS(previsoes!D:D, previsoes!E:E, "&lt;=" &amp; EOMONTH(DATEVALUE(B629&amp;"-01"),0), previsoes!F:F, "&gt;=" &amp; DATEVALUE(B629&amp;"-01"))</f>
        <v>0</v>
      </c>
      <c r="H629" s="52">
        <f t="shared" si="5"/>
        <v>160491.8958</v>
      </c>
      <c r="I629" s="49">
        <f t="shared" si="3"/>
        <v>22906</v>
      </c>
      <c r="J629" s="52">
        <f>IF(A629&lt;&gt;"",SUMIFS(metas!N:N, metas!E:E, "&gt;=" &amp; DATEVALUE(B629&amp;"-01"),metas!D:D, "&lt;=" &amp; DATEVALUE(B629&amp;"-01")),"")</f>
        <v>3182.813937</v>
      </c>
      <c r="K629" s="49">
        <f t="shared" si="4"/>
        <v>19723.18606</v>
      </c>
      <c r="L629" s="49">
        <f t="shared" si="6"/>
        <v>11750044.19</v>
      </c>
      <c r="M629" s="49">
        <f>IF(A629&lt;&gt;"",IF(COUNTIF(investimento!F:F, B629) &gt; 0, SUM(investimento!B:B)+I629, M628+I629),"")</f>
        <v>14167626.68</v>
      </c>
    </row>
    <row r="630" ht="22.5" customHeight="1">
      <c r="A630" s="47">
        <v>50679.0</v>
      </c>
      <c r="B630" s="48" t="str">
        <f t="shared" si="1"/>
        <v>2038-10</v>
      </c>
      <c r="C630" s="49">
        <f>SUMIF(despesas_recorrentes!C:C, "&gt;="&amp;A630,despesas_recorrentes!B:B) 
+SUMIF(despesas_recorrentes!C:C, "",despesas_recorrentes!B:B)
-despesas_recorrentes!$B$12
+IF(SUMIF(gasto_cartao!E:E,saldo!B630,gasto_cartao!B:B)&gt;despesas_recorrentes!$B$12, SUMIF(gasto_cartao!E:E,saldo!B630,gasto_cartao!B:B),despesas_recorrentes!$B$12)</f>
        <v>34013</v>
      </c>
      <c r="D630" s="51">
        <f>SUM(receitas_recorrentes!B:B)+SUMIF(receitas_pontuais!E:E,B630,receitas_pontuais!B:B)</f>
        <v>56919</v>
      </c>
      <c r="E630" s="51">
        <f t="shared" si="2"/>
        <v>22906</v>
      </c>
      <c r="F630" s="53">
        <f>IFERROR(SUMIF(contas!G:G, B630, contas!B:B),0)</f>
        <v>0</v>
      </c>
      <c r="G630" s="51">
        <f>SUMIFS(previsoes!D:D, previsoes!E:E, "&lt;=" &amp; EOMONTH(DATEVALUE(B630&amp;"-01"),0), previsoes!F:F, "&gt;=" &amp; DATEVALUE(B630&amp;"-01"))</f>
        <v>0</v>
      </c>
      <c r="H630" s="52">
        <f t="shared" si="5"/>
        <v>160491.8958</v>
      </c>
      <c r="I630" s="49">
        <f t="shared" si="3"/>
        <v>22906</v>
      </c>
      <c r="J630" s="52">
        <f>IF(A630&lt;&gt;"",SUMIFS(metas!N:N, metas!E:E, "&gt;=" &amp; DATEVALUE(B630&amp;"-01"),metas!D:D, "&lt;=" &amp; DATEVALUE(B630&amp;"-01")),"")</f>
        <v>3182.813937</v>
      </c>
      <c r="K630" s="49">
        <f t="shared" si="4"/>
        <v>19723.18606</v>
      </c>
      <c r="L630" s="49">
        <f t="shared" si="6"/>
        <v>11769767.38</v>
      </c>
      <c r="M630" s="49">
        <f>IF(A630&lt;&gt;"",IF(COUNTIF(investimento!F:F, B630) &gt; 0, SUM(investimento!B:B)+I630, M629+I630),"")</f>
        <v>14190532.68</v>
      </c>
    </row>
    <row r="631" ht="22.5" customHeight="1">
      <c r="A631" s="47">
        <v>50680.0</v>
      </c>
      <c r="B631" s="48" t="str">
        <f t="shared" si="1"/>
        <v>2038-10</v>
      </c>
      <c r="C631" s="49">
        <f>SUMIF(despesas_recorrentes!C:C, "&gt;="&amp;A631,despesas_recorrentes!B:B) 
+SUMIF(despesas_recorrentes!C:C, "",despesas_recorrentes!B:B)
-despesas_recorrentes!$B$12
+IF(SUMIF(gasto_cartao!E:E,saldo!B631,gasto_cartao!B:B)&gt;despesas_recorrentes!$B$12, SUMIF(gasto_cartao!E:E,saldo!B631,gasto_cartao!B:B),despesas_recorrentes!$B$12)</f>
        <v>34013</v>
      </c>
      <c r="D631" s="51">
        <f>SUM(receitas_recorrentes!B:B)+SUMIF(receitas_pontuais!E:E,B631,receitas_pontuais!B:B)</f>
        <v>56919</v>
      </c>
      <c r="E631" s="51">
        <f t="shared" si="2"/>
        <v>22906</v>
      </c>
      <c r="F631" s="53">
        <f>IFERROR(SUMIF(contas!G:G, B631, contas!B:B),0)</f>
        <v>0</v>
      </c>
      <c r="G631" s="51">
        <f>SUMIFS(previsoes!D:D, previsoes!E:E, "&lt;=" &amp; EOMONTH(DATEVALUE(B631&amp;"-01"),0), previsoes!F:F, "&gt;=" &amp; DATEVALUE(B631&amp;"-01"))</f>
        <v>0</v>
      </c>
      <c r="H631" s="52">
        <f t="shared" si="5"/>
        <v>160491.8958</v>
      </c>
      <c r="I631" s="49">
        <f t="shared" si="3"/>
        <v>22906</v>
      </c>
      <c r="J631" s="52">
        <f>IF(A631&lt;&gt;"",SUMIFS(metas!N:N, metas!E:E, "&gt;=" &amp; DATEVALUE(B631&amp;"-01"),metas!D:D, "&lt;=" &amp; DATEVALUE(B631&amp;"-01")),"")</f>
        <v>3182.813937</v>
      </c>
      <c r="K631" s="49">
        <f t="shared" si="4"/>
        <v>19723.18606</v>
      </c>
      <c r="L631" s="49">
        <f t="shared" si="6"/>
        <v>11789490.56</v>
      </c>
      <c r="M631" s="49">
        <f>IF(A631&lt;&gt;"",IF(COUNTIF(investimento!F:F, B631) &gt; 0, SUM(investimento!B:B)+I631, M630+I631),"")</f>
        <v>14213438.68</v>
      </c>
    </row>
    <row r="632" ht="22.5" customHeight="1">
      <c r="A632" s="47">
        <v>50681.0</v>
      </c>
      <c r="B632" s="48" t="str">
        <f t="shared" si="1"/>
        <v>2038-10</v>
      </c>
      <c r="C632" s="49">
        <f>SUMIF(despesas_recorrentes!C:C, "&gt;="&amp;A632,despesas_recorrentes!B:B) 
+SUMIF(despesas_recorrentes!C:C, "",despesas_recorrentes!B:B)
-despesas_recorrentes!$B$12
+IF(SUMIF(gasto_cartao!E:E,saldo!B632,gasto_cartao!B:B)&gt;despesas_recorrentes!$B$12, SUMIF(gasto_cartao!E:E,saldo!B632,gasto_cartao!B:B),despesas_recorrentes!$B$12)</f>
        <v>34013</v>
      </c>
      <c r="D632" s="51">
        <f>SUM(receitas_recorrentes!B:B)+SUMIF(receitas_pontuais!E:E,B632,receitas_pontuais!B:B)</f>
        <v>56919</v>
      </c>
      <c r="E632" s="51">
        <f t="shared" si="2"/>
        <v>22906</v>
      </c>
      <c r="F632" s="53">
        <f>IFERROR(SUMIF(contas!G:G, B632, contas!B:B),0)</f>
        <v>0</v>
      </c>
      <c r="G632" s="51">
        <f>SUMIFS(previsoes!D:D, previsoes!E:E, "&lt;=" &amp; EOMONTH(DATEVALUE(B632&amp;"-01"),0), previsoes!F:F, "&gt;=" &amp; DATEVALUE(B632&amp;"-01"))</f>
        <v>0</v>
      </c>
      <c r="H632" s="52">
        <f t="shared" si="5"/>
        <v>160491.8958</v>
      </c>
      <c r="I632" s="49">
        <f t="shared" si="3"/>
        <v>22906</v>
      </c>
      <c r="J632" s="52">
        <f>IF(A632&lt;&gt;"",SUMIFS(metas!N:N, metas!E:E, "&gt;=" &amp; DATEVALUE(B632&amp;"-01"),metas!D:D, "&lt;=" &amp; DATEVALUE(B632&amp;"-01")),"")</f>
        <v>3182.813937</v>
      </c>
      <c r="K632" s="49">
        <f t="shared" si="4"/>
        <v>19723.18606</v>
      </c>
      <c r="L632" s="49">
        <f t="shared" si="6"/>
        <v>11809213.75</v>
      </c>
      <c r="M632" s="49">
        <f>IF(A632&lt;&gt;"",IF(COUNTIF(investimento!F:F, B632) &gt; 0, SUM(investimento!B:B)+I632, M631+I632),"")</f>
        <v>14236344.68</v>
      </c>
    </row>
    <row r="633" ht="22.5" customHeight="1">
      <c r="A633" s="47">
        <v>50682.0</v>
      </c>
      <c r="B633" s="48" t="str">
        <f t="shared" si="1"/>
        <v>2038-10</v>
      </c>
      <c r="C633" s="49">
        <f>SUMIF(despesas_recorrentes!C:C, "&gt;="&amp;A633,despesas_recorrentes!B:B) 
+SUMIF(despesas_recorrentes!C:C, "",despesas_recorrentes!B:B)
-despesas_recorrentes!$B$12
+IF(SUMIF(gasto_cartao!E:E,saldo!B633,gasto_cartao!B:B)&gt;despesas_recorrentes!$B$12, SUMIF(gasto_cartao!E:E,saldo!B633,gasto_cartao!B:B),despesas_recorrentes!$B$12)</f>
        <v>34013</v>
      </c>
      <c r="D633" s="51">
        <f>SUM(receitas_recorrentes!B:B)+SUMIF(receitas_pontuais!E:E,B633,receitas_pontuais!B:B)</f>
        <v>56919</v>
      </c>
      <c r="E633" s="51">
        <f t="shared" si="2"/>
        <v>22906</v>
      </c>
      <c r="F633" s="53">
        <f>IFERROR(SUMIF(contas!G:G, B633, contas!B:B),0)</f>
        <v>0</v>
      </c>
      <c r="G633" s="51">
        <f>SUMIFS(previsoes!D:D, previsoes!E:E, "&lt;=" &amp; EOMONTH(DATEVALUE(B633&amp;"-01"),0), previsoes!F:F, "&gt;=" &amp; DATEVALUE(B633&amp;"-01"))</f>
        <v>0</v>
      </c>
      <c r="H633" s="52">
        <f t="shared" si="5"/>
        <v>160491.8958</v>
      </c>
      <c r="I633" s="49">
        <f t="shared" si="3"/>
        <v>22906</v>
      </c>
      <c r="J633" s="52">
        <f>IF(A633&lt;&gt;"",SUMIFS(metas!N:N, metas!E:E, "&gt;=" &amp; DATEVALUE(B633&amp;"-01"),metas!D:D, "&lt;=" &amp; DATEVALUE(B633&amp;"-01")),"")</f>
        <v>3182.813937</v>
      </c>
      <c r="K633" s="49">
        <f t="shared" si="4"/>
        <v>19723.18606</v>
      </c>
      <c r="L633" s="49">
        <f t="shared" si="6"/>
        <v>11828936.93</v>
      </c>
      <c r="M633" s="49">
        <f>IF(A633&lt;&gt;"",IF(COUNTIF(investimento!F:F, B633) &gt; 0, SUM(investimento!B:B)+I633, M632+I633),"")</f>
        <v>14259250.68</v>
      </c>
    </row>
    <row r="634" ht="22.5" customHeight="1">
      <c r="A634" s="47">
        <v>50683.0</v>
      </c>
      <c r="B634" s="48" t="str">
        <f t="shared" si="1"/>
        <v>2038-10</v>
      </c>
      <c r="C634" s="49">
        <f>SUMIF(despesas_recorrentes!C:C, "&gt;="&amp;A634,despesas_recorrentes!B:B) 
+SUMIF(despesas_recorrentes!C:C, "",despesas_recorrentes!B:B)
-despesas_recorrentes!$B$12
+IF(SUMIF(gasto_cartao!E:E,saldo!B634,gasto_cartao!B:B)&gt;despesas_recorrentes!$B$12, SUMIF(gasto_cartao!E:E,saldo!B634,gasto_cartao!B:B),despesas_recorrentes!$B$12)</f>
        <v>34013</v>
      </c>
      <c r="D634" s="51">
        <f>SUM(receitas_recorrentes!B:B)+SUMIF(receitas_pontuais!E:E,B634,receitas_pontuais!B:B)</f>
        <v>56919</v>
      </c>
      <c r="E634" s="51">
        <f t="shared" si="2"/>
        <v>22906</v>
      </c>
      <c r="F634" s="53">
        <f>IFERROR(SUMIF(contas!G:G, B634, contas!B:B),0)</f>
        <v>0</v>
      </c>
      <c r="G634" s="51">
        <f>SUMIFS(previsoes!D:D, previsoes!E:E, "&lt;=" &amp; EOMONTH(DATEVALUE(B634&amp;"-01"),0), previsoes!F:F, "&gt;=" &amp; DATEVALUE(B634&amp;"-01"))</f>
        <v>0</v>
      </c>
      <c r="H634" s="52">
        <f t="shared" si="5"/>
        <v>160491.8958</v>
      </c>
      <c r="I634" s="49">
        <f t="shared" si="3"/>
        <v>22906</v>
      </c>
      <c r="J634" s="52">
        <f>IF(A634&lt;&gt;"",SUMIFS(metas!N:N, metas!E:E, "&gt;=" &amp; DATEVALUE(B634&amp;"-01"),metas!D:D, "&lt;=" &amp; DATEVALUE(B634&amp;"-01")),"")</f>
        <v>3182.813937</v>
      </c>
      <c r="K634" s="49">
        <f t="shared" si="4"/>
        <v>19723.18606</v>
      </c>
      <c r="L634" s="49">
        <f t="shared" si="6"/>
        <v>11848660.12</v>
      </c>
      <c r="M634" s="49">
        <f>IF(A634&lt;&gt;"",IF(COUNTIF(investimento!F:F, B634) &gt; 0, SUM(investimento!B:B)+I634, M633+I634),"")</f>
        <v>14282156.68</v>
      </c>
    </row>
    <row r="635" ht="22.5" customHeight="1">
      <c r="A635" s="47">
        <v>50684.0</v>
      </c>
      <c r="B635" s="48" t="str">
        <f t="shared" si="1"/>
        <v>2038-10</v>
      </c>
      <c r="C635" s="49">
        <f>SUMIF(despesas_recorrentes!C:C, "&gt;="&amp;A635,despesas_recorrentes!B:B) 
+SUMIF(despesas_recorrentes!C:C, "",despesas_recorrentes!B:B)
-despesas_recorrentes!$B$12
+IF(SUMIF(gasto_cartao!E:E,saldo!B635,gasto_cartao!B:B)&gt;despesas_recorrentes!$B$12, SUMIF(gasto_cartao!E:E,saldo!B635,gasto_cartao!B:B),despesas_recorrentes!$B$12)</f>
        <v>34013</v>
      </c>
      <c r="D635" s="51">
        <f>SUM(receitas_recorrentes!B:B)+SUMIF(receitas_pontuais!E:E,B635,receitas_pontuais!B:B)</f>
        <v>56919</v>
      </c>
      <c r="E635" s="51">
        <f t="shared" si="2"/>
        <v>22906</v>
      </c>
      <c r="F635" s="53">
        <f>IFERROR(SUMIF(contas!G:G, B635, contas!B:B),0)</f>
        <v>0</v>
      </c>
      <c r="G635" s="51">
        <f>SUMIFS(previsoes!D:D, previsoes!E:E, "&lt;=" &amp; EOMONTH(DATEVALUE(B635&amp;"-01"),0), previsoes!F:F, "&gt;=" &amp; DATEVALUE(B635&amp;"-01"))</f>
        <v>0</v>
      </c>
      <c r="H635" s="52">
        <f t="shared" si="5"/>
        <v>160491.8958</v>
      </c>
      <c r="I635" s="49">
        <f t="shared" si="3"/>
        <v>22906</v>
      </c>
      <c r="J635" s="52">
        <f>IF(A635&lt;&gt;"",SUMIFS(metas!N:N, metas!E:E, "&gt;=" &amp; DATEVALUE(B635&amp;"-01"),metas!D:D, "&lt;=" &amp; DATEVALUE(B635&amp;"-01")),"")</f>
        <v>3182.813937</v>
      </c>
      <c r="K635" s="49">
        <f t="shared" si="4"/>
        <v>19723.18606</v>
      </c>
      <c r="L635" s="49">
        <f t="shared" si="6"/>
        <v>11868383.31</v>
      </c>
      <c r="M635" s="49">
        <f>IF(A635&lt;&gt;"",IF(COUNTIF(investimento!F:F, B635) &gt; 0, SUM(investimento!B:B)+I635, M634+I635),"")</f>
        <v>14305062.68</v>
      </c>
    </row>
    <row r="636" ht="22.5" customHeight="1">
      <c r="A636" s="47">
        <v>50685.0</v>
      </c>
      <c r="B636" s="48" t="str">
        <f t="shared" si="1"/>
        <v>2038-10</v>
      </c>
      <c r="C636" s="49">
        <f>SUMIF(despesas_recorrentes!C:C, "&gt;="&amp;A636,despesas_recorrentes!B:B) 
+SUMIF(despesas_recorrentes!C:C, "",despesas_recorrentes!B:B)
-despesas_recorrentes!$B$12
+IF(SUMIF(gasto_cartao!E:E,saldo!B636,gasto_cartao!B:B)&gt;despesas_recorrentes!$B$12, SUMIF(gasto_cartao!E:E,saldo!B636,gasto_cartao!B:B),despesas_recorrentes!$B$12)</f>
        <v>34013</v>
      </c>
      <c r="D636" s="51">
        <f>SUM(receitas_recorrentes!B:B)+SUMIF(receitas_pontuais!E:E,B636,receitas_pontuais!B:B)</f>
        <v>56919</v>
      </c>
      <c r="E636" s="51">
        <f t="shared" si="2"/>
        <v>22906</v>
      </c>
      <c r="F636" s="53">
        <f>IFERROR(SUMIF(contas!G:G, B636, contas!B:B),0)</f>
        <v>0</v>
      </c>
      <c r="G636" s="51">
        <f>SUMIFS(previsoes!D:D, previsoes!E:E, "&lt;=" &amp; EOMONTH(DATEVALUE(B636&amp;"-01"),0), previsoes!F:F, "&gt;=" &amp; DATEVALUE(B636&amp;"-01"))</f>
        <v>0</v>
      </c>
      <c r="H636" s="52">
        <f t="shared" si="5"/>
        <v>160491.8958</v>
      </c>
      <c r="I636" s="49">
        <f t="shared" si="3"/>
        <v>22906</v>
      </c>
      <c r="J636" s="52">
        <f>IF(A636&lt;&gt;"",SUMIFS(metas!N:N, metas!E:E, "&gt;=" &amp; DATEVALUE(B636&amp;"-01"),metas!D:D, "&lt;=" &amp; DATEVALUE(B636&amp;"-01")),"")</f>
        <v>3182.813937</v>
      </c>
      <c r="K636" s="49">
        <f t="shared" si="4"/>
        <v>19723.18606</v>
      </c>
      <c r="L636" s="49">
        <f t="shared" si="6"/>
        <v>11888106.49</v>
      </c>
      <c r="M636" s="49">
        <f>IF(A636&lt;&gt;"",IF(COUNTIF(investimento!F:F, B636) &gt; 0, SUM(investimento!B:B)+I636, M635+I636),"")</f>
        <v>14327968.68</v>
      </c>
    </row>
    <row r="637" ht="22.5" customHeight="1">
      <c r="A637" s="47">
        <v>50686.0</v>
      </c>
      <c r="B637" s="48" t="str">
        <f t="shared" si="1"/>
        <v>2038-10</v>
      </c>
      <c r="C637" s="49">
        <f>SUMIF(despesas_recorrentes!C:C, "&gt;="&amp;A637,despesas_recorrentes!B:B) 
+SUMIF(despesas_recorrentes!C:C, "",despesas_recorrentes!B:B)
-despesas_recorrentes!$B$12
+IF(SUMIF(gasto_cartao!E:E,saldo!B637,gasto_cartao!B:B)&gt;despesas_recorrentes!$B$12, SUMIF(gasto_cartao!E:E,saldo!B637,gasto_cartao!B:B),despesas_recorrentes!$B$12)</f>
        <v>34013</v>
      </c>
      <c r="D637" s="51">
        <f>SUM(receitas_recorrentes!B:B)+SUMIF(receitas_pontuais!E:E,B637,receitas_pontuais!B:B)</f>
        <v>56919</v>
      </c>
      <c r="E637" s="51">
        <f t="shared" si="2"/>
        <v>22906</v>
      </c>
      <c r="F637" s="53">
        <f>IFERROR(SUMIF(contas!G:G, B637, contas!B:B),0)</f>
        <v>0</v>
      </c>
      <c r="G637" s="51">
        <f>SUMIFS(previsoes!D:D, previsoes!E:E, "&lt;=" &amp; EOMONTH(DATEVALUE(B637&amp;"-01"),0), previsoes!F:F, "&gt;=" &amp; DATEVALUE(B637&amp;"-01"))</f>
        <v>0</v>
      </c>
      <c r="H637" s="52">
        <f t="shared" si="5"/>
        <v>160491.8958</v>
      </c>
      <c r="I637" s="49">
        <f t="shared" si="3"/>
        <v>22906</v>
      </c>
      <c r="J637" s="52">
        <f>IF(A637&lt;&gt;"",SUMIFS(metas!N:N, metas!E:E, "&gt;=" &amp; DATEVALUE(B637&amp;"-01"),metas!D:D, "&lt;=" &amp; DATEVALUE(B637&amp;"-01")),"")</f>
        <v>3182.813937</v>
      </c>
      <c r="K637" s="49">
        <f t="shared" si="4"/>
        <v>19723.18606</v>
      </c>
      <c r="L637" s="49">
        <f t="shared" si="6"/>
        <v>11907829.68</v>
      </c>
      <c r="M637" s="49">
        <f>IF(A637&lt;&gt;"",IF(COUNTIF(investimento!F:F, B637) &gt; 0, SUM(investimento!B:B)+I637, M636+I637),"")</f>
        <v>14350874.68</v>
      </c>
    </row>
    <row r="638" ht="22.5" customHeight="1">
      <c r="A638" s="47">
        <v>50687.0</v>
      </c>
      <c r="B638" s="48" t="str">
        <f t="shared" si="1"/>
        <v>2038-10</v>
      </c>
      <c r="C638" s="49">
        <f>SUMIF(despesas_recorrentes!C:C, "&gt;="&amp;A638,despesas_recorrentes!B:B) 
+SUMIF(despesas_recorrentes!C:C, "",despesas_recorrentes!B:B)
-despesas_recorrentes!$B$12
+IF(SUMIF(gasto_cartao!E:E,saldo!B638,gasto_cartao!B:B)&gt;despesas_recorrentes!$B$12, SUMIF(gasto_cartao!E:E,saldo!B638,gasto_cartao!B:B),despesas_recorrentes!$B$12)</f>
        <v>34013</v>
      </c>
      <c r="D638" s="51">
        <f>SUM(receitas_recorrentes!B:B)+SUMIF(receitas_pontuais!E:E,B638,receitas_pontuais!B:B)</f>
        <v>56919</v>
      </c>
      <c r="E638" s="51">
        <f t="shared" si="2"/>
        <v>22906</v>
      </c>
      <c r="F638" s="53">
        <f>IFERROR(SUMIF(contas!G:G, B638, contas!B:B),0)</f>
        <v>0</v>
      </c>
      <c r="G638" s="51">
        <f>SUMIFS(previsoes!D:D, previsoes!E:E, "&lt;=" &amp; EOMONTH(DATEVALUE(B638&amp;"-01"),0), previsoes!F:F, "&gt;=" &amp; DATEVALUE(B638&amp;"-01"))</f>
        <v>0</v>
      </c>
      <c r="H638" s="52">
        <f t="shared" si="5"/>
        <v>160491.8958</v>
      </c>
      <c r="I638" s="49">
        <f t="shared" si="3"/>
        <v>22906</v>
      </c>
      <c r="J638" s="52">
        <f>IF(A638&lt;&gt;"",SUMIFS(metas!N:N, metas!E:E, "&gt;=" &amp; DATEVALUE(B638&amp;"-01"),metas!D:D, "&lt;=" &amp; DATEVALUE(B638&amp;"-01")),"")</f>
        <v>3182.813937</v>
      </c>
      <c r="K638" s="49">
        <f t="shared" si="4"/>
        <v>19723.18606</v>
      </c>
      <c r="L638" s="49">
        <f t="shared" si="6"/>
        <v>11927552.86</v>
      </c>
      <c r="M638" s="49">
        <f>IF(A638&lt;&gt;"",IF(COUNTIF(investimento!F:F, B638) &gt; 0, SUM(investimento!B:B)+I638, M637+I638),"")</f>
        <v>14373780.68</v>
      </c>
    </row>
    <row r="639" ht="22.5" customHeight="1">
      <c r="A639" s="47">
        <v>50688.0</v>
      </c>
      <c r="B639" s="48" t="str">
        <f t="shared" si="1"/>
        <v>2038-10</v>
      </c>
      <c r="C639" s="49">
        <f>SUMIF(despesas_recorrentes!C:C, "&gt;="&amp;A639,despesas_recorrentes!B:B) 
+SUMIF(despesas_recorrentes!C:C, "",despesas_recorrentes!B:B)
-despesas_recorrentes!$B$12
+IF(SUMIF(gasto_cartao!E:E,saldo!B639,gasto_cartao!B:B)&gt;despesas_recorrentes!$B$12, SUMIF(gasto_cartao!E:E,saldo!B639,gasto_cartao!B:B),despesas_recorrentes!$B$12)</f>
        <v>34013</v>
      </c>
      <c r="D639" s="51">
        <f>SUM(receitas_recorrentes!B:B)+SUMIF(receitas_pontuais!E:E,B639,receitas_pontuais!B:B)</f>
        <v>56919</v>
      </c>
      <c r="E639" s="51">
        <f t="shared" si="2"/>
        <v>22906</v>
      </c>
      <c r="F639" s="53">
        <f>IFERROR(SUMIF(contas!G:G, B639, contas!B:B),0)</f>
        <v>0</v>
      </c>
      <c r="G639" s="51">
        <f>SUMIFS(previsoes!D:D, previsoes!E:E, "&lt;=" &amp; EOMONTH(DATEVALUE(B639&amp;"-01"),0), previsoes!F:F, "&gt;=" &amp; DATEVALUE(B639&amp;"-01"))</f>
        <v>0</v>
      </c>
      <c r="H639" s="52">
        <f t="shared" si="5"/>
        <v>160491.8958</v>
      </c>
      <c r="I639" s="49">
        <f t="shared" si="3"/>
        <v>22906</v>
      </c>
      <c r="J639" s="52">
        <f>IF(A639&lt;&gt;"",SUMIFS(metas!N:N, metas!E:E, "&gt;=" &amp; DATEVALUE(B639&amp;"-01"),metas!D:D, "&lt;=" &amp; DATEVALUE(B639&amp;"-01")),"")</f>
        <v>3182.813937</v>
      </c>
      <c r="K639" s="49">
        <f t="shared" si="4"/>
        <v>19723.18606</v>
      </c>
      <c r="L639" s="49">
        <f t="shared" si="6"/>
        <v>11947276.05</v>
      </c>
      <c r="M639" s="49">
        <f>IF(A639&lt;&gt;"",IF(COUNTIF(investimento!F:F, B639) &gt; 0, SUM(investimento!B:B)+I639, M638+I639),"")</f>
        <v>14396686.68</v>
      </c>
    </row>
    <row r="640" ht="22.5" customHeight="1">
      <c r="A640" s="47">
        <v>50689.0</v>
      </c>
      <c r="B640" s="48" t="str">
        <f t="shared" si="1"/>
        <v>2038-10</v>
      </c>
      <c r="C640" s="49">
        <f>SUMIF(despesas_recorrentes!C:C, "&gt;="&amp;A640,despesas_recorrentes!B:B) 
+SUMIF(despesas_recorrentes!C:C, "",despesas_recorrentes!B:B)
-despesas_recorrentes!$B$12
+IF(SUMIF(gasto_cartao!E:E,saldo!B640,gasto_cartao!B:B)&gt;despesas_recorrentes!$B$12, SUMIF(gasto_cartao!E:E,saldo!B640,gasto_cartao!B:B),despesas_recorrentes!$B$12)</f>
        <v>34013</v>
      </c>
      <c r="D640" s="51">
        <f>SUM(receitas_recorrentes!B:B)+SUMIF(receitas_pontuais!E:E,B640,receitas_pontuais!B:B)</f>
        <v>56919</v>
      </c>
      <c r="E640" s="51">
        <f t="shared" si="2"/>
        <v>22906</v>
      </c>
      <c r="F640" s="53">
        <f>IFERROR(SUMIF(contas!G:G, B640, contas!B:B),0)</f>
        <v>0</v>
      </c>
      <c r="G640" s="51">
        <f>SUMIFS(previsoes!D:D, previsoes!E:E, "&lt;=" &amp; EOMONTH(DATEVALUE(B640&amp;"-01"),0), previsoes!F:F, "&gt;=" &amp; DATEVALUE(B640&amp;"-01"))</f>
        <v>0</v>
      </c>
      <c r="H640" s="52">
        <f t="shared" si="5"/>
        <v>160491.8958</v>
      </c>
      <c r="I640" s="49">
        <f t="shared" si="3"/>
        <v>22906</v>
      </c>
      <c r="J640" s="52">
        <f>IF(A640&lt;&gt;"",SUMIFS(metas!N:N, metas!E:E, "&gt;=" &amp; DATEVALUE(B640&amp;"-01"),metas!D:D, "&lt;=" &amp; DATEVALUE(B640&amp;"-01")),"")</f>
        <v>3182.813937</v>
      </c>
      <c r="K640" s="49">
        <f t="shared" si="4"/>
        <v>19723.18606</v>
      </c>
      <c r="L640" s="49">
        <f t="shared" si="6"/>
        <v>11966999.24</v>
      </c>
      <c r="M640" s="49">
        <f>IF(A640&lt;&gt;"",IF(COUNTIF(investimento!F:F, B640) &gt; 0, SUM(investimento!B:B)+I640, M639+I640),"")</f>
        <v>14419592.68</v>
      </c>
    </row>
    <row r="641" ht="22.5" customHeight="1">
      <c r="A641" s="47">
        <v>50690.0</v>
      </c>
      <c r="B641" s="48" t="str">
        <f t="shared" si="1"/>
        <v>2038-10</v>
      </c>
      <c r="C641" s="49">
        <f>SUMIF(despesas_recorrentes!C:C, "&gt;="&amp;A641,despesas_recorrentes!B:B) 
+SUMIF(despesas_recorrentes!C:C, "",despesas_recorrentes!B:B)
-despesas_recorrentes!$B$12
+IF(SUMIF(gasto_cartao!E:E,saldo!B641,gasto_cartao!B:B)&gt;despesas_recorrentes!$B$12, SUMIF(gasto_cartao!E:E,saldo!B641,gasto_cartao!B:B),despesas_recorrentes!$B$12)</f>
        <v>34013</v>
      </c>
      <c r="D641" s="51">
        <f>SUM(receitas_recorrentes!B:B)+SUMIF(receitas_pontuais!E:E,B641,receitas_pontuais!B:B)</f>
        <v>56919</v>
      </c>
      <c r="E641" s="51">
        <f t="shared" si="2"/>
        <v>22906</v>
      </c>
      <c r="F641" s="53">
        <f>IFERROR(SUMIF(contas!G:G, B641, contas!B:B),0)</f>
        <v>0</v>
      </c>
      <c r="G641" s="51">
        <f>SUMIFS(previsoes!D:D, previsoes!E:E, "&lt;=" &amp; EOMONTH(DATEVALUE(B641&amp;"-01"),0), previsoes!F:F, "&gt;=" &amp; DATEVALUE(B641&amp;"-01"))</f>
        <v>0</v>
      </c>
      <c r="H641" s="52">
        <f t="shared" si="5"/>
        <v>160491.8958</v>
      </c>
      <c r="I641" s="49">
        <f t="shared" si="3"/>
        <v>22906</v>
      </c>
      <c r="J641" s="52">
        <f>IF(A641&lt;&gt;"",SUMIFS(metas!N:N, metas!E:E, "&gt;=" &amp; DATEVALUE(B641&amp;"-01"),metas!D:D, "&lt;=" &amp; DATEVALUE(B641&amp;"-01")),"")</f>
        <v>3182.813937</v>
      </c>
      <c r="K641" s="49">
        <f t="shared" si="4"/>
        <v>19723.18606</v>
      </c>
      <c r="L641" s="49">
        <f t="shared" si="6"/>
        <v>11986722.42</v>
      </c>
      <c r="M641" s="49">
        <f>IF(A641&lt;&gt;"",IF(COUNTIF(investimento!F:F, B641) &gt; 0, SUM(investimento!B:B)+I641, M640+I641),"")</f>
        <v>14442498.68</v>
      </c>
    </row>
    <row r="642" ht="22.5" customHeight="1">
      <c r="A642" s="47">
        <v>50691.0</v>
      </c>
      <c r="B642" s="48" t="str">
        <f t="shared" si="1"/>
        <v>2038-10</v>
      </c>
      <c r="C642" s="49">
        <f>SUMIF(despesas_recorrentes!C:C, "&gt;="&amp;A642,despesas_recorrentes!B:B) 
+SUMIF(despesas_recorrentes!C:C, "",despesas_recorrentes!B:B)
-despesas_recorrentes!$B$12
+IF(SUMIF(gasto_cartao!E:E,saldo!B642,gasto_cartao!B:B)&gt;despesas_recorrentes!$B$12, SUMIF(gasto_cartao!E:E,saldo!B642,gasto_cartao!B:B),despesas_recorrentes!$B$12)</f>
        <v>34013</v>
      </c>
      <c r="D642" s="51">
        <f>SUM(receitas_recorrentes!B:B)+SUMIF(receitas_pontuais!E:E,B642,receitas_pontuais!B:B)</f>
        <v>56919</v>
      </c>
      <c r="E642" s="51">
        <f t="shared" si="2"/>
        <v>22906</v>
      </c>
      <c r="F642" s="53">
        <f>IFERROR(SUMIF(contas!G:G, B642, contas!B:B),0)</f>
        <v>0</v>
      </c>
      <c r="G642" s="51">
        <f>SUMIFS(previsoes!D:D, previsoes!E:E, "&lt;=" &amp; EOMONTH(DATEVALUE(B642&amp;"-01"),0), previsoes!F:F, "&gt;=" &amp; DATEVALUE(B642&amp;"-01"))</f>
        <v>0</v>
      </c>
      <c r="H642" s="52">
        <f t="shared" si="5"/>
        <v>160491.8958</v>
      </c>
      <c r="I642" s="49">
        <f t="shared" si="3"/>
        <v>22906</v>
      </c>
      <c r="J642" s="52">
        <f>IF(A642&lt;&gt;"",SUMIFS(metas!N:N, metas!E:E, "&gt;=" &amp; DATEVALUE(B642&amp;"-01"),metas!D:D, "&lt;=" &amp; DATEVALUE(B642&amp;"-01")),"")</f>
        <v>3182.813937</v>
      </c>
      <c r="K642" s="49">
        <f t="shared" si="4"/>
        <v>19723.18606</v>
      </c>
      <c r="L642" s="49">
        <f t="shared" si="6"/>
        <v>12006445.61</v>
      </c>
      <c r="M642" s="49">
        <f>IF(A642&lt;&gt;"",IF(COUNTIF(investimento!F:F, B642) &gt; 0, SUM(investimento!B:B)+I642, M641+I642),"")</f>
        <v>14465404.68</v>
      </c>
    </row>
    <row r="643" ht="22.5" customHeight="1">
      <c r="A643" s="47">
        <v>50692.0</v>
      </c>
      <c r="B643" s="48" t="str">
        <f t="shared" si="1"/>
        <v>2038-10</v>
      </c>
      <c r="C643" s="49">
        <f>SUMIF(despesas_recorrentes!C:C, "&gt;="&amp;A643,despesas_recorrentes!B:B) 
+SUMIF(despesas_recorrentes!C:C, "",despesas_recorrentes!B:B)
-despesas_recorrentes!$B$12
+IF(SUMIF(gasto_cartao!E:E,saldo!B643,gasto_cartao!B:B)&gt;despesas_recorrentes!$B$12, SUMIF(gasto_cartao!E:E,saldo!B643,gasto_cartao!B:B),despesas_recorrentes!$B$12)</f>
        <v>34013</v>
      </c>
      <c r="D643" s="51">
        <f>SUM(receitas_recorrentes!B:B)+SUMIF(receitas_pontuais!E:E,B643,receitas_pontuais!B:B)</f>
        <v>56919</v>
      </c>
      <c r="E643" s="51">
        <f t="shared" si="2"/>
        <v>22906</v>
      </c>
      <c r="F643" s="53">
        <f>IFERROR(SUMIF(contas!G:G, B643, contas!B:B),0)</f>
        <v>0</v>
      </c>
      <c r="G643" s="51">
        <f>SUMIFS(previsoes!D:D, previsoes!E:E, "&lt;=" &amp; EOMONTH(DATEVALUE(B643&amp;"-01"),0), previsoes!F:F, "&gt;=" &amp; DATEVALUE(B643&amp;"-01"))</f>
        <v>0</v>
      </c>
      <c r="H643" s="52">
        <f t="shared" si="5"/>
        <v>160491.8958</v>
      </c>
      <c r="I643" s="49">
        <f t="shared" si="3"/>
        <v>22906</v>
      </c>
      <c r="J643" s="52">
        <f>IF(A643&lt;&gt;"",SUMIFS(metas!N:N, metas!E:E, "&gt;=" &amp; DATEVALUE(B643&amp;"-01"),metas!D:D, "&lt;=" &amp; DATEVALUE(B643&amp;"-01")),"")</f>
        <v>3182.813937</v>
      </c>
      <c r="K643" s="49">
        <f t="shared" si="4"/>
        <v>19723.18606</v>
      </c>
      <c r="L643" s="49">
        <f t="shared" si="6"/>
        <v>12026168.8</v>
      </c>
      <c r="M643" s="49">
        <f>IF(A643&lt;&gt;"",IF(COUNTIF(investimento!F:F, B643) &gt; 0, SUM(investimento!B:B)+I643, M642+I643),"")</f>
        <v>14488310.68</v>
      </c>
    </row>
    <row r="644" ht="22.5" customHeight="1">
      <c r="A644" s="47">
        <v>50693.0</v>
      </c>
      <c r="B644" s="48" t="str">
        <f t="shared" si="1"/>
        <v>2038-10</v>
      </c>
      <c r="C644" s="49">
        <f>SUMIF(despesas_recorrentes!C:C, "&gt;="&amp;A644,despesas_recorrentes!B:B) 
+SUMIF(despesas_recorrentes!C:C, "",despesas_recorrentes!B:B)
-despesas_recorrentes!$B$12
+IF(SUMIF(gasto_cartao!E:E,saldo!B644,gasto_cartao!B:B)&gt;despesas_recorrentes!$B$12, SUMIF(gasto_cartao!E:E,saldo!B644,gasto_cartao!B:B),despesas_recorrentes!$B$12)</f>
        <v>34013</v>
      </c>
      <c r="D644" s="51">
        <f>SUM(receitas_recorrentes!B:B)+SUMIF(receitas_pontuais!E:E,B644,receitas_pontuais!B:B)</f>
        <v>56919</v>
      </c>
      <c r="E644" s="51">
        <f t="shared" si="2"/>
        <v>22906</v>
      </c>
      <c r="F644" s="53">
        <f>IFERROR(SUMIF(contas!G:G, B644, contas!B:B),0)</f>
        <v>0</v>
      </c>
      <c r="G644" s="51">
        <f>SUMIFS(previsoes!D:D, previsoes!E:E, "&lt;=" &amp; EOMONTH(DATEVALUE(B644&amp;"-01"),0), previsoes!F:F, "&gt;=" &amp; DATEVALUE(B644&amp;"-01"))</f>
        <v>0</v>
      </c>
      <c r="H644" s="52">
        <f t="shared" si="5"/>
        <v>160491.8958</v>
      </c>
      <c r="I644" s="49">
        <f t="shared" si="3"/>
        <v>22906</v>
      </c>
      <c r="J644" s="52">
        <f>IF(A644&lt;&gt;"",SUMIFS(metas!N:N, metas!E:E, "&gt;=" &amp; DATEVALUE(B644&amp;"-01"),metas!D:D, "&lt;=" &amp; DATEVALUE(B644&amp;"-01")),"")</f>
        <v>3182.813937</v>
      </c>
      <c r="K644" s="49">
        <f t="shared" si="4"/>
        <v>19723.18606</v>
      </c>
      <c r="L644" s="49">
        <f t="shared" si="6"/>
        <v>12045891.98</v>
      </c>
      <c r="M644" s="49">
        <f>IF(A644&lt;&gt;"",IF(COUNTIF(investimento!F:F, B644) &gt; 0, SUM(investimento!B:B)+I644, M643+I644),"")</f>
        <v>14511216.68</v>
      </c>
    </row>
    <row r="645" ht="22.5" customHeight="1">
      <c r="A645" s="47">
        <v>50694.0</v>
      </c>
      <c r="B645" s="48" t="str">
        <f t="shared" si="1"/>
        <v>2038-10</v>
      </c>
      <c r="C645" s="49">
        <f>SUMIF(despesas_recorrentes!C:C, "&gt;="&amp;A645,despesas_recorrentes!B:B) 
+SUMIF(despesas_recorrentes!C:C, "",despesas_recorrentes!B:B)
-despesas_recorrentes!$B$12
+IF(SUMIF(gasto_cartao!E:E,saldo!B645,gasto_cartao!B:B)&gt;despesas_recorrentes!$B$12, SUMIF(gasto_cartao!E:E,saldo!B645,gasto_cartao!B:B),despesas_recorrentes!$B$12)</f>
        <v>34013</v>
      </c>
      <c r="D645" s="51">
        <f>SUM(receitas_recorrentes!B:B)+SUMIF(receitas_pontuais!E:E,B645,receitas_pontuais!B:B)</f>
        <v>56919</v>
      </c>
      <c r="E645" s="51">
        <f t="shared" si="2"/>
        <v>22906</v>
      </c>
      <c r="F645" s="53">
        <f>IFERROR(SUMIF(contas!G:G, B645, contas!B:B),0)</f>
        <v>0</v>
      </c>
      <c r="G645" s="51">
        <f>SUMIFS(previsoes!D:D, previsoes!E:E, "&lt;=" &amp; EOMONTH(DATEVALUE(B645&amp;"-01"),0), previsoes!F:F, "&gt;=" &amp; DATEVALUE(B645&amp;"-01"))</f>
        <v>0</v>
      </c>
      <c r="H645" s="52">
        <f t="shared" si="5"/>
        <v>160491.8958</v>
      </c>
      <c r="I645" s="49">
        <f t="shared" si="3"/>
        <v>22906</v>
      </c>
      <c r="J645" s="52">
        <f>IF(A645&lt;&gt;"",SUMIFS(metas!N:N, metas!E:E, "&gt;=" &amp; DATEVALUE(B645&amp;"-01"),metas!D:D, "&lt;=" &amp; DATEVALUE(B645&amp;"-01")),"")</f>
        <v>3182.813937</v>
      </c>
      <c r="K645" s="49">
        <f t="shared" si="4"/>
        <v>19723.18606</v>
      </c>
      <c r="L645" s="49">
        <f t="shared" si="6"/>
        <v>12065615.17</v>
      </c>
      <c r="M645" s="49">
        <f>IF(A645&lt;&gt;"",IF(COUNTIF(investimento!F:F, B645) &gt; 0, SUM(investimento!B:B)+I645, M644+I645),"")</f>
        <v>14534122.68</v>
      </c>
    </row>
    <row r="646" ht="22.5" customHeight="1">
      <c r="A646" s="47">
        <v>50695.0</v>
      </c>
      <c r="B646" s="48" t="str">
        <f t="shared" si="1"/>
        <v>2038-10</v>
      </c>
      <c r="C646" s="49">
        <f>SUMIF(despesas_recorrentes!C:C, "&gt;="&amp;A646,despesas_recorrentes!B:B) 
+SUMIF(despesas_recorrentes!C:C, "",despesas_recorrentes!B:B)
-despesas_recorrentes!$B$12
+IF(SUMIF(gasto_cartao!E:E,saldo!B646,gasto_cartao!B:B)&gt;despesas_recorrentes!$B$12, SUMIF(gasto_cartao!E:E,saldo!B646,gasto_cartao!B:B),despesas_recorrentes!$B$12)</f>
        <v>34013</v>
      </c>
      <c r="D646" s="51">
        <f>SUM(receitas_recorrentes!B:B)+SUMIF(receitas_pontuais!E:E,B646,receitas_pontuais!B:B)</f>
        <v>56919</v>
      </c>
      <c r="E646" s="51">
        <f t="shared" si="2"/>
        <v>22906</v>
      </c>
      <c r="F646" s="53">
        <f>IFERROR(SUMIF(contas!G:G, B646, contas!B:B),0)</f>
        <v>0</v>
      </c>
      <c r="G646" s="51">
        <f>SUMIFS(previsoes!D:D, previsoes!E:E, "&lt;=" &amp; EOMONTH(DATEVALUE(B646&amp;"-01"),0), previsoes!F:F, "&gt;=" &amp; DATEVALUE(B646&amp;"-01"))</f>
        <v>0</v>
      </c>
      <c r="H646" s="52">
        <f t="shared" si="5"/>
        <v>160491.8958</v>
      </c>
      <c r="I646" s="49">
        <f t="shared" si="3"/>
        <v>22906</v>
      </c>
      <c r="J646" s="52">
        <f>IF(A646&lt;&gt;"",SUMIFS(metas!N:N, metas!E:E, "&gt;=" &amp; DATEVALUE(B646&amp;"-01"),metas!D:D, "&lt;=" &amp; DATEVALUE(B646&amp;"-01")),"")</f>
        <v>3182.813937</v>
      </c>
      <c r="K646" s="49">
        <f t="shared" si="4"/>
        <v>19723.18606</v>
      </c>
      <c r="L646" s="49">
        <f t="shared" si="6"/>
        <v>12085338.35</v>
      </c>
      <c r="M646" s="49">
        <f>IF(A646&lt;&gt;"",IF(COUNTIF(investimento!F:F, B646) &gt; 0, SUM(investimento!B:B)+I646, M645+I646),"")</f>
        <v>14557028.68</v>
      </c>
    </row>
    <row r="647" ht="22.5" customHeight="1">
      <c r="A647" s="47">
        <v>50696.0</v>
      </c>
      <c r="B647" s="48" t="str">
        <f t="shared" si="1"/>
        <v>2038-10</v>
      </c>
      <c r="C647" s="49">
        <f>SUMIF(despesas_recorrentes!C:C, "&gt;="&amp;A647,despesas_recorrentes!B:B) 
+SUMIF(despesas_recorrentes!C:C, "",despesas_recorrentes!B:B)
-despesas_recorrentes!$B$12
+IF(SUMIF(gasto_cartao!E:E,saldo!B647,gasto_cartao!B:B)&gt;despesas_recorrentes!$B$12, SUMIF(gasto_cartao!E:E,saldo!B647,gasto_cartao!B:B),despesas_recorrentes!$B$12)</f>
        <v>34013</v>
      </c>
      <c r="D647" s="51">
        <f>SUM(receitas_recorrentes!B:B)+SUMIF(receitas_pontuais!E:E,B647,receitas_pontuais!B:B)</f>
        <v>56919</v>
      </c>
      <c r="E647" s="51">
        <f t="shared" si="2"/>
        <v>22906</v>
      </c>
      <c r="F647" s="53">
        <f>IFERROR(SUMIF(contas!G:G, B647, contas!B:B),0)</f>
        <v>0</v>
      </c>
      <c r="G647" s="51">
        <f>SUMIFS(previsoes!D:D, previsoes!E:E, "&lt;=" &amp; EOMONTH(DATEVALUE(B647&amp;"-01"),0), previsoes!F:F, "&gt;=" &amp; DATEVALUE(B647&amp;"-01"))</f>
        <v>0</v>
      </c>
      <c r="H647" s="52">
        <f t="shared" si="5"/>
        <v>160491.8958</v>
      </c>
      <c r="I647" s="49">
        <f t="shared" si="3"/>
        <v>22906</v>
      </c>
      <c r="J647" s="52">
        <f>IF(A647&lt;&gt;"",SUMIFS(metas!N:N, metas!E:E, "&gt;=" &amp; DATEVALUE(B647&amp;"-01"),metas!D:D, "&lt;=" &amp; DATEVALUE(B647&amp;"-01")),"")</f>
        <v>3182.813937</v>
      </c>
      <c r="K647" s="49">
        <f t="shared" si="4"/>
        <v>19723.18606</v>
      </c>
      <c r="L647" s="49">
        <f t="shared" si="6"/>
        <v>12105061.54</v>
      </c>
      <c r="M647" s="49">
        <f>IF(A647&lt;&gt;"",IF(COUNTIF(investimento!F:F, B647) &gt; 0, SUM(investimento!B:B)+I647, M646+I647),"")</f>
        <v>14579934.68</v>
      </c>
    </row>
    <row r="648" ht="22.5" customHeight="1">
      <c r="A648" s="47">
        <v>50697.0</v>
      </c>
      <c r="B648" s="48" t="str">
        <f t="shared" si="1"/>
        <v>2038-10</v>
      </c>
      <c r="C648" s="49">
        <f>SUMIF(despesas_recorrentes!C:C, "&gt;="&amp;A648,despesas_recorrentes!B:B) 
+SUMIF(despesas_recorrentes!C:C, "",despesas_recorrentes!B:B)
-despesas_recorrentes!$B$12
+IF(SUMIF(gasto_cartao!E:E,saldo!B648,gasto_cartao!B:B)&gt;despesas_recorrentes!$B$12, SUMIF(gasto_cartao!E:E,saldo!B648,gasto_cartao!B:B),despesas_recorrentes!$B$12)</f>
        <v>34013</v>
      </c>
      <c r="D648" s="51">
        <f>SUM(receitas_recorrentes!B:B)+SUMIF(receitas_pontuais!E:E,B648,receitas_pontuais!B:B)</f>
        <v>56919</v>
      </c>
      <c r="E648" s="51">
        <f t="shared" si="2"/>
        <v>22906</v>
      </c>
      <c r="F648" s="53">
        <f>IFERROR(SUMIF(contas!G:G, B648, contas!B:B),0)</f>
        <v>0</v>
      </c>
      <c r="G648" s="51">
        <f>SUMIFS(previsoes!D:D, previsoes!E:E, "&lt;=" &amp; EOMONTH(DATEVALUE(B648&amp;"-01"),0), previsoes!F:F, "&gt;=" &amp; DATEVALUE(B648&amp;"-01"))</f>
        <v>0</v>
      </c>
      <c r="H648" s="52">
        <f t="shared" si="5"/>
        <v>160491.8958</v>
      </c>
      <c r="I648" s="49">
        <f t="shared" si="3"/>
        <v>22906</v>
      </c>
      <c r="J648" s="52">
        <f>IF(A648&lt;&gt;"",SUMIFS(metas!N:N, metas!E:E, "&gt;=" &amp; DATEVALUE(B648&amp;"-01"),metas!D:D, "&lt;=" &amp; DATEVALUE(B648&amp;"-01")),"")</f>
        <v>3182.813937</v>
      </c>
      <c r="K648" s="49">
        <f t="shared" si="4"/>
        <v>19723.18606</v>
      </c>
      <c r="L648" s="49">
        <f t="shared" si="6"/>
        <v>12124784.73</v>
      </c>
      <c r="M648" s="49">
        <f>IF(A648&lt;&gt;"",IF(COUNTIF(investimento!F:F, B648) &gt; 0, SUM(investimento!B:B)+I648, M647+I648),"")</f>
        <v>14602840.68</v>
      </c>
    </row>
    <row r="649" ht="22.5" customHeight="1">
      <c r="A649" s="47">
        <v>50698.0</v>
      </c>
      <c r="B649" s="48" t="str">
        <f t="shared" si="1"/>
        <v>2038-10</v>
      </c>
      <c r="C649" s="49">
        <f>SUMIF(despesas_recorrentes!C:C, "&gt;="&amp;A649,despesas_recorrentes!B:B) 
+SUMIF(despesas_recorrentes!C:C, "",despesas_recorrentes!B:B)
-despesas_recorrentes!$B$12
+IF(SUMIF(gasto_cartao!E:E,saldo!B649,gasto_cartao!B:B)&gt;despesas_recorrentes!$B$12, SUMIF(gasto_cartao!E:E,saldo!B649,gasto_cartao!B:B),despesas_recorrentes!$B$12)</f>
        <v>34013</v>
      </c>
      <c r="D649" s="51">
        <f>SUM(receitas_recorrentes!B:B)+SUMIF(receitas_pontuais!E:E,B649,receitas_pontuais!B:B)</f>
        <v>56919</v>
      </c>
      <c r="E649" s="51">
        <f t="shared" si="2"/>
        <v>22906</v>
      </c>
      <c r="F649" s="53">
        <f>IFERROR(SUMIF(contas!G:G, B649, contas!B:B),0)</f>
        <v>0</v>
      </c>
      <c r="G649" s="51">
        <f>SUMIFS(previsoes!D:D, previsoes!E:E, "&lt;=" &amp; EOMONTH(DATEVALUE(B649&amp;"-01"),0), previsoes!F:F, "&gt;=" &amp; DATEVALUE(B649&amp;"-01"))</f>
        <v>0</v>
      </c>
      <c r="H649" s="52">
        <f t="shared" si="5"/>
        <v>160491.8958</v>
      </c>
      <c r="I649" s="49">
        <f t="shared" si="3"/>
        <v>22906</v>
      </c>
      <c r="J649" s="52">
        <f>IF(A649&lt;&gt;"",SUMIFS(metas!N:N, metas!E:E, "&gt;=" &amp; DATEVALUE(B649&amp;"-01"),metas!D:D, "&lt;=" &amp; DATEVALUE(B649&amp;"-01")),"")</f>
        <v>3182.813937</v>
      </c>
      <c r="K649" s="49">
        <f t="shared" si="4"/>
        <v>19723.18606</v>
      </c>
      <c r="L649" s="49">
        <f t="shared" si="6"/>
        <v>12144507.91</v>
      </c>
      <c r="M649" s="49">
        <f>IF(A649&lt;&gt;"",IF(COUNTIF(investimento!F:F, B649) &gt; 0, SUM(investimento!B:B)+I649, M648+I649),"")</f>
        <v>14625746.68</v>
      </c>
    </row>
    <row r="650" ht="22.5" customHeight="1">
      <c r="A650" s="47">
        <v>50699.0</v>
      </c>
      <c r="B650" s="48" t="str">
        <f t="shared" si="1"/>
        <v>2038-10</v>
      </c>
      <c r="C650" s="49">
        <f>SUMIF(despesas_recorrentes!C:C, "&gt;="&amp;A650,despesas_recorrentes!B:B) 
+SUMIF(despesas_recorrentes!C:C, "",despesas_recorrentes!B:B)
-despesas_recorrentes!$B$12
+IF(SUMIF(gasto_cartao!E:E,saldo!B650,gasto_cartao!B:B)&gt;despesas_recorrentes!$B$12, SUMIF(gasto_cartao!E:E,saldo!B650,gasto_cartao!B:B),despesas_recorrentes!$B$12)</f>
        <v>34013</v>
      </c>
      <c r="D650" s="51">
        <f>SUM(receitas_recorrentes!B:B)+SUMIF(receitas_pontuais!E:E,B650,receitas_pontuais!B:B)</f>
        <v>56919</v>
      </c>
      <c r="E650" s="51">
        <f t="shared" si="2"/>
        <v>22906</v>
      </c>
      <c r="F650" s="53">
        <f>IFERROR(SUMIF(contas!G:G, B650, contas!B:B),0)</f>
        <v>0</v>
      </c>
      <c r="G650" s="51">
        <f>SUMIFS(previsoes!D:D, previsoes!E:E, "&lt;=" &amp; EOMONTH(DATEVALUE(B650&amp;"-01"),0), previsoes!F:F, "&gt;=" &amp; DATEVALUE(B650&amp;"-01"))</f>
        <v>0</v>
      </c>
      <c r="H650" s="52">
        <f t="shared" si="5"/>
        <v>160491.8958</v>
      </c>
      <c r="I650" s="49">
        <f t="shared" si="3"/>
        <v>22906</v>
      </c>
      <c r="J650" s="52">
        <f>IF(A650&lt;&gt;"",SUMIFS(metas!N:N, metas!E:E, "&gt;=" &amp; DATEVALUE(B650&amp;"-01"),metas!D:D, "&lt;=" &amp; DATEVALUE(B650&amp;"-01")),"")</f>
        <v>3182.813937</v>
      </c>
      <c r="K650" s="49">
        <f t="shared" si="4"/>
        <v>19723.18606</v>
      </c>
      <c r="L650" s="49">
        <f t="shared" si="6"/>
        <v>12164231.1</v>
      </c>
      <c r="M650" s="49">
        <f>IF(A650&lt;&gt;"",IF(COUNTIF(investimento!F:F, B650) &gt; 0, SUM(investimento!B:B)+I650, M649+I650),"")</f>
        <v>14648652.68</v>
      </c>
    </row>
    <row r="651" ht="22.5" customHeight="1">
      <c r="A651" s="47">
        <v>50700.0</v>
      </c>
      <c r="B651" s="48" t="str">
        <f t="shared" si="1"/>
        <v>2038-10</v>
      </c>
      <c r="C651" s="49">
        <f>SUMIF(despesas_recorrentes!C:C, "&gt;="&amp;A651,despesas_recorrentes!B:B) 
+SUMIF(despesas_recorrentes!C:C, "",despesas_recorrentes!B:B)
-despesas_recorrentes!$B$12
+IF(SUMIF(gasto_cartao!E:E,saldo!B651,gasto_cartao!B:B)&gt;despesas_recorrentes!$B$12, SUMIF(gasto_cartao!E:E,saldo!B651,gasto_cartao!B:B),despesas_recorrentes!$B$12)</f>
        <v>34013</v>
      </c>
      <c r="D651" s="51">
        <f>SUM(receitas_recorrentes!B:B)+SUMIF(receitas_pontuais!E:E,B651,receitas_pontuais!B:B)</f>
        <v>56919</v>
      </c>
      <c r="E651" s="51">
        <f t="shared" si="2"/>
        <v>22906</v>
      </c>
      <c r="F651" s="53">
        <f>IFERROR(SUMIF(contas!G:G, B651, contas!B:B),0)</f>
        <v>0</v>
      </c>
      <c r="G651" s="51">
        <f>SUMIFS(previsoes!D:D, previsoes!E:E, "&lt;=" &amp; EOMONTH(DATEVALUE(B651&amp;"-01"),0), previsoes!F:F, "&gt;=" &amp; DATEVALUE(B651&amp;"-01"))</f>
        <v>0</v>
      </c>
      <c r="H651" s="52">
        <f t="shared" si="5"/>
        <v>160491.8958</v>
      </c>
      <c r="I651" s="49">
        <f t="shared" si="3"/>
        <v>22906</v>
      </c>
      <c r="J651" s="52">
        <f>IF(A651&lt;&gt;"",SUMIFS(metas!N:N, metas!E:E, "&gt;=" &amp; DATEVALUE(B651&amp;"-01"),metas!D:D, "&lt;=" &amp; DATEVALUE(B651&amp;"-01")),"")</f>
        <v>3182.813937</v>
      </c>
      <c r="K651" s="49">
        <f t="shared" si="4"/>
        <v>19723.18606</v>
      </c>
      <c r="L651" s="49">
        <f t="shared" si="6"/>
        <v>12183954.28</v>
      </c>
      <c r="M651" s="49">
        <f>IF(A651&lt;&gt;"",IF(COUNTIF(investimento!F:F, B651) &gt; 0, SUM(investimento!B:B)+I651, M650+I651),"")</f>
        <v>14671558.68</v>
      </c>
    </row>
    <row r="652" ht="22.5" customHeight="1">
      <c r="A652" s="47">
        <v>50701.0</v>
      </c>
      <c r="B652" s="48" t="str">
        <f t="shared" si="1"/>
        <v>2038-10</v>
      </c>
      <c r="C652" s="49">
        <f>SUMIF(despesas_recorrentes!C:C, "&gt;="&amp;A652,despesas_recorrentes!B:B) 
+SUMIF(despesas_recorrentes!C:C, "",despesas_recorrentes!B:B)
-despesas_recorrentes!$B$12
+IF(SUMIF(gasto_cartao!E:E,saldo!B652,gasto_cartao!B:B)&gt;despesas_recorrentes!$B$12, SUMIF(gasto_cartao!E:E,saldo!B652,gasto_cartao!B:B),despesas_recorrentes!$B$12)</f>
        <v>34013</v>
      </c>
      <c r="D652" s="51">
        <f>SUM(receitas_recorrentes!B:B)+SUMIF(receitas_pontuais!E:E,B652,receitas_pontuais!B:B)</f>
        <v>56919</v>
      </c>
      <c r="E652" s="51">
        <f t="shared" si="2"/>
        <v>22906</v>
      </c>
      <c r="F652" s="53">
        <f>IFERROR(SUMIF(contas!G:G, B652, contas!B:B),0)</f>
        <v>0</v>
      </c>
      <c r="G652" s="51">
        <f>SUMIFS(previsoes!D:D, previsoes!E:E, "&lt;=" &amp; EOMONTH(DATEVALUE(B652&amp;"-01"),0), previsoes!F:F, "&gt;=" &amp; DATEVALUE(B652&amp;"-01"))</f>
        <v>0</v>
      </c>
      <c r="H652" s="52">
        <f t="shared" si="5"/>
        <v>160491.8958</v>
      </c>
      <c r="I652" s="49">
        <f t="shared" si="3"/>
        <v>22906</v>
      </c>
      <c r="J652" s="52">
        <f>IF(A652&lt;&gt;"",SUMIFS(metas!N:N, metas!E:E, "&gt;=" &amp; DATEVALUE(B652&amp;"-01"),metas!D:D, "&lt;=" &amp; DATEVALUE(B652&amp;"-01")),"")</f>
        <v>3182.813937</v>
      </c>
      <c r="K652" s="49">
        <f t="shared" si="4"/>
        <v>19723.18606</v>
      </c>
      <c r="L652" s="49">
        <f t="shared" si="6"/>
        <v>12203677.47</v>
      </c>
      <c r="M652" s="49">
        <f>IF(A652&lt;&gt;"",IF(COUNTIF(investimento!F:F, B652) &gt; 0, SUM(investimento!B:B)+I652, M651+I652),"")</f>
        <v>14694464.68</v>
      </c>
    </row>
    <row r="653" ht="22.5" customHeight="1">
      <c r="A653" s="47">
        <v>50702.0</v>
      </c>
      <c r="B653" s="48" t="str">
        <f t="shared" si="1"/>
        <v>2038-10</v>
      </c>
      <c r="C653" s="49">
        <f>SUMIF(despesas_recorrentes!C:C, "&gt;="&amp;A653,despesas_recorrentes!B:B) 
+SUMIF(despesas_recorrentes!C:C, "",despesas_recorrentes!B:B)
-despesas_recorrentes!$B$12
+IF(SUMIF(gasto_cartao!E:E,saldo!B653,gasto_cartao!B:B)&gt;despesas_recorrentes!$B$12, SUMIF(gasto_cartao!E:E,saldo!B653,gasto_cartao!B:B),despesas_recorrentes!$B$12)</f>
        <v>34013</v>
      </c>
      <c r="D653" s="51">
        <f>SUM(receitas_recorrentes!B:B)+SUMIF(receitas_pontuais!E:E,B653,receitas_pontuais!B:B)</f>
        <v>56919</v>
      </c>
      <c r="E653" s="51">
        <f t="shared" si="2"/>
        <v>22906</v>
      </c>
      <c r="F653" s="53">
        <f>IFERROR(SUMIF(contas!G:G, B653, contas!B:B),0)</f>
        <v>0</v>
      </c>
      <c r="G653" s="51">
        <f>SUMIFS(previsoes!D:D, previsoes!E:E, "&lt;=" &amp; EOMONTH(DATEVALUE(B653&amp;"-01"),0), previsoes!F:F, "&gt;=" &amp; DATEVALUE(B653&amp;"-01"))</f>
        <v>0</v>
      </c>
      <c r="H653" s="52">
        <f t="shared" si="5"/>
        <v>160491.8958</v>
      </c>
      <c r="I653" s="49">
        <f t="shared" si="3"/>
        <v>22906</v>
      </c>
      <c r="J653" s="52">
        <f>IF(A653&lt;&gt;"",SUMIFS(metas!N:N, metas!E:E, "&gt;=" &amp; DATEVALUE(B653&amp;"-01"),metas!D:D, "&lt;=" &amp; DATEVALUE(B653&amp;"-01")),"")</f>
        <v>3182.813937</v>
      </c>
      <c r="K653" s="49">
        <f t="shared" si="4"/>
        <v>19723.18606</v>
      </c>
      <c r="L653" s="49">
        <f t="shared" si="6"/>
        <v>12223400.66</v>
      </c>
      <c r="M653" s="49">
        <f>IF(A653&lt;&gt;"",IF(COUNTIF(investimento!F:F, B653) &gt; 0, SUM(investimento!B:B)+I653, M652+I653),"")</f>
        <v>14717370.68</v>
      </c>
    </row>
    <row r="654" ht="22.5" customHeight="1">
      <c r="A654" s="47">
        <v>50703.0</v>
      </c>
      <c r="B654" s="48" t="str">
        <f t="shared" si="1"/>
        <v>2038-10</v>
      </c>
      <c r="C654" s="49">
        <f>SUMIF(despesas_recorrentes!C:C, "&gt;="&amp;A654,despesas_recorrentes!B:B) 
+SUMIF(despesas_recorrentes!C:C, "",despesas_recorrentes!B:B)
-despesas_recorrentes!$B$12
+IF(SUMIF(gasto_cartao!E:E,saldo!B654,gasto_cartao!B:B)&gt;despesas_recorrentes!$B$12, SUMIF(gasto_cartao!E:E,saldo!B654,gasto_cartao!B:B),despesas_recorrentes!$B$12)</f>
        <v>34013</v>
      </c>
      <c r="D654" s="51">
        <f>SUM(receitas_recorrentes!B:B)+SUMIF(receitas_pontuais!E:E,B654,receitas_pontuais!B:B)</f>
        <v>56919</v>
      </c>
      <c r="E654" s="51">
        <f t="shared" si="2"/>
        <v>22906</v>
      </c>
      <c r="F654" s="53">
        <f>IFERROR(SUMIF(contas!G:G, B654, contas!B:B),0)</f>
        <v>0</v>
      </c>
      <c r="G654" s="51">
        <f>SUMIFS(previsoes!D:D, previsoes!E:E, "&lt;=" &amp; EOMONTH(DATEVALUE(B654&amp;"-01"),0), previsoes!F:F, "&gt;=" &amp; DATEVALUE(B654&amp;"-01"))</f>
        <v>0</v>
      </c>
      <c r="H654" s="52">
        <f t="shared" si="5"/>
        <v>160491.8958</v>
      </c>
      <c r="I654" s="49">
        <f t="shared" si="3"/>
        <v>22906</v>
      </c>
      <c r="J654" s="52">
        <f>IF(A654&lt;&gt;"",SUMIFS(metas!N:N, metas!E:E, "&gt;=" &amp; DATEVALUE(B654&amp;"-01"),metas!D:D, "&lt;=" &amp; DATEVALUE(B654&amp;"-01")),"")</f>
        <v>3182.813937</v>
      </c>
      <c r="K654" s="49">
        <f t="shared" si="4"/>
        <v>19723.18606</v>
      </c>
      <c r="L654" s="49">
        <f t="shared" si="6"/>
        <v>12243123.84</v>
      </c>
      <c r="M654" s="49">
        <f>IF(A654&lt;&gt;"",IF(COUNTIF(investimento!F:F, B654) &gt; 0, SUM(investimento!B:B)+I654, M653+I654),"")</f>
        <v>14740276.68</v>
      </c>
    </row>
    <row r="655" ht="22.5" customHeight="1">
      <c r="A655" s="47">
        <v>50704.0</v>
      </c>
      <c r="B655" s="48" t="str">
        <f t="shared" si="1"/>
        <v>2038-10</v>
      </c>
      <c r="C655" s="49">
        <f>SUMIF(despesas_recorrentes!C:C, "&gt;="&amp;A655,despesas_recorrentes!B:B) 
+SUMIF(despesas_recorrentes!C:C, "",despesas_recorrentes!B:B)
-despesas_recorrentes!$B$12
+IF(SUMIF(gasto_cartao!E:E,saldo!B655,gasto_cartao!B:B)&gt;despesas_recorrentes!$B$12, SUMIF(gasto_cartao!E:E,saldo!B655,gasto_cartao!B:B),despesas_recorrentes!$B$12)</f>
        <v>34013</v>
      </c>
      <c r="D655" s="51">
        <f>SUM(receitas_recorrentes!B:B)+SUMIF(receitas_pontuais!E:E,B655,receitas_pontuais!B:B)</f>
        <v>56919</v>
      </c>
      <c r="E655" s="51">
        <f t="shared" si="2"/>
        <v>22906</v>
      </c>
      <c r="F655" s="53">
        <f>IFERROR(SUMIF(contas!G:G, B655, contas!B:B),0)</f>
        <v>0</v>
      </c>
      <c r="G655" s="51">
        <f>SUMIFS(previsoes!D:D, previsoes!E:E, "&lt;=" &amp; EOMONTH(DATEVALUE(B655&amp;"-01"),0), previsoes!F:F, "&gt;=" &amp; DATEVALUE(B655&amp;"-01"))</f>
        <v>0</v>
      </c>
      <c r="H655" s="52">
        <f t="shared" si="5"/>
        <v>160491.8958</v>
      </c>
      <c r="I655" s="49">
        <f t="shared" si="3"/>
        <v>22906</v>
      </c>
      <c r="J655" s="52">
        <f>IF(A655&lt;&gt;"",SUMIFS(metas!N:N, metas!E:E, "&gt;=" &amp; DATEVALUE(B655&amp;"-01"),metas!D:D, "&lt;=" &amp; DATEVALUE(B655&amp;"-01")),"")</f>
        <v>3182.813937</v>
      </c>
      <c r="K655" s="49">
        <f t="shared" si="4"/>
        <v>19723.18606</v>
      </c>
      <c r="L655" s="49">
        <f t="shared" si="6"/>
        <v>12262847.03</v>
      </c>
      <c r="M655" s="49">
        <f>IF(A655&lt;&gt;"",IF(COUNTIF(investimento!F:F, B655) &gt; 0, SUM(investimento!B:B)+I655, M654+I655),"")</f>
        <v>14763182.68</v>
      </c>
    </row>
    <row r="656" ht="22.5" customHeight="1">
      <c r="A656" s="47">
        <v>50705.0</v>
      </c>
      <c r="B656" s="48" t="str">
        <f t="shared" si="1"/>
        <v>2038-10</v>
      </c>
      <c r="C656" s="49">
        <f>SUMIF(despesas_recorrentes!C:C, "&gt;="&amp;A656,despesas_recorrentes!B:B) 
+SUMIF(despesas_recorrentes!C:C, "",despesas_recorrentes!B:B)
-despesas_recorrentes!$B$12
+IF(SUMIF(gasto_cartao!E:E,saldo!B656,gasto_cartao!B:B)&gt;despesas_recorrentes!$B$12, SUMIF(gasto_cartao!E:E,saldo!B656,gasto_cartao!B:B),despesas_recorrentes!$B$12)</f>
        <v>34013</v>
      </c>
      <c r="D656" s="51">
        <f>SUM(receitas_recorrentes!B:B)+SUMIF(receitas_pontuais!E:E,B656,receitas_pontuais!B:B)</f>
        <v>56919</v>
      </c>
      <c r="E656" s="51">
        <f t="shared" si="2"/>
        <v>22906</v>
      </c>
      <c r="F656" s="53">
        <f>IFERROR(SUMIF(contas!G:G, B656, contas!B:B),0)</f>
        <v>0</v>
      </c>
      <c r="G656" s="51">
        <f>SUMIFS(previsoes!D:D, previsoes!E:E, "&lt;=" &amp; EOMONTH(DATEVALUE(B656&amp;"-01"),0), previsoes!F:F, "&gt;=" &amp; DATEVALUE(B656&amp;"-01"))</f>
        <v>0</v>
      </c>
      <c r="H656" s="52">
        <f t="shared" si="5"/>
        <v>160491.8958</v>
      </c>
      <c r="I656" s="49">
        <f t="shared" si="3"/>
        <v>22906</v>
      </c>
      <c r="J656" s="52">
        <f>IF(A656&lt;&gt;"",SUMIFS(metas!N:N, metas!E:E, "&gt;=" &amp; DATEVALUE(B656&amp;"-01"),metas!D:D, "&lt;=" &amp; DATEVALUE(B656&amp;"-01")),"")</f>
        <v>3182.813937</v>
      </c>
      <c r="K656" s="49">
        <f t="shared" si="4"/>
        <v>19723.18606</v>
      </c>
      <c r="L656" s="49">
        <f t="shared" si="6"/>
        <v>12282570.21</v>
      </c>
      <c r="M656" s="49">
        <f>IF(A656&lt;&gt;"",IF(COUNTIF(investimento!F:F, B656) &gt; 0, SUM(investimento!B:B)+I656, M655+I656),"")</f>
        <v>14786088.68</v>
      </c>
    </row>
    <row r="657" ht="22.5" customHeight="1">
      <c r="A657" s="47">
        <v>50706.0</v>
      </c>
      <c r="B657" s="48" t="str">
        <f t="shared" si="1"/>
        <v>2038-10</v>
      </c>
      <c r="C657" s="49">
        <f>SUMIF(despesas_recorrentes!C:C, "&gt;="&amp;A657,despesas_recorrentes!B:B) 
+SUMIF(despesas_recorrentes!C:C, "",despesas_recorrentes!B:B)
-despesas_recorrentes!$B$12
+IF(SUMIF(gasto_cartao!E:E,saldo!B657,gasto_cartao!B:B)&gt;despesas_recorrentes!$B$12, SUMIF(gasto_cartao!E:E,saldo!B657,gasto_cartao!B:B),despesas_recorrentes!$B$12)</f>
        <v>34013</v>
      </c>
      <c r="D657" s="51">
        <f>SUM(receitas_recorrentes!B:B)+SUMIF(receitas_pontuais!E:E,B657,receitas_pontuais!B:B)</f>
        <v>56919</v>
      </c>
      <c r="E657" s="51">
        <f t="shared" si="2"/>
        <v>22906</v>
      </c>
      <c r="F657" s="53">
        <f>IFERROR(SUMIF(contas!G:G, B657, contas!B:B),0)</f>
        <v>0</v>
      </c>
      <c r="G657" s="51">
        <f>SUMIFS(previsoes!D:D, previsoes!E:E, "&lt;=" &amp; EOMONTH(DATEVALUE(B657&amp;"-01"),0), previsoes!F:F, "&gt;=" &amp; DATEVALUE(B657&amp;"-01"))</f>
        <v>0</v>
      </c>
      <c r="H657" s="52">
        <f t="shared" si="5"/>
        <v>160491.8958</v>
      </c>
      <c r="I657" s="49">
        <f t="shared" si="3"/>
        <v>22906</v>
      </c>
      <c r="J657" s="52">
        <f>IF(A657&lt;&gt;"",SUMIFS(metas!N:N, metas!E:E, "&gt;=" &amp; DATEVALUE(B657&amp;"-01"),metas!D:D, "&lt;=" &amp; DATEVALUE(B657&amp;"-01")),"")</f>
        <v>3182.813937</v>
      </c>
      <c r="K657" s="49">
        <f t="shared" si="4"/>
        <v>19723.18606</v>
      </c>
      <c r="L657" s="49">
        <f t="shared" si="6"/>
        <v>12302293.4</v>
      </c>
      <c r="M657" s="49">
        <f>IF(A657&lt;&gt;"",IF(COUNTIF(investimento!F:F, B657) &gt; 0, SUM(investimento!B:B)+I657, M656+I657),"")</f>
        <v>14808994.68</v>
      </c>
    </row>
    <row r="658" ht="22.5" customHeight="1">
      <c r="A658" s="47">
        <v>50707.0</v>
      </c>
      <c r="B658" s="48" t="str">
        <f t="shared" si="1"/>
        <v>2038-10</v>
      </c>
      <c r="C658" s="49">
        <f>SUMIF(despesas_recorrentes!C:C, "&gt;="&amp;A658,despesas_recorrentes!B:B) 
+SUMIF(despesas_recorrentes!C:C, "",despesas_recorrentes!B:B)
-despesas_recorrentes!$B$12
+IF(SUMIF(gasto_cartao!E:E,saldo!B658,gasto_cartao!B:B)&gt;despesas_recorrentes!$B$12, SUMIF(gasto_cartao!E:E,saldo!B658,gasto_cartao!B:B),despesas_recorrentes!$B$12)</f>
        <v>34013</v>
      </c>
      <c r="D658" s="51">
        <f>SUM(receitas_recorrentes!B:B)+SUMIF(receitas_pontuais!E:E,B658,receitas_pontuais!B:B)</f>
        <v>56919</v>
      </c>
      <c r="E658" s="51">
        <f t="shared" si="2"/>
        <v>22906</v>
      </c>
      <c r="F658" s="53">
        <f>IFERROR(SUMIF(contas!G:G, B658, contas!B:B),0)</f>
        <v>0</v>
      </c>
      <c r="G658" s="51">
        <f>SUMIFS(previsoes!D:D, previsoes!E:E, "&lt;=" &amp; EOMONTH(DATEVALUE(B658&amp;"-01"),0), previsoes!F:F, "&gt;=" &amp; DATEVALUE(B658&amp;"-01"))</f>
        <v>0</v>
      </c>
      <c r="H658" s="52">
        <f t="shared" si="5"/>
        <v>160491.8958</v>
      </c>
      <c r="I658" s="49">
        <f t="shared" si="3"/>
        <v>22906</v>
      </c>
      <c r="J658" s="52">
        <f>IF(A658&lt;&gt;"",SUMIFS(metas!N:N, metas!E:E, "&gt;=" &amp; DATEVALUE(B658&amp;"-01"),metas!D:D, "&lt;=" &amp; DATEVALUE(B658&amp;"-01")),"")</f>
        <v>3182.813937</v>
      </c>
      <c r="K658" s="49">
        <f t="shared" si="4"/>
        <v>19723.18606</v>
      </c>
      <c r="L658" s="49">
        <f t="shared" si="6"/>
        <v>12322016.59</v>
      </c>
      <c r="M658" s="49">
        <f>IF(A658&lt;&gt;"",IF(COUNTIF(investimento!F:F, B658) &gt; 0, SUM(investimento!B:B)+I658, M657+I658),"")</f>
        <v>14831900.68</v>
      </c>
    </row>
    <row r="659" ht="22.5" customHeight="1">
      <c r="A659" s="47">
        <v>50708.0</v>
      </c>
      <c r="B659" s="48" t="str">
        <f t="shared" si="1"/>
        <v>2038-10</v>
      </c>
      <c r="C659" s="49">
        <f>SUMIF(despesas_recorrentes!C:C, "&gt;="&amp;A659,despesas_recorrentes!B:B) 
+SUMIF(despesas_recorrentes!C:C, "",despesas_recorrentes!B:B)
-despesas_recorrentes!$B$12
+IF(SUMIF(gasto_cartao!E:E,saldo!B659,gasto_cartao!B:B)&gt;despesas_recorrentes!$B$12, SUMIF(gasto_cartao!E:E,saldo!B659,gasto_cartao!B:B),despesas_recorrentes!$B$12)</f>
        <v>34013</v>
      </c>
      <c r="D659" s="51">
        <f>SUM(receitas_recorrentes!B:B)+SUMIF(receitas_pontuais!E:E,B659,receitas_pontuais!B:B)</f>
        <v>56919</v>
      </c>
      <c r="E659" s="51">
        <f t="shared" si="2"/>
        <v>22906</v>
      </c>
      <c r="F659" s="53">
        <f>IFERROR(SUMIF(contas!G:G, B659, contas!B:B),0)</f>
        <v>0</v>
      </c>
      <c r="G659" s="51">
        <f>SUMIFS(previsoes!D:D, previsoes!E:E, "&lt;=" &amp; EOMONTH(DATEVALUE(B659&amp;"-01"),0), previsoes!F:F, "&gt;=" &amp; DATEVALUE(B659&amp;"-01"))</f>
        <v>0</v>
      </c>
      <c r="H659" s="52">
        <f t="shared" si="5"/>
        <v>160491.8958</v>
      </c>
      <c r="I659" s="49">
        <f t="shared" si="3"/>
        <v>22906</v>
      </c>
      <c r="J659" s="52">
        <f>IF(A659&lt;&gt;"",SUMIFS(metas!N:N, metas!E:E, "&gt;=" &amp; DATEVALUE(B659&amp;"-01"),metas!D:D, "&lt;=" &amp; DATEVALUE(B659&amp;"-01")),"")</f>
        <v>3182.813937</v>
      </c>
      <c r="K659" s="49">
        <f t="shared" si="4"/>
        <v>19723.18606</v>
      </c>
      <c r="L659" s="49">
        <f t="shared" si="6"/>
        <v>12341739.77</v>
      </c>
      <c r="M659" s="49">
        <f>IF(A659&lt;&gt;"",IF(COUNTIF(investimento!F:F, B659) &gt; 0, SUM(investimento!B:B)+I659, M658+I659),"")</f>
        <v>14854806.68</v>
      </c>
    </row>
    <row r="660" ht="22.5" customHeight="1">
      <c r="A660" s="47">
        <v>50709.0</v>
      </c>
      <c r="B660" s="48" t="str">
        <f t="shared" si="1"/>
        <v>2038-10</v>
      </c>
      <c r="C660" s="49">
        <f>SUMIF(despesas_recorrentes!C:C, "&gt;="&amp;A660,despesas_recorrentes!B:B) 
+SUMIF(despesas_recorrentes!C:C, "",despesas_recorrentes!B:B)
-despesas_recorrentes!$B$12
+IF(SUMIF(gasto_cartao!E:E,saldo!B660,gasto_cartao!B:B)&gt;despesas_recorrentes!$B$12, SUMIF(gasto_cartao!E:E,saldo!B660,gasto_cartao!B:B),despesas_recorrentes!$B$12)</f>
        <v>34013</v>
      </c>
      <c r="D660" s="51">
        <f>SUM(receitas_recorrentes!B:B)+SUMIF(receitas_pontuais!E:E,B660,receitas_pontuais!B:B)</f>
        <v>56919</v>
      </c>
      <c r="E660" s="51">
        <f t="shared" si="2"/>
        <v>22906</v>
      </c>
      <c r="F660" s="53">
        <f>IFERROR(SUMIF(contas!G:G, B660, contas!B:B),0)</f>
        <v>0</v>
      </c>
      <c r="G660" s="51">
        <f>SUMIFS(previsoes!D:D, previsoes!E:E, "&lt;=" &amp; EOMONTH(DATEVALUE(B660&amp;"-01"),0), previsoes!F:F, "&gt;=" &amp; DATEVALUE(B660&amp;"-01"))</f>
        <v>0</v>
      </c>
      <c r="H660" s="52">
        <f t="shared" si="5"/>
        <v>160491.8958</v>
      </c>
      <c r="I660" s="49">
        <f t="shared" si="3"/>
        <v>22906</v>
      </c>
      <c r="J660" s="52">
        <f>IF(A660&lt;&gt;"",SUMIFS(metas!N:N, metas!E:E, "&gt;=" &amp; DATEVALUE(B660&amp;"-01"),metas!D:D, "&lt;=" &amp; DATEVALUE(B660&amp;"-01")),"")</f>
        <v>3182.813937</v>
      </c>
      <c r="K660" s="49">
        <f t="shared" si="4"/>
        <v>19723.18606</v>
      </c>
      <c r="L660" s="49">
        <f t="shared" si="6"/>
        <v>12361462.96</v>
      </c>
      <c r="M660" s="49">
        <f>IF(A660&lt;&gt;"",IF(COUNTIF(investimento!F:F, B660) &gt; 0, SUM(investimento!B:B)+I660, M659+I660),"")</f>
        <v>14877712.68</v>
      </c>
    </row>
    <row r="661" ht="22.5" customHeight="1">
      <c r="A661" s="47">
        <v>50710.0</v>
      </c>
      <c r="B661" s="48" t="str">
        <f t="shared" si="1"/>
        <v>2038-11</v>
      </c>
      <c r="C661" s="49">
        <f>SUMIF(despesas_recorrentes!C:C, "&gt;="&amp;A661,despesas_recorrentes!B:B) 
+SUMIF(despesas_recorrentes!C:C, "",despesas_recorrentes!B:B)
-despesas_recorrentes!$B$12
+IF(SUMIF(gasto_cartao!E:E,saldo!B661,gasto_cartao!B:B)&gt;despesas_recorrentes!$B$12, SUMIF(gasto_cartao!E:E,saldo!B661,gasto_cartao!B:B),despesas_recorrentes!$B$12)</f>
        <v>34013</v>
      </c>
      <c r="D661" s="51">
        <f>SUM(receitas_recorrentes!B:B)+SUMIF(receitas_pontuais!E:E,B661,receitas_pontuais!B:B)</f>
        <v>56919</v>
      </c>
      <c r="E661" s="51">
        <f t="shared" si="2"/>
        <v>22906</v>
      </c>
      <c r="F661" s="53">
        <f>IFERROR(SUMIF(contas!G:G, B661, contas!B:B),0)</f>
        <v>0</v>
      </c>
      <c r="G661" s="51">
        <f>SUMIFS(previsoes!D:D, previsoes!E:E, "&lt;=" &amp; EOMONTH(DATEVALUE(B661&amp;"-01"),0), previsoes!F:F, "&gt;=" &amp; DATEVALUE(B661&amp;"-01"))</f>
        <v>0</v>
      </c>
      <c r="H661" s="52">
        <f t="shared" si="5"/>
        <v>160491.8958</v>
      </c>
      <c r="I661" s="49">
        <f t="shared" si="3"/>
        <v>22906</v>
      </c>
      <c r="J661" s="52">
        <f>IF(A661&lt;&gt;"",SUMIFS(metas!N:N, metas!E:E, "&gt;=" &amp; DATEVALUE(B661&amp;"-01"),metas!D:D, "&lt;=" &amp; DATEVALUE(B661&amp;"-01")),"")</f>
        <v>3182.813937</v>
      </c>
      <c r="K661" s="49">
        <f t="shared" si="4"/>
        <v>19723.18606</v>
      </c>
      <c r="L661" s="49">
        <f t="shared" si="6"/>
        <v>12381186.14</v>
      </c>
      <c r="M661" s="49">
        <f>IF(A661&lt;&gt;"",IF(COUNTIF(investimento!F:F, B661) &gt; 0, SUM(investimento!B:B)+I661, M660+I661),"")</f>
        <v>14900618.68</v>
      </c>
    </row>
    <row r="662" ht="22.5" customHeight="1">
      <c r="A662" s="47">
        <v>50711.0</v>
      </c>
      <c r="B662" s="48" t="str">
        <f t="shared" si="1"/>
        <v>2038-11</v>
      </c>
      <c r="C662" s="49">
        <f>SUMIF(despesas_recorrentes!C:C, "&gt;="&amp;A662,despesas_recorrentes!B:B) 
+SUMIF(despesas_recorrentes!C:C, "",despesas_recorrentes!B:B)
-despesas_recorrentes!$B$12
+IF(SUMIF(gasto_cartao!E:E,saldo!B662,gasto_cartao!B:B)&gt;despesas_recorrentes!$B$12, SUMIF(gasto_cartao!E:E,saldo!B662,gasto_cartao!B:B),despesas_recorrentes!$B$12)</f>
        <v>34013</v>
      </c>
      <c r="D662" s="51">
        <f>SUM(receitas_recorrentes!B:B)+SUMIF(receitas_pontuais!E:E,B662,receitas_pontuais!B:B)</f>
        <v>56919</v>
      </c>
      <c r="E662" s="51">
        <f t="shared" si="2"/>
        <v>22906</v>
      </c>
      <c r="F662" s="53">
        <f>IFERROR(SUMIF(contas!G:G, B662, contas!B:B),0)</f>
        <v>0</v>
      </c>
      <c r="G662" s="51">
        <f>SUMIFS(previsoes!D:D, previsoes!E:E, "&lt;=" &amp; EOMONTH(DATEVALUE(B662&amp;"-01"),0), previsoes!F:F, "&gt;=" &amp; DATEVALUE(B662&amp;"-01"))</f>
        <v>0</v>
      </c>
      <c r="H662" s="52">
        <f t="shared" si="5"/>
        <v>160491.8958</v>
      </c>
      <c r="I662" s="49">
        <f t="shared" si="3"/>
        <v>22906</v>
      </c>
      <c r="J662" s="52">
        <f>IF(A662&lt;&gt;"",SUMIFS(metas!N:N, metas!E:E, "&gt;=" &amp; DATEVALUE(B662&amp;"-01"),metas!D:D, "&lt;=" &amp; DATEVALUE(B662&amp;"-01")),"")</f>
        <v>3182.813937</v>
      </c>
      <c r="K662" s="49">
        <f t="shared" si="4"/>
        <v>19723.18606</v>
      </c>
      <c r="L662" s="49">
        <f t="shared" si="6"/>
        <v>12400909.33</v>
      </c>
      <c r="M662" s="49">
        <f>IF(A662&lt;&gt;"",IF(COUNTIF(investimento!F:F, B662) &gt; 0, SUM(investimento!B:B)+I662, M661+I662),"")</f>
        <v>14923524.68</v>
      </c>
    </row>
    <row r="663" ht="22.5" customHeight="1">
      <c r="A663" s="47">
        <v>50712.0</v>
      </c>
      <c r="B663" s="48" t="str">
        <f t="shared" si="1"/>
        <v>2038-11</v>
      </c>
      <c r="C663" s="49">
        <f>SUMIF(despesas_recorrentes!C:C, "&gt;="&amp;A663,despesas_recorrentes!B:B) 
+SUMIF(despesas_recorrentes!C:C, "",despesas_recorrentes!B:B)
-despesas_recorrentes!$B$12
+IF(SUMIF(gasto_cartao!E:E,saldo!B663,gasto_cartao!B:B)&gt;despesas_recorrentes!$B$12, SUMIF(gasto_cartao!E:E,saldo!B663,gasto_cartao!B:B),despesas_recorrentes!$B$12)</f>
        <v>34013</v>
      </c>
      <c r="D663" s="51">
        <f>SUM(receitas_recorrentes!B:B)+SUMIF(receitas_pontuais!E:E,B663,receitas_pontuais!B:B)</f>
        <v>56919</v>
      </c>
      <c r="E663" s="51">
        <f t="shared" si="2"/>
        <v>22906</v>
      </c>
      <c r="F663" s="53">
        <f>IFERROR(SUMIF(contas!G:G, B663, contas!B:B),0)</f>
        <v>0</v>
      </c>
      <c r="G663" s="51">
        <f>SUMIFS(previsoes!D:D, previsoes!E:E, "&lt;=" &amp; EOMONTH(DATEVALUE(B663&amp;"-01"),0), previsoes!F:F, "&gt;=" &amp; DATEVALUE(B663&amp;"-01"))</f>
        <v>0</v>
      </c>
      <c r="H663" s="52">
        <f t="shared" si="5"/>
        <v>160491.8958</v>
      </c>
      <c r="I663" s="49">
        <f t="shared" si="3"/>
        <v>22906</v>
      </c>
      <c r="J663" s="52">
        <f>IF(A663&lt;&gt;"",SUMIFS(metas!N:N, metas!E:E, "&gt;=" &amp; DATEVALUE(B663&amp;"-01"),metas!D:D, "&lt;=" &amp; DATEVALUE(B663&amp;"-01")),"")</f>
        <v>3182.813937</v>
      </c>
      <c r="K663" s="49">
        <f t="shared" si="4"/>
        <v>19723.18606</v>
      </c>
      <c r="L663" s="49">
        <f t="shared" si="6"/>
        <v>12420632.52</v>
      </c>
      <c r="M663" s="49">
        <f>IF(A663&lt;&gt;"",IF(COUNTIF(investimento!F:F, B663) &gt; 0, SUM(investimento!B:B)+I663, M662+I663),"")</f>
        <v>14946430.68</v>
      </c>
    </row>
    <row r="664" ht="22.5" customHeight="1">
      <c r="A664" s="47">
        <v>50713.0</v>
      </c>
      <c r="B664" s="48" t="str">
        <f t="shared" si="1"/>
        <v>2038-11</v>
      </c>
      <c r="C664" s="49">
        <f>SUMIF(despesas_recorrentes!C:C, "&gt;="&amp;A664,despesas_recorrentes!B:B) 
+SUMIF(despesas_recorrentes!C:C, "",despesas_recorrentes!B:B)
-despesas_recorrentes!$B$12
+IF(SUMIF(gasto_cartao!E:E,saldo!B664,gasto_cartao!B:B)&gt;despesas_recorrentes!$B$12, SUMIF(gasto_cartao!E:E,saldo!B664,gasto_cartao!B:B),despesas_recorrentes!$B$12)</f>
        <v>34013</v>
      </c>
      <c r="D664" s="51">
        <f>SUM(receitas_recorrentes!B:B)+SUMIF(receitas_pontuais!E:E,B664,receitas_pontuais!B:B)</f>
        <v>56919</v>
      </c>
      <c r="E664" s="51">
        <f t="shared" si="2"/>
        <v>22906</v>
      </c>
      <c r="F664" s="53">
        <f>IFERROR(SUMIF(contas!G:G, B664, contas!B:B),0)</f>
        <v>0</v>
      </c>
      <c r="G664" s="51">
        <f>SUMIFS(previsoes!D:D, previsoes!E:E, "&lt;=" &amp; EOMONTH(DATEVALUE(B664&amp;"-01"),0), previsoes!F:F, "&gt;=" &amp; DATEVALUE(B664&amp;"-01"))</f>
        <v>0</v>
      </c>
      <c r="H664" s="52">
        <f t="shared" si="5"/>
        <v>160491.8958</v>
      </c>
      <c r="I664" s="49">
        <f t="shared" si="3"/>
        <v>22906</v>
      </c>
      <c r="J664" s="52">
        <f>IF(A664&lt;&gt;"",SUMIFS(metas!N:N, metas!E:E, "&gt;=" &amp; DATEVALUE(B664&amp;"-01"),metas!D:D, "&lt;=" &amp; DATEVALUE(B664&amp;"-01")),"")</f>
        <v>3182.813937</v>
      </c>
      <c r="K664" s="49">
        <f t="shared" si="4"/>
        <v>19723.18606</v>
      </c>
      <c r="L664" s="49">
        <f t="shared" si="6"/>
        <v>12440355.7</v>
      </c>
      <c r="M664" s="49">
        <f>IF(A664&lt;&gt;"",IF(COUNTIF(investimento!F:F, B664) &gt; 0, SUM(investimento!B:B)+I664, M663+I664),"")</f>
        <v>14969336.68</v>
      </c>
    </row>
    <row r="665" ht="22.5" customHeight="1">
      <c r="A665" s="47">
        <v>50714.0</v>
      </c>
      <c r="B665" s="48" t="str">
        <f t="shared" si="1"/>
        <v>2038-11</v>
      </c>
      <c r="C665" s="49">
        <f>SUMIF(despesas_recorrentes!C:C, "&gt;="&amp;A665,despesas_recorrentes!B:B) 
+SUMIF(despesas_recorrentes!C:C, "",despesas_recorrentes!B:B)
-despesas_recorrentes!$B$12
+IF(SUMIF(gasto_cartao!E:E,saldo!B665,gasto_cartao!B:B)&gt;despesas_recorrentes!$B$12, SUMIF(gasto_cartao!E:E,saldo!B665,gasto_cartao!B:B),despesas_recorrentes!$B$12)</f>
        <v>34013</v>
      </c>
      <c r="D665" s="51">
        <f>SUM(receitas_recorrentes!B:B)+SUMIF(receitas_pontuais!E:E,B665,receitas_pontuais!B:B)</f>
        <v>56919</v>
      </c>
      <c r="E665" s="51">
        <f t="shared" si="2"/>
        <v>22906</v>
      </c>
      <c r="F665" s="53">
        <f>IFERROR(SUMIF(contas!G:G, B665, contas!B:B),0)</f>
        <v>0</v>
      </c>
      <c r="G665" s="51">
        <f>SUMIFS(previsoes!D:D, previsoes!E:E, "&lt;=" &amp; EOMONTH(DATEVALUE(B665&amp;"-01"),0), previsoes!F:F, "&gt;=" &amp; DATEVALUE(B665&amp;"-01"))</f>
        <v>0</v>
      </c>
      <c r="H665" s="52">
        <f t="shared" si="5"/>
        <v>160491.8958</v>
      </c>
      <c r="I665" s="49">
        <f t="shared" si="3"/>
        <v>22906</v>
      </c>
      <c r="J665" s="52">
        <f>IF(A665&lt;&gt;"",SUMIFS(metas!N:N, metas!E:E, "&gt;=" &amp; DATEVALUE(B665&amp;"-01"),metas!D:D, "&lt;=" &amp; DATEVALUE(B665&amp;"-01")),"")</f>
        <v>3182.813937</v>
      </c>
      <c r="K665" s="49">
        <f t="shared" si="4"/>
        <v>19723.18606</v>
      </c>
      <c r="L665" s="49">
        <f t="shared" si="6"/>
        <v>12460078.89</v>
      </c>
      <c r="M665" s="49">
        <f>IF(A665&lt;&gt;"",IF(COUNTIF(investimento!F:F, B665) &gt; 0, SUM(investimento!B:B)+I665, M664+I665),"")</f>
        <v>14992242.68</v>
      </c>
    </row>
    <row r="666" ht="22.5" customHeight="1">
      <c r="A666" s="47">
        <v>50715.0</v>
      </c>
      <c r="B666" s="48" t="str">
        <f t="shared" si="1"/>
        <v>2038-11</v>
      </c>
      <c r="C666" s="49">
        <f>SUMIF(despesas_recorrentes!C:C, "&gt;="&amp;A666,despesas_recorrentes!B:B) 
+SUMIF(despesas_recorrentes!C:C, "",despesas_recorrentes!B:B)
-despesas_recorrentes!$B$12
+IF(SUMIF(gasto_cartao!E:E,saldo!B666,gasto_cartao!B:B)&gt;despesas_recorrentes!$B$12, SUMIF(gasto_cartao!E:E,saldo!B666,gasto_cartao!B:B),despesas_recorrentes!$B$12)</f>
        <v>34013</v>
      </c>
      <c r="D666" s="51">
        <f>SUM(receitas_recorrentes!B:B)+SUMIF(receitas_pontuais!E:E,B666,receitas_pontuais!B:B)</f>
        <v>56919</v>
      </c>
      <c r="E666" s="51">
        <f t="shared" si="2"/>
        <v>22906</v>
      </c>
      <c r="F666" s="53">
        <f>IFERROR(SUMIF(contas!G:G, B666, contas!B:B),0)</f>
        <v>0</v>
      </c>
      <c r="G666" s="51">
        <f>SUMIFS(previsoes!D:D, previsoes!E:E, "&lt;=" &amp; EOMONTH(DATEVALUE(B666&amp;"-01"),0), previsoes!F:F, "&gt;=" &amp; DATEVALUE(B666&amp;"-01"))</f>
        <v>0</v>
      </c>
      <c r="H666" s="52">
        <f t="shared" si="5"/>
        <v>160491.8958</v>
      </c>
      <c r="I666" s="49">
        <f t="shared" si="3"/>
        <v>22906</v>
      </c>
      <c r="J666" s="52">
        <f>IF(A666&lt;&gt;"",SUMIFS(metas!N:N, metas!E:E, "&gt;=" &amp; DATEVALUE(B666&amp;"-01"),metas!D:D, "&lt;=" &amp; DATEVALUE(B666&amp;"-01")),"")</f>
        <v>3182.813937</v>
      </c>
      <c r="K666" s="49">
        <f t="shared" si="4"/>
        <v>19723.18606</v>
      </c>
      <c r="L666" s="49">
        <f t="shared" si="6"/>
        <v>12479802.07</v>
      </c>
      <c r="M666" s="49">
        <f>IF(A666&lt;&gt;"",IF(COUNTIF(investimento!F:F, B666) &gt; 0, SUM(investimento!B:B)+I666, M665+I666),"")</f>
        <v>15015148.68</v>
      </c>
    </row>
    <row r="667" ht="22.5" customHeight="1">
      <c r="A667" s="47">
        <v>50716.0</v>
      </c>
      <c r="B667" s="48" t="str">
        <f t="shared" si="1"/>
        <v>2038-11</v>
      </c>
      <c r="C667" s="49">
        <f>SUMIF(despesas_recorrentes!C:C, "&gt;="&amp;A667,despesas_recorrentes!B:B) 
+SUMIF(despesas_recorrentes!C:C, "",despesas_recorrentes!B:B)
-despesas_recorrentes!$B$12
+IF(SUMIF(gasto_cartao!E:E,saldo!B667,gasto_cartao!B:B)&gt;despesas_recorrentes!$B$12, SUMIF(gasto_cartao!E:E,saldo!B667,gasto_cartao!B:B),despesas_recorrentes!$B$12)</f>
        <v>34013</v>
      </c>
      <c r="D667" s="51">
        <f>SUM(receitas_recorrentes!B:B)+SUMIF(receitas_pontuais!E:E,B667,receitas_pontuais!B:B)</f>
        <v>56919</v>
      </c>
      <c r="E667" s="51">
        <f t="shared" si="2"/>
        <v>22906</v>
      </c>
      <c r="F667" s="53">
        <f>IFERROR(SUMIF(contas!G:G, B667, contas!B:B),0)</f>
        <v>0</v>
      </c>
      <c r="G667" s="51">
        <f>SUMIFS(previsoes!D:D, previsoes!E:E, "&lt;=" &amp; EOMONTH(DATEVALUE(B667&amp;"-01"),0), previsoes!F:F, "&gt;=" &amp; DATEVALUE(B667&amp;"-01"))</f>
        <v>0</v>
      </c>
      <c r="H667" s="52">
        <f t="shared" si="5"/>
        <v>160491.8958</v>
      </c>
      <c r="I667" s="49">
        <f t="shared" si="3"/>
        <v>22906</v>
      </c>
      <c r="J667" s="52">
        <f>IF(A667&lt;&gt;"",SUMIFS(metas!N:N, metas!E:E, "&gt;=" &amp; DATEVALUE(B667&amp;"-01"),metas!D:D, "&lt;=" &amp; DATEVALUE(B667&amp;"-01")),"")</f>
        <v>3182.813937</v>
      </c>
      <c r="K667" s="49">
        <f t="shared" si="4"/>
        <v>19723.18606</v>
      </c>
      <c r="L667" s="49">
        <f t="shared" si="6"/>
        <v>12499525.26</v>
      </c>
      <c r="M667" s="49">
        <f>IF(A667&lt;&gt;"",IF(COUNTIF(investimento!F:F, B667) &gt; 0, SUM(investimento!B:B)+I667, M666+I667),"")</f>
        <v>15038054.68</v>
      </c>
    </row>
    <row r="668" ht="22.5" customHeight="1">
      <c r="A668" s="47">
        <v>50717.0</v>
      </c>
      <c r="B668" s="48" t="str">
        <f t="shared" si="1"/>
        <v>2038-11</v>
      </c>
      <c r="C668" s="49">
        <f>SUMIF(despesas_recorrentes!C:C, "&gt;="&amp;A668,despesas_recorrentes!B:B) 
+SUMIF(despesas_recorrentes!C:C, "",despesas_recorrentes!B:B)
-despesas_recorrentes!$B$12
+IF(SUMIF(gasto_cartao!E:E,saldo!B668,gasto_cartao!B:B)&gt;despesas_recorrentes!$B$12, SUMIF(gasto_cartao!E:E,saldo!B668,gasto_cartao!B:B),despesas_recorrentes!$B$12)</f>
        <v>34013</v>
      </c>
      <c r="D668" s="51">
        <f>SUM(receitas_recorrentes!B:B)+SUMIF(receitas_pontuais!E:E,B668,receitas_pontuais!B:B)</f>
        <v>56919</v>
      </c>
      <c r="E668" s="51">
        <f t="shared" si="2"/>
        <v>22906</v>
      </c>
      <c r="F668" s="53">
        <f>IFERROR(SUMIF(contas!G:G, B668, contas!B:B),0)</f>
        <v>0</v>
      </c>
      <c r="G668" s="51">
        <f>SUMIFS(previsoes!D:D, previsoes!E:E, "&lt;=" &amp; EOMONTH(DATEVALUE(B668&amp;"-01"),0), previsoes!F:F, "&gt;=" &amp; DATEVALUE(B668&amp;"-01"))</f>
        <v>0</v>
      </c>
      <c r="H668" s="52">
        <f t="shared" si="5"/>
        <v>160491.8958</v>
      </c>
      <c r="I668" s="49">
        <f t="shared" si="3"/>
        <v>22906</v>
      </c>
      <c r="J668" s="52">
        <f>IF(A668&lt;&gt;"",SUMIFS(metas!N:N, metas!E:E, "&gt;=" &amp; DATEVALUE(B668&amp;"-01"),metas!D:D, "&lt;=" &amp; DATEVALUE(B668&amp;"-01")),"")</f>
        <v>3182.813937</v>
      </c>
      <c r="K668" s="49">
        <f t="shared" si="4"/>
        <v>19723.18606</v>
      </c>
      <c r="L668" s="49">
        <f t="shared" si="6"/>
        <v>12519248.45</v>
      </c>
      <c r="M668" s="49">
        <f>IF(A668&lt;&gt;"",IF(COUNTIF(investimento!F:F, B668) &gt; 0, SUM(investimento!B:B)+I668, M667+I668),"")</f>
        <v>15060960.68</v>
      </c>
    </row>
    <row r="669" ht="22.5" customHeight="1">
      <c r="A669" s="47">
        <v>50718.0</v>
      </c>
      <c r="B669" s="48" t="str">
        <f t="shared" si="1"/>
        <v>2038-11</v>
      </c>
      <c r="C669" s="49">
        <f>SUMIF(despesas_recorrentes!C:C, "&gt;="&amp;A669,despesas_recorrentes!B:B) 
+SUMIF(despesas_recorrentes!C:C, "",despesas_recorrentes!B:B)
-despesas_recorrentes!$B$12
+IF(SUMIF(gasto_cartao!E:E,saldo!B669,gasto_cartao!B:B)&gt;despesas_recorrentes!$B$12, SUMIF(gasto_cartao!E:E,saldo!B669,gasto_cartao!B:B),despesas_recorrentes!$B$12)</f>
        <v>34013</v>
      </c>
      <c r="D669" s="51">
        <f>SUM(receitas_recorrentes!B:B)+SUMIF(receitas_pontuais!E:E,B669,receitas_pontuais!B:B)</f>
        <v>56919</v>
      </c>
      <c r="E669" s="51">
        <f t="shared" si="2"/>
        <v>22906</v>
      </c>
      <c r="F669" s="53">
        <f>IFERROR(SUMIF(contas!G:G, B669, contas!B:B),0)</f>
        <v>0</v>
      </c>
      <c r="G669" s="51">
        <f>SUMIFS(previsoes!D:D, previsoes!E:E, "&lt;=" &amp; EOMONTH(DATEVALUE(B669&amp;"-01"),0), previsoes!F:F, "&gt;=" &amp; DATEVALUE(B669&amp;"-01"))</f>
        <v>0</v>
      </c>
      <c r="H669" s="52">
        <f t="shared" si="5"/>
        <v>160491.8958</v>
      </c>
      <c r="I669" s="49">
        <f t="shared" si="3"/>
        <v>22906</v>
      </c>
      <c r="J669" s="52">
        <f>IF(A669&lt;&gt;"",SUMIFS(metas!N:N, metas!E:E, "&gt;=" &amp; DATEVALUE(B669&amp;"-01"),metas!D:D, "&lt;=" &amp; DATEVALUE(B669&amp;"-01")),"")</f>
        <v>3182.813937</v>
      </c>
      <c r="K669" s="49">
        <f t="shared" si="4"/>
        <v>19723.18606</v>
      </c>
      <c r="L669" s="49">
        <f t="shared" si="6"/>
        <v>12538971.63</v>
      </c>
      <c r="M669" s="49">
        <f>IF(A669&lt;&gt;"",IF(COUNTIF(investimento!F:F, B669) &gt; 0, SUM(investimento!B:B)+I669, M668+I669),"")</f>
        <v>15083866.68</v>
      </c>
    </row>
    <row r="670" ht="22.5" customHeight="1">
      <c r="A670" s="47">
        <v>50719.0</v>
      </c>
      <c r="B670" s="48" t="str">
        <f t="shared" si="1"/>
        <v>2038-11</v>
      </c>
      <c r="C670" s="49">
        <f>SUMIF(despesas_recorrentes!C:C, "&gt;="&amp;A670,despesas_recorrentes!B:B) 
+SUMIF(despesas_recorrentes!C:C, "",despesas_recorrentes!B:B)
-despesas_recorrentes!$B$12
+IF(SUMIF(gasto_cartao!E:E,saldo!B670,gasto_cartao!B:B)&gt;despesas_recorrentes!$B$12, SUMIF(gasto_cartao!E:E,saldo!B670,gasto_cartao!B:B),despesas_recorrentes!$B$12)</f>
        <v>34013</v>
      </c>
      <c r="D670" s="51">
        <f>SUM(receitas_recorrentes!B:B)+SUMIF(receitas_pontuais!E:E,B670,receitas_pontuais!B:B)</f>
        <v>56919</v>
      </c>
      <c r="E670" s="51">
        <f t="shared" si="2"/>
        <v>22906</v>
      </c>
      <c r="F670" s="53">
        <f>IFERROR(SUMIF(contas!G:G, B670, contas!B:B),0)</f>
        <v>0</v>
      </c>
      <c r="G670" s="51">
        <f>SUMIFS(previsoes!D:D, previsoes!E:E, "&lt;=" &amp; EOMONTH(DATEVALUE(B670&amp;"-01"),0), previsoes!F:F, "&gt;=" &amp; DATEVALUE(B670&amp;"-01"))</f>
        <v>0</v>
      </c>
      <c r="H670" s="52">
        <f t="shared" si="5"/>
        <v>160491.8958</v>
      </c>
      <c r="I670" s="49">
        <f t="shared" si="3"/>
        <v>22906</v>
      </c>
      <c r="J670" s="52">
        <f>IF(A670&lt;&gt;"",SUMIFS(metas!N:N, metas!E:E, "&gt;=" &amp; DATEVALUE(B670&amp;"-01"),metas!D:D, "&lt;=" &amp; DATEVALUE(B670&amp;"-01")),"")</f>
        <v>3182.813937</v>
      </c>
      <c r="K670" s="49">
        <f t="shared" si="4"/>
        <v>19723.18606</v>
      </c>
      <c r="L670" s="49">
        <f t="shared" si="6"/>
        <v>12558694.82</v>
      </c>
      <c r="M670" s="49">
        <f>IF(A670&lt;&gt;"",IF(COUNTIF(investimento!F:F, B670) &gt; 0, SUM(investimento!B:B)+I670, M669+I670),"")</f>
        <v>15106772.68</v>
      </c>
    </row>
    <row r="671" ht="22.5" customHeight="1">
      <c r="A671" s="47">
        <v>50720.0</v>
      </c>
      <c r="B671" s="48" t="str">
        <f t="shared" si="1"/>
        <v>2038-11</v>
      </c>
      <c r="C671" s="49">
        <f>SUMIF(despesas_recorrentes!C:C, "&gt;="&amp;A671,despesas_recorrentes!B:B) 
+SUMIF(despesas_recorrentes!C:C, "",despesas_recorrentes!B:B)
-despesas_recorrentes!$B$12
+IF(SUMIF(gasto_cartao!E:E,saldo!B671,gasto_cartao!B:B)&gt;despesas_recorrentes!$B$12, SUMIF(gasto_cartao!E:E,saldo!B671,gasto_cartao!B:B),despesas_recorrentes!$B$12)</f>
        <v>34013</v>
      </c>
      <c r="D671" s="51">
        <f>SUM(receitas_recorrentes!B:B)+SUMIF(receitas_pontuais!E:E,B671,receitas_pontuais!B:B)</f>
        <v>56919</v>
      </c>
      <c r="E671" s="51">
        <f t="shared" si="2"/>
        <v>22906</v>
      </c>
      <c r="F671" s="53">
        <f>IFERROR(SUMIF(contas!G:G, B671, contas!B:B),0)</f>
        <v>0</v>
      </c>
      <c r="G671" s="51">
        <f>SUMIFS(previsoes!D:D, previsoes!E:E, "&lt;=" &amp; EOMONTH(DATEVALUE(B671&amp;"-01"),0), previsoes!F:F, "&gt;=" &amp; DATEVALUE(B671&amp;"-01"))</f>
        <v>0</v>
      </c>
      <c r="H671" s="52">
        <f t="shared" si="5"/>
        <v>160491.8958</v>
      </c>
      <c r="I671" s="49">
        <f t="shared" si="3"/>
        <v>22906</v>
      </c>
      <c r="J671" s="52">
        <f>IF(A671&lt;&gt;"",SUMIFS(metas!N:N, metas!E:E, "&gt;=" &amp; DATEVALUE(B671&amp;"-01"),metas!D:D, "&lt;=" &amp; DATEVALUE(B671&amp;"-01")),"")</f>
        <v>3182.813937</v>
      </c>
      <c r="K671" s="49">
        <f t="shared" si="4"/>
        <v>19723.18606</v>
      </c>
      <c r="L671" s="49">
        <f t="shared" si="6"/>
        <v>12578418</v>
      </c>
      <c r="M671" s="49">
        <f>IF(A671&lt;&gt;"",IF(COUNTIF(investimento!F:F, B671) &gt; 0, SUM(investimento!B:B)+I671, M670+I671),"")</f>
        <v>15129678.68</v>
      </c>
    </row>
    <row r="672" ht="22.5" customHeight="1">
      <c r="A672" s="47">
        <v>50721.0</v>
      </c>
      <c r="B672" s="48" t="str">
        <f t="shared" si="1"/>
        <v>2038-11</v>
      </c>
      <c r="C672" s="49">
        <f>SUMIF(despesas_recorrentes!C:C, "&gt;="&amp;A672,despesas_recorrentes!B:B) 
+SUMIF(despesas_recorrentes!C:C, "",despesas_recorrentes!B:B)
-despesas_recorrentes!$B$12
+IF(SUMIF(gasto_cartao!E:E,saldo!B672,gasto_cartao!B:B)&gt;despesas_recorrentes!$B$12, SUMIF(gasto_cartao!E:E,saldo!B672,gasto_cartao!B:B),despesas_recorrentes!$B$12)</f>
        <v>34013</v>
      </c>
      <c r="D672" s="51">
        <f>SUM(receitas_recorrentes!B:B)+SUMIF(receitas_pontuais!E:E,B672,receitas_pontuais!B:B)</f>
        <v>56919</v>
      </c>
      <c r="E672" s="51">
        <f t="shared" si="2"/>
        <v>22906</v>
      </c>
      <c r="F672" s="53">
        <f>IFERROR(SUMIF(contas!G:G, B672, contas!B:B),0)</f>
        <v>0</v>
      </c>
      <c r="G672" s="51">
        <f>SUMIFS(previsoes!D:D, previsoes!E:E, "&lt;=" &amp; EOMONTH(DATEVALUE(B672&amp;"-01"),0), previsoes!F:F, "&gt;=" &amp; DATEVALUE(B672&amp;"-01"))</f>
        <v>0</v>
      </c>
      <c r="H672" s="52">
        <f t="shared" si="5"/>
        <v>160491.8958</v>
      </c>
      <c r="I672" s="49">
        <f t="shared" si="3"/>
        <v>22906</v>
      </c>
      <c r="J672" s="52">
        <f>IF(A672&lt;&gt;"",SUMIFS(metas!N:N, metas!E:E, "&gt;=" &amp; DATEVALUE(B672&amp;"-01"),metas!D:D, "&lt;=" &amp; DATEVALUE(B672&amp;"-01")),"")</f>
        <v>3182.813937</v>
      </c>
      <c r="K672" s="49">
        <f t="shared" si="4"/>
        <v>19723.18606</v>
      </c>
      <c r="L672" s="49">
        <f t="shared" si="6"/>
        <v>12598141.19</v>
      </c>
      <c r="M672" s="49">
        <f>IF(A672&lt;&gt;"",IF(COUNTIF(investimento!F:F, B672) &gt; 0, SUM(investimento!B:B)+I672, M671+I672),"")</f>
        <v>15152584.68</v>
      </c>
    </row>
    <row r="673" ht="22.5" customHeight="1">
      <c r="A673" s="47">
        <v>50722.0</v>
      </c>
      <c r="B673" s="48" t="str">
        <f t="shared" si="1"/>
        <v>2038-11</v>
      </c>
      <c r="C673" s="49">
        <f>SUMIF(despesas_recorrentes!C:C, "&gt;="&amp;A673,despesas_recorrentes!B:B) 
+SUMIF(despesas_recorrentes!C:C, "",despesas_recorrentes!B:B)
-despesas_recorrentes!$B$12
+IF(SUMIF(gasto_cartao!E:E,saldo!B673,gasto_cartao!B:B)&gt;despesas_recorrentes!$B$12, SUMIF(gasto_cartao!E:E,saldo!B673,gasto_cartao!B:B),despesas_recorrentes!$B$12)</f>
        <v>34013</v>
      </c>
      <c r="D673" s="51">
        <f>SUM(receitas_recorrentes!B:B)+SUMIF(receitas_pontuais!E:E,B673,receitas_pontuais!B:B)</f>
        <v>56919</v>
      </c>
      <c r="E673" s="51">
        <f t="shared" si="2"/>
        <v>22906</v>
      </c>
      <c r="F673" s="53">
        <f>IFERROR(SUMIF(contas!G:G, B673, contas!B:B),0)</f>
        <v>0</v>
      </c>
      <c r="G673" s="51">
        <f>SUMIFS(previsoes!D:D, previsoes!E:E, "&lt;=" &amp; EOMONTH(DATEVALUE(B673&amp;"-01"),0), previsoes!F:F, "&gt;=" &amp; DATEVALUE(B673&amp;"-01"))</f>
        <v>0</v>
      </c>
      <c r="H673" s="52">
        <f t="shared" si="5"/>
        <v>160491.8958</v>
      </c>
      <c r="I673" s="49">
        <f t="shared" si="3"/>
        <v>22906</v>
      </c>
      <c r="J673" s="52">
        <f>IF(A673&lt;&gt;"",SUMIFS(metas!N:N, metas!E:E, "&gt;=" &amp; DATEVALUE(B673&amp;"-01"),metas!D:D, "&lt;=" &amp; DATEVALUE(B673&amp;"-01")),"")</f>
        <v>3182.813937</v>
      </c>
      <c r="K673" s="49">
        <f t="shared" si="4"/>
        <v>19723.18606</v>
      </c>
      <c r="L673" s="49">
        <f t="shared" si="6"/>
        <v>12617864.38</v>
      </c>
      <c r="M673" s="49">
        <f>IF(A673&lt;&gt;"",IF(COUNTIF(investimento!F:F, B673) &gt; 0, SUM(investimento!B:B)+I673, M672+I673),"")</f>
        <v>15175490.68</v>
      </c>
    </row>
    <row r="674" ht="22.5" customHeight="1">
      <c r="A674" s="47">
        <v>50723.0</v>
      </c>
      <c r="B674" s="48" t="str">
        <f t="shared" si="1"/>
        <v>2038-11</v>
      </c>
      <c r="C674" s="49">
        <f>SUMIF(despesas_recorrentes!C:C, "&gt;="&amp;A674,despesas_recorrentes!B:B) 
+SUMIF(despesas_recorrentes!C:C, "",despesas_recorrentes!B:B)
-despesas_recorrentes!$B$12
+IF(SUMIF(gasto_cartao!E:E,saldo!B674,gasto_cartao!B:B)&gt;despesas_recorrentes!$B$12, SUMIF(gasto_cartao!E:E,saldo!B674,gasto_cartao!B:B),despesas_recorrentes!$B$12)</f>
        <v>34013</v>
      </c>
      <c r="D674" s="51">
        <f>SUM(receitas_recorrentes!B:B)+SUMIF(receitas_pontuais!E:E,B674,receitas_pontuais!B:B)</f>
        <v>56919</v>
      </c>
      <c r="E674" s="51">
        <f t="shared" si="2"/>
        <v>22906</v>
      </c>
      <c r="F674" s="53">
        <f>IFERROR(SUMIF(contas!G:G, B674, contas!B:B),0)</f>
        <v>0</v>
      </c>
      <c r="G674" s="51">
        <f>SUMIFS(previsoes!D:D, previsoes!E:E, "&lt;=" &amp; EOMONTH(DATEVALUE(B674&amp;"-01"),0), previsoes!F:F, "&gt;=" &amp; DATEVALUE(B674&amp;"-01"))</f>
        <v>0</v>
      </c>
      <c r="H674" s="52">
        <f t="shared" si="5"/>
        <v>160491.8958</v>
      </c>
      <c r="I674" s="49">
        <f t="shared" si="3"/>
        <v>22906</v>
      </c>
      <c r="J674" s="52">
        <f>IF(A674&lt;&gt;"",SUMIFS(metas!N:N, metas!E:E, "&gt;=" &amp; DATEVALUE(B674&amp;"-01"),metas!D:D, "&lt;=" &amp; DATEVALUE(B674&amp;"-01")),"")</f>
        <v>3182.813937</v>
      </c>
      <c r="K674" s="49">
        <f t="shared" si="4"/>
        <v>19723.18606</v>
      </c>
      <c r="L674" s="49">
        <f t="shared" si="6"/>
        <v>12637587.56</v>
      </c>
      <c r="M674" s="49">
        <f>IF(A674&lt;&gt;"",IF(COUNTIF(investimento!F:F, B674) &gt; 0, SUM(investimento!B:B)+I674, M673+I674),"")</f>
        <v>15198396.68</v>
      </c>
    </row>
    <row r="675" ht="22.5" customHeight="1">
      <c r="A675" s="47">
        <v>50724.0</v>
      </c>
      <c r="B675" s="48" t="str">
        <f t="shared" si="1"/>
        <v>2038-11</v>
      </c>
      <c r="C675" s="49">
        <f>SUMIF(despesas_recorrentes!C:C, "&gt;="&amp;A675,despesas_recorrentes!B:B) 
+SUMIF(despesas_recorrentes!C:C, "",despesas_recorrentes!B:B)
-despesas_recorrentes!$B$12
+IF(SUMIF(gasto_cartao!E:E,saldo!B675,gasto_cartao!B:B)&gt;despesas_recorrentes!$B$12, SUMIF(gasto_cartao!E:E,saldo!B675,gasto_cartao!B:B),despesas_recorrentes!$B$12)</f>
        <v>34013</v>
      </c>
      <c r="D675" s="51">
        <f>SUM(receitas_recorrentes!B:B)+SUMIF(receitas_pontuais!E:E,B675,receitas_pontuais!B:B)</f>
        <v>56919</v>
      </c>
      <c r="E675" s="51">
        <f t="shared" si="2"/>
        <v>22906</v>
      </c>
      <c r="F675" s="53">
        <f>IFERROR(SUMIF(contas!G:G, B675, contas!B:B),0)</f>
        <v>0</v>
      </c>
      <c r="G675" s="51">
        <f>SUMIFS(previsoes!D:D, previsoes!E:E, "&lt;=" &amp; EOMONTH(DATEVALUE(B675&amp;"-01"),0), previsoes!F:F, "&gt;=" &amp; DATEVALUE(B675&amp;"-01"))</f>
        <v>0</v>
      </c>
      <c r="H675" s="52">
        <f t="shared" si="5"/>
        <v>160491.8958</v>
      </c>
      <c r="I675" s="49">
        <f t="shared" si="3"/>
        <v>22906</v>
      </c>
      <c r="J675" s="52">
        <f>IF(A675&lt;&gt;"",SUMIFS(metas!N:N, metas!E:E, "&gt;=" &amp; DATEVALUE(B675&amp;"-01"),metas!D:D, "&lt;=" &amp; DATEVALUE(B675&amp;"-01")),"")</f>
        <v>3182.813937</v>
      </c>
      <c r="K675" s="49">
        <f t="shared" si="4"/>
        <v>19723.18606</v>
      </c>
      <c r="L675" s="49">
        <f t="shared" si="6"/>
        <v>12657310.75</v>
      </c>
      <c r="M675" s="49">
        <f>IF(A675&lt;&gt;"",IF(COUNTIF(investimento!F:F, B675) &gt; 0, SUM(investimento!B:B)+I675, M674+I675),"")</f>
        <v>15221302.68</v>
      </c>
    </row>
    <row r="676" ht="22.5" customHeight="1">
      <c r="A676" s="47">
        <v>50725.0</v>
      </c>
      <c r="B676" s="48" t="str">
        <f t="shared" si="1"/>
        <v>2038-11</v>
      </c>
      <c r="C676" s="49">
        <f>SUMIF(despesas_recorrentes!C:C, "&gt;="&amp;A676,despesas_recorrentes!B:B) 
+SUMIF(despesas_recorrentes!C:C, "",despesas_recorrentes!B:B)
-despesas_recorrentes!$B$12
+IF(SUMIF(gasto_cartao!E:E,saldo!B676,gasto_cartao!B:B)&gt;despesas_recorrentes!$B$12, SUMIF(gasto_cartao!E:E,saldo!B676,gasto_cartao!B:B),despesas_recorrentes!$B$12)</f>
        <v>34013</v>
      </c>
      <c r="D676" s="51">
        <f>SUM(receitas_recorrentes!B:B)+SUMIF(receitas_pontuais!E:E,B676,receitas_pontuais!B:B)</f>
        <v>56919</v>
      </c>
      <c r="E676" s="51">
        <f t="shared" si="2"/>
        <v>22906</v>
      </c>
      <c r="F676" s="53">
        <f>IFERROR(SUMIF(contas!G:G, B676, contas!B:B),0)</f>
        <v>0</v>
      </c>
      <c r="G676" s="51">
        <f>SUMIFS(previsoes!D:D, previsoes!E:E, "&lt;=" &amp; EOMONTH(DATEVALUE(B676&amp;"-01"),0), previsoes!F:F, "&gt;=" &amp; DATEVALUE(B676&amp;"-01"))</f>
        <v>0</v>
      </c>
      <c r="H676" s="52">
        <f t="shared" si="5"/>
        <v>160491.8958</v>
      </c>
      <c r="I676" s="49">
        <f t="shared" si="3"/>
        <v>22906</v>
      </c>
      <c r="J676" s="52">
        <f>IF(A676&lt;&gt;"",SUMIFS(metas!N:N, metas!E:E, "&gt;=" &amp; DATEVALUE(B676&amp;"-01"),metas!D:D, "&lt;=" &amp; DATEVALUE(B676&amp;"-01")),"")</f>
        <v>3182.813937</v>
      </c>
      <c r="K676" s="49">
        <f t="shared" si="4"/>
        <v>19723.18606</v>
      </c>
      <c r="L676" s="49">
        <f t="shared" si="6"/>
        <v>12677033.94</v>
      </c>
      <c r="M676" s="49">
        <f>IF(A676&lt;&gt;"",IF(COUNTIF(investimento!F:F, B676) &gt; 0, SUM(investimento!B:B)+I676, M675+I676),"")</f>
        <v>15244208.68</v>
      </c>
    </row>
    <row r="677" ht="22.5" customHeight="1">
      <c r="A677" s="47">
        <v>50726.0</v>
      </c>
      <c r="B677" s="48" t="str">
        <f t="shared" si="1"/>
        <v>2038-11</v>
      </c>
      <c r="C677" s="49">
        <f>SUMIF(despesas_recorrentes!C:C, "&gt;="&amp;A677,despesas_recorrentes!B:B) 
+SUMIF(despesas_recorrentes!C:C, "",despesas_recorrentes!B:B)
-despesas_recorrentes!$B$12
+IF(SUMIF(gasto_cartao!E:E,saldo!B677,gasto_cartao!B:B)&gt;despesas_recorrentes!$B$12, SUMIF(gasto_cartao!E:E,saldo!B677,gasto_cartao!B:B),despesas_recorrentes!$B$12)</f>
        <v>34013</v>
      </c>
      <c r="D677" s="51">
        <f>SUM(receitas_recorrentes!B:B)+SUMIF(receitas_pontuais!E:E,B677,receitas_pontuais!B:B)</f>
        <v>56919</v>
      </c>
      <c r="E677" s="51">
        <f t="shared" si="2"/>
        <v>22906</v>
      </c>
      <c r="F677" s="53">
        <f>IFERROR(SUMIF(contas!G:G, B677, contas!B:B),0)</f>
        <v>0</v>
      </c>
      <c r="G677" s="51">
        <f>SUMIFS(previsoes!D:D, previsoes!E:E, "&lt;=" &amp; EOMONTH(DATEVALUE(B677&amp;"-01"),0), previsoes!F:F, "&gt;=" &amp; DATEVALUE(B677&amp;"-01"))</f>
        <v>0</v>
      </c>
      <c r="H677" s="52">
        <f t="shared" si="5"/>
        <v>160491.8958</v>
      </c>
      <c r="I677" s="49">
        <f t="shared" si="3"/>
        <v>22906</v>
      </c>
      <c r="J677" s="52">
        <f>IF(A677&lt;&gt;"",SUMIFS(metas!N:N, metas!E:E, "&gt;=" &amp; DATEVALUE(B677&amp;"-01"),metas!D:D, "&lt;=" &amp; DATEVALUE(B677&amp;"-01")),"")</f>
        <v>3182.813937</v>
      </c>
      <c r="K677" s="49">
        <f t="shared" si="4"/>
        <v>19723.18606</v>
      </c>
      <c r="L677" s="49">
        <f t="shared" si="6"/>
        <v>12696757.12</v>
      </c>
      <c r="M677" s="49">
        <f>IF(A677&lt;&gt;"",IF(COUNTIF(investimento!F:F, B677) &gt; 0, SUM(investimento!B:B)+I677, M676+I677),"")</f>
        <v>15267114.68</v>
      </c>
    </row>
    <row r="678" ht="22.5" customHeight="1">
      <c r="A678" s="47">
        <v>50727.0</v>
      </c>
      <c r="B678" s="48" t="str">
        <f t="shared" si="1"/>
        <v>2038-11</v>
      </c>
      <c r="C678" s="49">
        <f>SUMIF(despesas_recorrentes!C:C, "&gt;="&amp;A678,despesas_recorrentes!B:B) 
+SUMIF(despesas_recorrentes!C:C, "",despesas_recorrentes!B:B)
-despesas_recorrentes!$B$12
+IF(SUMIF(gasto_cartao!E:E,saldo!B678,gasto_cartao!B:B)&gt;despesas_recorrentes!$B$12, SUMIF(gasto_cartao!E:E,saldo!B678,gasto_cartao!B:B),despesas_recorrentes!$B$12)</f>
        <v>34013</v>
      </c>
      <c r="D678" s="51">
        <f>SUM(receitas_recorrentes!B:B)+SUMIF(receitas_pontuais!E:E,B678,receitas_pontuais!B:B)</f>
        <v>56919</v>
      </c>
      <c r="E678" s="51">
        <f t="shared" si="2"/>
        <v>22906</v>
      </c>
      <c r="F678" s="53">
        <f>IFERROR(SUMIF(contas!G:G, B678, contas!B:B),0)</f>
        <v>0</v>
      </c>
      <c r="G678" s="51">
        <f>SUMIFS(previsoes!D:D, previsoes!E:E, "&lt;=" &amp; EOMONTH(DATEVALUE(B678&amp;"-01"),0), previsoes!F:F, "&gt;=" &amp; DATEVALUE(B678&amp;"-01"))</f>
        <v>0</v>
      </c>
      <c r="H678" s="52">
        <f t="shared" si="5"/>
        <v>160491.8958</v>
      </c>
      <c r="I678" s="49">
        <f t="shared" si="3"/>
        <v>22906</v>
      </c>
      <c r="J678" s="52">
        <f>IF(A678&lt;&gt;"",SUMIFS(metas!N:N, metas!E:E, "&gt;=" &amp; DATEVALUE(B678&amp;"-01"),metas!D:D, "&lt;=" &amp; DATEVALUE(B678&amp;"-01")),"")</f>
        <v>3182.813937</v>
      </c>
      <c r="K678" s="49">
        <f t="shared" si="4"/>
        <v>19723.18606</v>
      </c>
      <c r="L678" s="49">
        <f t="shared" si="6"/>
        <v>12716480.31</v>
      </c>
      <c r="M678" s="49">
        <f>IF(A678&lt;&gt;"",IF(COUNTIF(investimento!F:F, B678) &gt; 0, SUM(investimento!B:B)+I678, M677+I678),"")</f>
        <v>15290020.68</v>
      </c>
    </row>
    <row r="679" ht="22.5" customHeight="1">
      <c r="A679" s="47">
        <v>50728.0</v>
      </c>
      <c r="B679" s="48" t="str">
        <f t="shared" si="1"/>
        <v>2038-11</v>
      </c>
      <c r="C679" s="49">
        <f>SUMIF(despesas_recorrentes!C:C, "&gt;="&amp;A679,despesas_recorrentes!B:B) 
+SUMIF(despesas_recorrentes!C:C, "",despesas_recorrentes!B:B)
-despesas_recorrentes!$B$12
+IF(SUMIF(gasto_cartao!E:E,saldo!B679,gasto_cartao!B:B)&gt;despesas_recorrentes!$B$12, SUMIF(gasto_cartao!E:E,saldo!B679,gasto_cartao!B:B),despesas_recorrentes!$B$12)</f>
        <v>34013</v>
      </c>
      <c r="D679" s="51">
        <f>SUM(receitas_recorrentes!B:B)+SUMIF(receitas_pontuais!E:E,B679,receitas_pontuais!B:B)</f>
        <v>56919</v>
      </c>
      <c r="E679" s="51">
        <f t="shared" si="2"/>
        <v>22906</v>
      </c>
      <c r="F679" s="53">
        <f>IFERROR(SUMIF(contas!G:G, B679, contas!B:B),0)</f>
        <v>0</v>
      </c>
      <c r="G679" s="51">
        <f>SUMIFS(previsoes!D:D, previsoes!E:E, "&lt;=" &amp; EOMONTH(DATEVALUE(B679&amp;"-01"),0), previsoes!F:F, "&gt;=" &amp; DATEVALUE(B679&amp;"-01"))</f>
        <v>0</v>
      </c>
      <c r="H679" s="52">
        <f t="shared" si="5"/>
        <v>160491.8958</v>
      </c>
      <c r="I679" s="49">
        <f t="shared" si="3"/>
        <v>22906</v>
      </c>
      <c r="J679" s="52">
        <f>IF(A679&lt;&gt;"",SUMIFS(metas!N:N, metas!E:E, "&gt;=" &amp; DATEVALUE(B679&amp;"-01"),metas!D:D, "&lt;=" &amp; DATEVALUE(B679&amp;"-01")),"")</f>
        <v>3182.813937</v>
      </c>
      <c r="K679" s="49">
        <f t="shared" si="4"/>
        <v>19723.18606</v>
      </c>
      <c r="L679" s="49">
        <f t="shared" si="6"/>
        <v>12736203.49</v>
      </c>
      <c r="M679" s="49">
        <f>IF(A679&lt;&gt;"",IF(COUNTIF(investimento!F:F, B679) &gt; 0, SUM(investimento!B:B)+I679, M678+I679),"")</f>
        <v>15312926.68</v>
      </c>
    </row>
    <row r="680" ht="22.5" customHeight="1">
      <c r="A680" s="47">
        <v>50729.0</v>
      </c>
      <c r="B680" s="48" t="str">
        <f t="shared" si="1"/>
        <v>2038-11</v>
      </c>
      <c r="C680" s="49">
        <f>SUMIF(despesas_recorrentes!C:C, "&gt;="&amp;A680,despesas_recorrentes!B:B) 
+SUMIF(despesas_recorrentes!C:C, "",despesas_recorrentes!B:B)
-despesas_recorrentes!$B$12
+IF(SUMIF(gasto_cartao!E:E,saldo!B680,gasto_cartao!B:B)&gt;despesas_recorrentes!$B$12, SUMIF(gasto_cartao!E:E,saldo!B680,gasto_cartao!B:B),despesas_recorrentes!$B$12)</f>
        <v>34013</v>
      </c>
      <c r="D680" s="51">
        <f>SUM(receitas_recorrentes!B:B)+SUMIF(receitas_pontuais!E:E,B680,receitas_pontuais!B:B)</f>
        <v>56919</v>
      </c>
      <c r="E680" s="51">
        <f t="shared" si="2"/>
        <v>22906</v>
      </c>
      <c r="F680" s="53">
        <f>IFERROR(SUMIF(contas!G:G, B680, contas!B:B),0)</f>
        <v>0</v>
      </c>
      <c r="G680" s="51">
        <f>SUMIFS(previsoes!D:D, previsoes!E:E, "&lt;=" &amp; EOMONTH(DATEVALUE(B680&amp;"-01"),0), previsoes!F:F, "&gt;=" &amp; DATEVALUE(B680&amp;"-01"))</f>
        <v>0</v>
      </c>
      <c r="H680" s="52">
        <f t="shared" si="5"/>
        <v>160491.8958</v>
      </c>
      <c r="I680" s="49">
        <f t="shared" si="3"/>
        <v>22906</v>
      </c>
      <c r="J680" s="52">
        <f>IF(A680&lt;&gt;"",SUMIFS(metas!N:N, metas!E:E, "&gt;=" &amp; DATEVALUE(B680&amp;"-01"),metas!D:D, "&lt;=" &amp; DATEVALUE(B680&amp;"-01")),"")</f>
        <v>3182.813937</v>
      </c>
      <c r="K680" s="49">
        <f t="shared" si="4"/>
        <v>19723.18606</v>
      </c>
      <c r="L680" s="49">
        <f t="shared" si="6"/>
        <v>12755926.68</v>
      </c>
      <c r="M680" s="49">
        <f>IF(A680&lt;&gt;"",IF(COUNTIF(investimento!F:F, B680) &gt; 0, SUM(investimento!B:B)+I680, M679+I680),"")</f>
        <v>15335832.68</v>
      </c>
    </row>
    <row r="681" ht="22.5" customHeight="1">
      <c r="A681" s="47">
        <v>50730.0</v>
      </c>
      <c r="B681" s="48" t="str">
        <f t="shared" si="1"/>
        <v>2038-11</v>
      </c>
      <c r="C681" s="49">
        <f>SUMIF(despesas_recorrentes!C:C, "&gt;="&amp;A681,despesas_recorrentes!B:B) 
+SUMIF(despesas_recorrentes!C:C, "",despesas_recorrentes!B:B)
-despesas_recorrentes!$B$12
+IF(SUMIF(gasto_cartao!E:E,saldo!B681,gasto_cartao!B:B)&gt;despesas_recorrentes!$B$12, SUMIF(gasto_cartao!E:E,saldo!B681,gasto_cartao!B:B),despesas_recorrentes!$B$12)</f>
        <v>34013</v>
      </c>
      <c r="D681" s="51">
        <f>SUM(receitas_recorrentes!B:B)+SUMIF(receitas_pontuais!E:E,B681,receitas_pontuais!B:B)</f>
        <v>56919</v>
      </c>
      <c r="E681" s="51">
        <f t="shared" si="2"/>
        <v>22906</v>
      </c>
      <c r="F681" s="53">
        <f>IFERROR(SUMIF(contas!G:G, B681, contas!B:B),0)</f>
        <v>0</v>
      </c>
      <c r="G681" s="51">
        <f>SUMIFS(previsoes!D:D, previsoes!E:E, "&lt;=" &amp; EOMONTH(DATEVALUE(B681&amp;"-01"),0), previsoes!F:F, "&gt;=" &amp; DATEVALUE(B681&amp;"-01"))</f>
        <v>0</v>
      </c>
      <c r="H681" s="52">
        <f t="shared" si="5"/>
        <v>160491.8958</v>
      </c>
      <c r="I681" s="49">
        <f t="shared" si="3"/>
        <v>22906</v>
      </c>
      <c r="J681" s="52">
        <f>IF(A681&lt;&gt;"",SUMIFS(metas!N:N, metas!E:E, "&gt;=" &amp; DATEVALUE(B681&amp;"-01"),metas!D:D, "&lt;=" &amp; DATEVALUE(B681&amp;"-01")),"")</f>
        <v>3182.813937</v>
      </c>
      <c r="K681" s="49">
        <f t="shared" si="4"/>
        <v>19723.18606</v>
      </c>
      <c r="L681" s="49">
        <f t="shared" si="6"/>
        <v>12775649.87</v>
      </c>
      <c r="M681" s="49">
        <f>IF(A681&lt;&gt;"",IF(COUNTIF(investimento!F:F, B681) &gt; 0, SUM(investimento!B:B)+I681, M680+I681),"")</f>
        <v>15358738.68</v>
      </c>
    </row>
    <row r="682" ht="22.5" customHeight="1">
      <c r="A682" s="47">
        <v>50731.0</v>
      </c>
      <c r="B682" s="48" t="str">
        <f t="shared" si="1"/>
        <v>2038-11</v>
      </c>
      <c r="C682" s="49">
        <f>SUMIF(despesas_recorrentes!C:C, "&gt;="&amp;A682,despesas_recorrentes!B:B) 
+SUMIF(despesas_recorrentes!C:C, "",despesas_recorrentes!B:B)
-despesas_recorrentes!$B$12
+IF(SUMIF(gasto_cartao!E:E,saldo!B682,gasto_cartao!B:B)&gt;despesas_recorrentes!$B$12, SUMIF(gasto_cartao!E:E,saldo!B682,gasto_cartao!B:B),despesas_recorrentes!$B$12)</f>
        <v>34013</v>
      </c>
      <c r="D682" s="51">
        <f>SUM(receitas_recorrentes!B:B)+SUMIF(receitas_pontuais!E:E,B682,receitas_pontuais!B:B)</f>
        <v>56919</v>
      </c>
      <c r="E682" s="51">
        <f t="shared" si="2"/>
        <v>22906</v>
      </c>
      <c r="F682" s="53">
        <f>IFERROR(SUMIF(contas!G:G, B682, contas!B:B),0)</f>
        <v>0</v>
      </c>
      <c r="G682" s="51">
        <f>SUMIFS(previsoes!D:D, previsoes!E:E, "&lt;=" &amp; EOMONTH(DATEVALUE(B682&amp;"-01"),0), previsoes!F:F, "&gt;=" &amp; DATEVALUE(B682&amp;"-01"))</f>
        <v>0</v>
      </c>
      <c r="H682" s="52">
        <f t="shared" si="5"/>
        <v>160491.8958</v>
      </c>
      <c r="I682" s="49">
        <f t="shared" si="3"/>
        <v>22906</v>
      </c>
      <c r="J682" s="52">
        <f>IF(A682&lt;&gt;"",SUMIFS(metas!N:N, metas!E:E, "&gt;=" &amp; DATEVALUE(B682&amp;"-01"),metas!D:D, "&lt;=" &amp; DATEVALUE(B682&amp;"-01")),"")</f>
        <v>3182.813937</v>
      </c>
      <c r="K682" s="49">
        <f t="shared" si="4"/>
        <v>19723.18606</v>
      </c>
      <c r="L682" s="49">
        <f t="shared" si="6"/>
        <v>12795373.05</v>
      </c>
      <c r="M682" s="49">
        <f>IF(A682&lt;&gt;"",IF(COUNTIF(investimento!F:F, B682) &gt; 0, SUM(investimento!B:B)+I682, M681+I682),"")</f>
        <v>15381644.68</v>
      </c>
    </row>
    <row r="683" ht="22.5" customHeight="1">
      <c r="A683" s="47">
        <v>50732.0</v>
      </c>
      <c r="B683" s="48" t="str">
        <f t="shared" si="1"/>
        <v>2038-11</v>
      </c>
      <c r="C683" s="49">
        <f>SUMIF(despesas_recorrentes!C:C, "&gt;="&amp;A683,despesas_recorrentes!B:B) 
+SUMIF(despesas_recorrentes!C:C, "",despesas_recorrentes!B:B)
-despesas_recorrentes!$B$12
+IF(SUMIF(gasto_cartao!E:E,saldo!B683,gasto_cartao!B:B)&gt;despesas_recorrentes!$B$12, SUMIF(gasto_cartao!E:E,saldo!B683,gasto_cartao!B:B),despesas_recorrentes!$B$12)</f>
        <v>34013</v>
      </c>
      <c r="D683" s="51">
        <f>SUM(receitas_recorrentes!B:B)+SUMIF(receitas_pontuais!E:E,B683,receitas_pontuais!B:B)</f>
        <v>56919</v>
      </c>
      <c r="E683" s="51">
        <f t="shared" si="2"/>
        <v>22906</v>
      </c>
      <c r="F683" s="53">
        <f>IFERROR(SUMIF(contas!G:G, B683, contas!B:B),0)</f>
        <v>0</v>
      </c>
      <c r="G683" s="51">
        <f>SUMIFS(previsoes!D:D, previsoes!E:E, "&lt;=" &amp; EOMONTH(DATEVALUE(B683&amp;"-01"),0), previsoes!F:F, "&gt;=" &amp; DATEVALUE(B683&amp;"-01"))</f>
        <v>0</v>
      </c>
      <c r="H683" s="52">
        <f t="shared" si="5"/>
        <v>160491.8958</v>
      </c>
      <c r="I683" s="49">
        <f t="shared" si="3"/>
        <v>22906</v>
      </c>
      <c r="J683" s="52">
        <f>IF(A683&lt;&gt;"",SUMIFS(metas!N:N, metas!E:E, "&gt;=" &amp; DATEVALUE(B683&amp;"-01"),metas!D:D, "&lt;=" &amp; DATEVALUE(B683&amp;"-01")),"")</f>
        <v>3182.813937</v>
      </c>
      <c r="K683" s="49">
        <f t="shared" si="4"/>
        <v>19723.18606</v>
      </c>
      <c r="L683" s="49">
        <f t="shared" si="6"/>
        <v>12815096.24</v>
      </c>
      <c r="M683" s="49">
        <f>IF(A683&lt;&gt;"",IF(COUNTIF(investimento!F:F, B683) &gt; 0, SUM(investimento!B:B)+I683, M682+I683),"")</f>
        <v>15404550.68</v>
      </c>
    </row>
    <row r="684" ht="22.5" customHeight="1">
      <c r="A684" s="47">
        <v>50733.0</v>
      </c>
      <c r="B684" s="48" t="str">
        <f t="shared" si="1"/>
        <v>2038-11</v>
      </c>
      <c r="C684" s="49">
        <f>SUMIF(despesas_recorrentes!C:C, "&gt;="&amp;A684,despesas_recorrentes!B:B) 
+SUMIF(despesas_recorrentes!C:C, "",despesas_recorrentes!B:B)
-despesas_recorrentes!$B$12
+IF(SUMIF(gasto_cartao!E:E,saldo!B684,gasto_cartao!B:B)&gt;despesas_recorrentes!$B$12, SUMIF(gasto_cartao!E:E,saldo!B684,gasto_cartao!B:B),despesas_recorrentes!$B$12)</f>
        <v>34013</v>
      </c>
      <c r="D684" s="51">
        <f>SUM(receitas_recorrentes!B:B)+SUMIF(receitas_pontuais!E:E,B684,receitas_pontuais!B:B)</f>
        <v>56919</v>
      </c>
      <c r="E684" s="51">
        <f t="shared" si="2"/>
        <v>22906</v>
      </c>
      <c r="F684" s="53">
        <f>IFERROR(SUMIF(contas!G:G, B684, contas!B:B),0)</f>
        <v>0</v>
      </c>
      <c r="G684" s="51">
        <f>SUMIFS(previsoes!D:D, previsoes!E:E, "&lt;=" &amp; EOMONTH(DATEVALUE(B684&amp;"-01"),0), previsoes!F:F, "&gt;=" &amp; DATEVALUE(B684&amp;"-01"))</f>
        <v>0</v>
      </c>
      <c r="H684" s="52">
        <f t="shared" si="5"/>
        <v>160491.8958</v>
      </c>
      <c r="I684" s="49">
        <f t="shared" si="3"/>
        <v>22906</v>
      </c>
      <c r="J684" s="52">
        <f>IF(A684&lt;&gt;"",SUMIFS(metas!N:N, metas!E:E, "&gt;=" &amp; DATEVALUE(B684&amp;"-01"),metas!D:D, "&lt;=" &amp; DATEVALUE(B684&amp;"-01")),"")</f>
        <v>3182.813937</v>
      </c>
      <c r="K684" s="49">
        <f t="shared" si="4"/>
        <v>19723.18606</v>
      </c>
      <c r="L684" s="49">
        <f t="shared" si="6"/>
        <v>12834819.42</v>
      </c>
      <c r="M684" s="49">
        <f>IF(A684&lt;&gt;"",IF(COUNTIF(investimento!F:F, B684) &gt; 0, SUM(investimento!B:B)+I684, M683+I684),"")</f>
        <v>15427456.68</v>
      </c>
    </row>
    <row r="685" ht="22.5" customHeight="1">
      <c r="A685" s="47">
        <v>50734.0</v>
      </c>
      <c r="B685" s="48" t="str">
        <f t="shared" si="1"/>
        <v>2038-11</v>
      </c>
      <c r="C685" s="49">
        <f>SUMIF(despesas_recorrentes!C:C, "&gt;="&amp;A685,despesas_recorrentes!B:B) 
+SUMIF(despesas_recorrentes!C:C, "",despesas_recorrentes!B:B)
-despesas_recorrentes!$B$12
+IF(SUMIF(gasto_cartao!E:E,saldo!B685,gasto_cartao!B:B)&gt;despesas_recorrentes!$B$12, SUMIF(gasto_cartao!E:E,saldo!B685,gasto_cartao!B:B),despesas_recorrentes!$B$12)</f>
        <v>34013</v>
      </c>
      <c r="D685" s="51">
        <f>SUM(receitas_recorrentes!B:B)+SUMIF(receitas_pontuais!E:E,B685,receitas_pontuais!B:B)</f>
        <v>56919</v>
      </c>
      <c r="E685" s="51">
        <f t="shared" si="2"/>
        <v>22906</v>
      </c>
      <c r="F685" s="53">
        <f>IFERROR(SUMIF(contas!G:G, B685, contas!B:B),0)</f>
        <v>0</v>
      </c>
      <c r="G685" s="51">
        <f>SUMIFS(previsoes!D:D, previsoes!E:E, "&lt;=" &amp; EOMONTH(DATEVALUE(B685&amp;"-01"),0), previsoes!F:F, "&gt;=" &amp; DATEVALUE(B685&amp;"-01"))</f>
        <v>0</v>
      </c>
      <c r="H685" s="52">
        <f t="shared" si="5"/>
        <v>160491.8958</v>
      </c>
      <c r="I685" s="49">
        <f t="shared" si="3"/>
        <v>22906</v>
      </c>
      <c r="J685" s="52">
        <f>IF(A685&lt;&gt;"",SUMIFS(metas!N:N, metas!E:E, "&gt;=" &amp; DATEVALUE(B685&amp;"-01"),metas!D:D, "&lt;=" &amp; DATEVALUE(B685&amp;"-01")),"")</f>
        <v>3182.813937</v>
      </c>
      <c r="K685" s="49">
        <f t="shared" si="4"/>
        <v>19723.18606</v>
      </c>
      <c r="L685" s="49">
        <f t="shared" si="6"/>
        <v>12854542.61</v>
      </c>
      <c r="M685" s="49">
        <f>IF(A685&lt;&gt;"",IF(COUNTIF(investimento!F:F, B685) &gt; 0, SUM(investimento!B:B)+I685, M684+I685),"")</f>
        <v>15450362.68</v>
      </c>
    </row>
    <row r="686" ht="22.5" customHeight="1">
      <c r="A686" s="47">
        <v>50735.0</v>
      </c>
      <c r="B686" s="48" t="str">
        <f t="shared" si="1"/>
        <v>2038-11</v>
      </c>
      <c r="C686" s="49">
        <f>SUMIF(despesas_recorrentes!C:C, "&gt;="&amp;A686,despesas_recorrentes!B:B) 
+SUMIF(despesas_recorrentes!C:C, "",despesas_recorrentes!B:B)
-despesas_recorrentes!$B$12
+IF(SUMIF(gasto_cartao!E:E,saldo!B686,gasto_cartao!B:B)&gt;despesas_recorrentes!$B$12, SUMIF(gasto_cartao!E:E,saldo!B686,gasto_cartao!B:B),despesas_recorrentes!$B$12)</f>
        <v>34013</v>
      </c>
      <c r="D686" s="51">
        <f>SUM(receitas_recorrentes!B:B)+SUMIF(receitas_pontuais!E:E,B686,receitas_pontuais!B:B)</f>
        <v>56919</v>
      </c>
      <c r="E686" s="51">
        <f t="shared" si="2"/>
        <v>22906</v>
      </c>
      <c r="F686" s="53">
        <f>IFERROR(SUMIF(contas!G:G, B686, contas!B:B),0)</f>
        <v>0</v>
      </c>
      <c r="G686" s="51">
        <f>SUMIFS(previsoes!D:D, previsoes!E:E, "&lt;=" &amp; EOMONTH(DATEVALUE(B686&amp;"-01"),0), previsoes!F:F, "&gt;=" &amp; DATEVALUE(B686&amp;"-01"))</f>
        <v>0</v>
      </c>
      <c r="H686" s="52">
        <f t="shared" si="5"/>
        <v>160491.8958</v>
      </c>
      <c r="I686" s="49">
        <f t="shared" si="3"/>
        <v>22906</v>
      </c>
      <c r="J686" s="52">
        <f>IF(A686&lt;&gt;"",SUMIFS(metas!N:N, metas!E:E, "&gt;=" &amp; DATEVALUE(B686&amp;"-01"),metas!D:D, "&lt;=" &amp; DATEVALUE(B686&amp;"-01")),"")</f>
        <v>3182.813937</v>
      </c>
      <c r="K686" s="49">
        <f t="shared" si="4"/>
        <v>19723.18606</v>
      </c>
      <c r="L686" s="49">
        <f t="shared" si="6"/>
        <v>12874265.8</v>
      </c>
      <c r="M686" s="49">
        <f>IF(A686&lt;&gt;"",IF(COUNTIF(investimento!F:F, B686) &gt; 0, SUM(investimento!B:B)+I686, M685+I686),"")</f>
        <v>15473268.68</v>
      </c>
    </row>
    <row r="687" ht="22.5" customHeight="1">
      <c r="A687" s="47">
        <v>50736.0</v>
      </c>
      <c r="B687" s="48" t="str">
        <f t="shared" si="1"/>
        <v>2038-11</v>
      </c>
      <c r="C687" s="49">
        <f>SUMIF(despesas_recorrentes!C:C, "&gt;="&amp;A687,despesas_recorrentes!B:B) 
+SUMIF(despesas_recorrentes!C:C, "",despesas_recorrentes!B:B)
-despesas_recorrentes!$B$12
+IF(SUMIF(gasto_cartao!E:E,saldo!B687,gasto_cartao!B:B)&gt;despesas_recorrentes!$B$12, SUMIF(gasto_cartao!E:E,saldo!B687,gasto_cartao!B:B),despesas_recorrentes!$B$12)</f>
        <v>34013</v>
      </c>
      <c r="D687" s="51">
        <f>SUM(receitas_recorrentes!B:B)+SUMIF(receitas_pontuais!E:E,B687,receitas_pontuais!B:B)</f>
        <v>56919</v>
      </c>
      <c r="E687" s="51">
        <f t="shared" si="2"/>
        <v>22906</v>
      </c>
      <c r="F687" s="53">
        <f>IFERROR(SUMIF(contas!G:G, B687, contas!B:B),0)</f>
        <v>0</v>
      </c>
      <c r="G687" s="51">
        <f>SUMIFS(previsoes!D:D, previsoes!E:E, "&lt;=" &amp; EOMONTH(DATEVALUE(B687&amp;"-01"),0), previsoes!F:F, "&gt;=" &amp; DATEVALUE(B687&amp;"-01"))</f>
        <v>0</v>
      </c>
      <c r="H687" s="52">
        <f t="shared" si="5"/>
        <v>160491.8958</v>
      </c>
      <c r="I687" s="49">
        <f t="shared" si="3"/>
        <v>22906</v>
      </c>
      <c r="J687" s="52">
        <f>IF(A687&lt;&gt;"",SUMIFS(metas!N:N, metas!E:E, "&gt;=" &amp; DATEVALUE(B687&amp;"-01"),metas!D:D, "&lt;=" &amp; DATEVALUE(B687&amp;"-01")),"")</f>
        <v>3182.813937</v>
      </c>
      <c r="K687" s="49">
        <f t="shared" si="4"/>
        <v>19723.18606</v>
      </c>
      <c r="L687" s="49">
        <f t="shared" si="6"/>
        <v>12893988.98</v>
      </c>
      <c r="M687" s="49">
        <f>IF(A687&lt;&gt;"",IF(COUNTIF(investimento!F:F, B687) &gt; 0, SUM(investimento!B:B)+I687, M686+I687),"")</f>
        <v>15496174.68</v>
      </c>
    </row>
    <row r="688" ht="22.5" customHeight="1">
      <c r="A688" s="47">
        <v>50737.0</v>
      </c>
      <c r="B688" s="48" t="str">
        <f t="shared" si="1"/>
        <v>2038-11</v>
      </c>
      <c r="C688" s="49">
        <f>SUMIF(despesas_recorrentes!C:C, "&gt;="&amp;A688,despesas_recorrentes!B:B) 
+SUMIF(despesas_recorrentes!C:C, "",despesas_recorrentes!B:B)
-despesas_recorrentes!$B$12
+IF(SUMIF(gasto_cartao!E:E,saldo!B688,gasto_cartao!B:B)&gt;despesas_recorrentes!$B$12, SUMIF(gasto_cartao!E:E,saldo!B688,gasto_cartao!B:B),despesas_recorrentes!$B$12)</f>
        <v>34013</v>
      </c>
      <c r="D688" s="51">
        <f>SUM(receitas_recorrentes!B:B)+SUMIF(receitas_pontuais!E:E,B688,receitas_pontuais!B:B)</f>
        <v>56919</v>
      </c>
      <c r="E688" s="51">
        <f t="shared" si="2"/>
        <v>22906</v>
      </c>
      <c r="F688" s="53">
        <f>IFERROR(SUMIF(contas!G:G, B688, contas!B:B),0)</f>
        <v>0</v>
      </c>
      <c r="G688" s="51">
        <f>SUMIFS(previsoes!D:D, previsoes!E:E, "&lt;=" &amp; EOMONTH(DATEVALUE(B688&amp;"-01"),0), previsoes!F:F, "&gt;=" &amp; DATEVALUE(B688&amp;"-01"))</f>
        <v>0</v>
      </c>
      <c r="H688" s="52">
        <f t="shared" si="5"/>
        <v>160491.8958</v>
      </c>
      <c r="I688" s="49">
        <f t="shared" si="3"/>
        <v>22906</v>
      </c>
      <c r="J688" s="52">
        <f>IF(A688&lt;&gt;"",SUMIFS(metas!N:N, metas!E:E, "&gt;=" &amp; DATEVALUE(B688&amp;"-01"),metas!D:D, "&lt;=" &amp; DATEVALUE(B688&amp;"-01")),"")</f>
        <v>3182.813937</v>
      </c>
      <c r="K688" s="49">
        <f t="shared" si="4"/>
        <v>19723.18606</v>
      </c>
      <c r="L688" s="49">
        <f t="shared" si="6"/>
        <v>12913712.17</v>
      </c>
      <c r="M688" s="49">
        <f>IF(A688&lt;&gt;"",IF(COUNTIF(investimento!F:F, B688) &gt; 0, SUM(investimento!B:B)+I688, M687+I688),"")</f>
        <v>15519080.68</v>
      </c>
    </row>
    <row r="689" ht="22.5" customHeight="1">
      <c r="A689" s="47">
        <v>50738.0</v>
      </c>
      <c r="B689" s="48" t="str">
        <f t="shared" si="1"/>
        <v>2038-11</v>
      </c>
      <c r="C689" s="49">
        <f>SUMIF(despesas_recorrentes!C:C, "&gt;="&amp;A689,despesas_recorrentes!B:B) 
+SUMIF(despesas_recorrentes!C:C, "",despesas_recorrentes!B:B)
-despesas_recorrentes!$B$12
+IF(SUMIF(gasto_cartao!E:E,saldo!B689,gasto_cartao!B:B)&gt;despesas_recorrentes!$B$12, SUMIF(gasto_cartao!E:E,saldo!B689,gasto_cartao!B:B),despesas_recorrentes!$B$12)</f>
        <v>34013</v>
      </c>
      <c r="D689" s="51">
        <f>SUM(receitas_recorrentes!B:B)+SUMIF(receitas_pontuais!E:E,B689,receitas_pontuais!B:B)</f>
        <v>56919</v>
      </c>
      <c r="E689" s="51">
        <f t="shared" si="2"/>
        <v>22906</v>
      </c>
      <c r="F689" s="53">
        <f>IFERROR(SUMIF(contas!G:G, B689, contas!B:B),0)</f>
        <v>0</v>
      </c>
      <c r="G689" s="51">
        <f>SUMIFS(previsoes!D:D, previsoes!E:E, "&lt;=" &amp; EOMONTH(DATEVALUE(B689&amp;"-01"),0), previsoes!F:F, "&gt;=" &amp; DATEVALUE(B689&amp;"-01"))</f>
        <v>0</v>
      </c>
      <c r="H689" s="52">
        <f t="shared" si="5"/>
        <v>160491.8958</v>
      </c>
      <c r="I689" s="49">
        <f t="shared" si="3"/>
        <v>22906</v>
      </c>
      <c r="J689" s="52">
        <f>IF(A689&lt;&gt;"",SUMIFS(metas!N:N, metas!E:E, "&gt;=" &amp; DATEVALUE(B689&amp;"-01"),metas!D:D, "&lt;=" &amp; DATEVALUE(B689&amp;"-01")),"")</f>
        <v>3182.813937</v>
      </c>
      <c r="K689" s="49">
        <f t="shared" si="4"/>
        <v>19723.18606</v>
      </c>
      <c r="L689" s="49">
        <f t="shared" si="6"/>
        <v>12933435.35</v>
      </c>
      <c r="M689" s="49">
        <f>IF(A689&lt;&gt;"",IF(COUNTIF(investimento!F:F, B689) &gt; 0, SUM(investimento!B:B)+I689, M688+I689),"")</f>
        <v>15541986.68</v>
      </c>
    </row>
    <row r="690" ht="22.5" customHeight="1">
      <c r="A690" s="47">
        <v>50739.0</v>
      </c>
      <c r="B690" s="48" t="str">
        <f t="shared" si="1"/>
        <v>2038-11</v>
      </c>
      <c r="C690" s="49">
        <f>SUMIF(despesas_recorrentes!C:C, "&gt;="&amp;A690,despesas_recorrentes!B:B) 
+SUMIF(despesas_recorrentes!C:C, "",despesas_recorrentes!B:B)
-despesas_recorrentes!$B$12
+IF(SUMIF(gasto_cartao!E:E,saldo!B690,gasto_cartao!B:B)&gt;despesas_recorrentes!$B$12, SUMIF(gasto_cartao!E:E,saldo!B690,gasto_cartao!B:B),despesas_recorrentes!$B$12)</f>
        <v>34013</v>
      </c>
      <c r="D690" s="51">
        <f>SUM(receitas_recorrentes!B:B)+SUMIF(receitas_pontuais!E:E,B690,receitas_pontuais!B:B)</f>
        <v>56919</v>
      </c>
      <c r="E690" s="51">
        <f t="shared" si="2"/>
        <v>22906</v>
      </c>
      <c r="F690" s="53">
        <f>IFERROR(SUMIF(contas!G:G, B690, contas!B:B),0)</f>
        <v>0</v>
      </c>
      <c r="G690" s="51">
        <f>SUMIFS(previsoes!D:D, previsoes!E:E, "&lt;=" &amp; EOMONTH(DATEVALUE(B690&amp;"-01"),0), previsoes!F:F, "&gt;=" &amp; DATEVALUE(B690&amp;"-01"))</f>
        <v>0</v>
      </c>
      <c r="H690" s="52">
        <f t="shared" si="5"/>
        <v>160491.8958</v>
      </c>
      <c r="I690" s="49">
        <f t="shared" si="3"/>
        <v>22906</v>
      </c>
      <c r="J690" s="52">
        <f>IF(A690&lt;&gt;"",SUMIFS(metas!N:N, metas!E:E, "&gt;=" &amp; DATEVALUE(B690&amp;"-01"),metas!D:D, "&lt;=" &amp; DATEVALUE(B690&amp;"-01")),"")</f>
        <v>3182.813937</v>
      </c>
      <c r="K690" s="49">
        <f t="shared" si="4"/>
        <v>19723.18606</v>
      </c>
      <c r="L690" s="49">
        <f t="shared" si="6"/>
        <v>12953158.54</v>
      </c>
      <c r="M690" s="49">
        <f>IF(A690&lt;&gt;"",IF(COUNTIF(investimento!F:F, B690) &gt; 0, SUM(investimento!B:B)+I690, M689+I690),"")</f>
        <v>15564892.68</v>
      </c>
    </row>
    <row r="691" ht="22.5" customHeight="1">
      <c r="A691" s="47">
        <v>50740.0</v>
      </c>
      <c r="B691" s="48" t="str">
        <f t="shared" si="1"/>
        <v>2038-12</v>
      </c>
      <c r="C691" s="49">
        <f>SUMIF(despesas_recorrentes!C:C, "&gt;="&amp;A691,despesas_recorrentes!B:B) 
+SUMIF(despesas_recorrentes!C:C, "",despesas_recorrentes!B:B)
-despesas_recorrentes!$B$12
+IF(SUMIF(gasto_cartao!E:E,saldo!B691,gasto_cartao!B:B)&gt;despesas_recorrentes!$B$12, SUMIF(gasto_cartao!E:E,saldo!B691,gasto_cartao!B:B),despesas_recorrentes!$B$12)</f>
        <v>34013</v>
      </c>
      <c r="D691" s="51">
        <f>SUM(receitas_recorrentes!B:B)+SUMIF(receitas_pontuais!E:E,B691,receitas_pontuais!B:B)</f>
        <v>56919</v>
      </c>
      <c r="E691" s="51">
        <f t="shared" si="2"/>
        <v>22906</v>
      </c>
      <c r="F691" s="53">
        <f>IFERROR(SUMIF(contas!G:G, B691, contas!B:B),0)</f>
        <v>0</v>
      </c>
      <c r="G691" s="51">
        <f>SUMIFS(previsoes!D:D, previsoes!E:E, "&lt;=" &amp; EOMONTH(DATEVALUE(B691&amp;"-01"),0), previsoes!F:F, "&gt;=" &amp; DATEVALUE(B691&amp;"-01"))</f>
        <v>0</v>
      </c>
      <c r="H691" s="52">
        <f t="shared" si="5"/>
        <v>160491.8958</v>
      </c>
      <c r="I691" s="49">
        <f t="shared" si="3"/>
        <v>22906</v>
      </c>
      <c r="J691" s="52">
        <f>IF(A691&lt;&gt;"",SUMIFS(metas!N:N, metas!E:E, "&gt;=" &amp; DATEVALUE(B691&amp;"-01"),metas!D:D, "&lt;=" &amp; DATEVALUE(B691&amp;"-01")),"")</f>
        <v>3182.813937</v>
      </c>
      <c r="K691" s="49">
        <f t="shared" si="4"/>
        <v>19723.18606</v>
      </c>
      <c r="L691" s="49">
        <f t="shared" si="6"/>
        <v>12972881.73</v>
      </c>
      <c r="M691" s="49">
        <f>IF(A691&lt;&gt;"",IF(COUNTIF(investimento!F:F, B691) &gt; 0, SUM(investimento!B:B)+I691, M690+I691),"")</f>
        <v>15587798.68</v>
      </c>
    </row>
    <row r="692" ht="22.5" customHeight="1">
      <c r="A692" s="47">
        <v>50741.0</v>
      </c>
      <c r="B692" s="48" t="str">
        <f t="shared" si="1"/>
        <v>2038-12</v>
      </c>
      <c r="C692" s="49">
        <f>SUMIF(despesas_recorrentes!C:C, "&gt;="&amp;A692,despesas_recorrentes!B:B) 
+SUMIF(despesas_recorrentes!C:C, "",despesas_recorrentes!B:B)
-despesas_recorrentes!$B$12
+IF(SUMIF(gasto_cartao!E:E,saldo!B692,gasto_cartao!B:B)&gt;despesas_recorrentes!$B$12, SUMIF(gasto_cartao!E:E,saldo!B692,gasto_cartao!B:B),despesas_recorrentes!$B$12)</f>
        <v>34013</v>
      </c>
      <c r="D692" s="51">
        <f>SUM(receitas_recorrentes!B:B)+SUMIF(receitas_pontuais!E:E,B692,receitas_pontuais!B:B)</f>
        <v>56919</v>
      </c>
      <c r="E692" s="51">
        <f t="shared" si="2"/>
        <v>22906</v>
      </c>
      <c r="F692" s="53">
        <f>IFERROR(SUMIF(contas!G:G, B692, contas!B:B),0)</f>
        <v>0</v>
      </c>
      <c r="G692" s="51">
        <f>SUMIFS(previsoes!D:D, previsoes!E:E, "&lt;=" &amp; EOMONTH(DATEVALUE(B692&amp;"-01"),0), previsoes!F:F, "&gt;=" &amp; DATEVALUE(B692&amp;"-01"))</f>
        <v>0</v>
      </c>
      <c r="H692" s="52">
        <f t="shared" si="5"/>
        <v>160491.8958</v>
      </c>
      <c r="I692" s="49">
        <f t="shared" si="3"/>
        <v>22906</v>
      </c>
      <c r="J692" s="52">
        <f>IF(A692&lt;&gt;"",SUMIFS(metas!N:N, metas!E:E, "&gt;=" &amp; DATEVALUE(B692&amp;"-01"),metas!D:D, "&lt;=" &amp; DATEVALUE(B692&amp;"-01")),"")</f>
        <v>3182.813937</v>
      </c>
      <c r="K692" s="49">
        <f t="shared" si="4"/>
        <v>19723.18606</v>
      </c>
      <c r="L692" s="49">
        <f t="shared" si="6"/>
        <v>12992604.91</v>
      </c>
      <c r="M692" s="49">
        <f>IF(A692&lt;&gt;"",IF(COUNTIF(investimento!F:F, B692) &gt; 0, SUM(investimento!B:B)+I692, M691+I692),"")</f>
        <v>15610704.68</v>
      </c>
    </row>
    <row r="693" ht="22.5" customHeight="1">
      <c r="A693" s="47">
        <v>50742.0</v>
      </c>
      <c r="B693" s="48" t="str">
        <f t="shared" si="1"/>
        <v>2038-12</v>
      </c>
      <c r="C693" s="49">
        <f>SUMIF(despesas_recorrentes!C:C, "&gt;="&amp;A693,despesas_recorrentes!B:B) 
+SUMIF(despesas_recorrentes!C:C, "",despesas_recorrentes!B:B)
-despesas_recorrentes!$B$12
+IF(SUMIF(gasto_cartao!E:E,saldo!B693,gasto_cartao!B:B)&gt;despesas_recorrentes!$B$12, SUMIF(gasto_cartao!E:E,saldo!B693,gasto_cartao!B:B),despesas_recorrentes!$B$12)</f>
        <v>34013</v>
      </c>
      <c r="D693" s="51">
        <f>SUM(receitas_recorrentes!B:B)+SUMIF(receitas_pontuais!E:E,B693,receitas_pontuais!B:B)</f>
        <v>56919</v>
      </c>
      <c r="E693" s="51">
        <f t="shared" si="2"/>
        <v>22906</v>
      </c>
      <c r="F693" s="53">
        <f>IFERROR(SUMIF(contas!G:G, B693, contas!B:B),0)</f>
        <v>0</v>
      </c>
      <c r="G693" s="51">
        <f>SUMIFS(previsoes!D:D, previsoes!E:E, "&lt;=" &amp; EOMONTH(DATEVALUE(B693&amp;"-01"),0), previsoes!F:F, "&gt;=" &amp; DATEVALUE(B693&amp;"-01"))</f>
        <v>0</v>
      </c>
      <c r="H693" s="52">
        <f t="shared" si="5"/>
        <v>160491.8958</v>
      </c>
      <c r="I693" s="49">
        <f t="shared" si="3"/>
        <v>22906</v>
      </c>
      <c r="J693" s="52">
        <f>IF(A693&lt;&gt;"",SUMIFS(metas!N:N, metas!E:E, "&gt;=" &amp; DATEVALUE(B693&amp;"-01"),metas!D:D, "&lt;=" &amp; DATEVALUE(B693&amp;"-01")),"")</f>
        <v>3182.813937</v>
      </c>
      <c r="K693" s="49">
        <f t="shared" si="4"/>
        <v>19723.18606</v>
      </c>
      <c r="L693" s="49">
        <f t="shared" si="6"/>
        <v>13012328.1</v>
      </c>
      <c r="M693" s="49">
        <f>IF(A693&lt;&gt;"",IF(COUNTIF(investimento!F:F, B693) &gt; 0, SUM(investimento!B:B)+I693, M692+I693),"")</f>
        <v>15633610.68</v>
      </c>
    </row>
    <row r="694" ht="22.5" customHeight="1">
      <c r="A694" s="47">
        <v>50743.0</v>
      </c>
      <c r="B694" s="48" t="str">
        <f t="shared" si="1"/>
        <v>2038-12</v>
      </c>
      <c r="C694" s="49">
        <f>SUMIF(despesas_recorrentes!C:C, "&gt;="&amp;A694,despesas_recorrentes!B:B) 
+SUMIF(despesas_recorrentes!C:C, "",despesas_recorrentes!B:B)
-despesas_recorrentes!$B$12
+IF(SUMIF(gasto_cartao!E:E,saldo!B694,gasto_cartao!B:B)&gt;despesas_recorrentes!$B$12, SUMIF(gasto_cartao!E:E,saldo!B694,gasto_cartao!B:B),despesas_recorrentes!$B$12)</f>
        <v>34013</v>
      </c>
      <c r="D694" s="51">
        <f>SUM(receitas_recorrentes!B:B)+SUMIF(receitas_pontuais!E:E,B694,receitas_pontuais!B:B)</f>
        <v>56919</v>
      </c>
      <c r="E694" s="51">
        <f t="shared" si="2"/>
        <v>22906</v>
      </c>
      <c r="F694" s="53">
        <f>IFERROR(SUMIF(contas!G:G, B694, contas!B:B),0)</f>
        <v>0</v>
      </c>
      <c r="G694" s="51">
        <f>SUMIFS(previsoes!D:D, previsoes!E:E, "&lt;=" &amp; EOMONTH(DATEVALUE(B694&amp;"-01"),0), previsoes!F:F, "&gt;=" &amp; DATEVALUE(B694&amp;"-01"))</f>
        <v>0</v>
      </c>
      <c r="H694" s="52">
        <f t="shared" si="5"/>
        <v>160491.8958</v>
      </c>
      <c r="I694" s="49">
        <f t="shared" si="3"/>
        <v>22906</v>
      </c>
      <c r="J694" s="52">
        <f>IF(A694&lt;&gt;"",SUMIFS(metas!N:N, metas!E:E, "&gt;=" &amp; DATEVALUE(B694&amp;"-01"),metas!D:D, "&lt;=" &amp; DATEVALUE(B694&amp;"-01")),"")</f>
        <v>3182.813937</v>
      </c>
      <c r="K694" s="49">
        <f t="shared" si="4"/>
        <v>19723.18606</v>
      </c>
      <c r="L694" s="49">
        <f t="shared" si="6"/>
        <v>13032051.28</v>
      </c>
      <c r="M694" s="49">
        <f>IF(A694&lt;&gt;"",IF(COUNTIF(investimento!F:F, B694) &gt; 0, SUM(investimento!B:B)+I694, M693+I694),"")</f>
        <v>15656516.68</v>
      </c>
    </row>
    <row r="695" ht="22.5" customHeight="1">
      <c r="A695" s="47">
        <v>50744.0</v>
      </c>
      <c r="B695" s="48" t="str">
        <f t="shared" si="1"/>
        <v>2038-12</v>
      </c>
      <c r="C695" s="49">
        <f>SUMIF(despesas_recorrentes!C:C, "&gt;="&amp;A695,despesas_recorrentes!B:B) 
+SUMIF(despesas_recorrentes!C:C, "",despesas_recorrentes!B:B)
-despesas_recorrentes!$B$12
+IF(SUMIF(gasto_cartao!E:E,saldo!B695,gasto_cartao!B:B)&gt;despesas_recorrentes!$B$12, SUMIF(gasto_cartao!E:E,saldo!B695,gasto_cartao!B:B),despesas_recorrentes!$B$12)</f>
        <v>34013</v>
      </c>
      <c r="D695" s="51">
        <f>SUM(receitas_recorrentes!B:B)+SUMIF(receitas_pontuais!E:E,B695,receitas_pontuais!B:B)</f>
        <v>56919</v>
      </c>
      <c r="E695" s="51">
        <f t="shared" si="2"/>
        <v>22906</v>
      </c>
      <c r="F695" s="53">
        <f>IFERROR(SUMIF(contas!G:G, B695, contas!B:B),0)</f>
        <v>0</v>
      </c>
      <c r="G695" s="51">
        <f>SUMIFS(previsoes!D:D, previsoes!E:E, "&lt;=" &amp; EOMONTH(DATEVALUE(B695&amp;"-01"),0), previsoes!F:F, "&gt;=" &amp; DATEVALUE(B695&amp;"-01"))</f>
        <v>0</v>
      </c>
      <c r="H695" s="52">
        <f t="shared" si="5"/>
        <v>160491.8958</v>
      </c>
      <c r="I695" s="49">
        <f t="shared" si="3"/>
        <v>22906</v>
      </c>
      <c r="J695" s="52">
        <f>IF(A695&lt;&gt;"",SUMIFS(metas!N:N, metas!E:E, "&gt;=" &amp; DATEVALUE(B695&amp;"-01"),metas!D:D, "&lt;=" &amp; DATEVALUE(B695&amp;"-01")),"")</f>
        <v>3182.813937</v>
      </c>
      <c r="K695" s="49">
        <f t="shared" si="4"/>
        <v>19723.18606</v>
      </c>
      <c r="L695" s="49">
        <f t="shared" si="6"/>
        <v>13051774.47</v>
      </c>
      <c r="M695" s="49">
        <f>IF(A695&lt;&gt;"",IF(COUNTIF(investimento!F:F, B695) &gt; 0, SUM(investimento!B:B)+I695, M694+I695),"")</f>
        <v>15679422.68</v>
      </c>
    </row>
    <row r="696" ht="22.5" customHeight="1">
      <c r="A696" s="47">
        <v>50745.0</v>
      </c>
      <c r="B696" s="48" t="str">
        <f t="shared" si="1"/>
        <v>2038-12</v>
      </c>
      <c r="C696" s="49">
        <f>SUMIF(despesas_recorrentes!C:C, "&gt;="&amp;A696,despesas_recorrentes!B:B) 
+SUMIF(despesas_recorrentes!C:C, "",despesas_recorrentes!B:B)
-despesas_recorrentes!$B$12
+IF(SUMIF(gasto_cartao!E:E,saldo!B696,gasto_cartao!B:B)&gt;despesas_recorrentes!$B$12, SUMIF(gasto_cartao!E:E,saldo!B696,gasto_cartao!B:B),despesas_recorrentes!$B$12)</f>
        <v>34013</v>
      </c>
      <c r="D696" s="51">
        <f>SUM(receitas_recorrentes!B:B)+SUMIF(receitas_pontuais!E:E,B696,receitas_pontuais!B:B)</f>
        <v>56919</v>
      </c>
      <c r="E696" s="51">
        <f t="shared" si="2"/>
        <v>22906</v>
      </c>
      <c r="F696" s="53">
        <f>IFERROR(SUMIF(contas!G:G, B696, contas!B:B),0)</f>
        <v>0</v>
      </c>
      <c r="G696" s="51">
        <f>SUMIFS(previsoes!D:D, previsoes!E:E, "&lt;=" &amp; EOMONTH(DATEVALUE(B696&amp;"-01"),0), previsoes!F:F, "&gt;=" &amp; DATEVALUE(B696&amp;"-01"))</f>
        <v>0</v>
      </c>
      <c r="H696" s="52">
        <f t="shared" si="5"/>
        <v>160491.8958</v>
      </c>
      <c r="I696" s="49">
        <f t="shared" si="3"/>
        <v>22906</v>
      </c>
      <c r="J696" s="52">
        <f>IF(A696&lt;&gt;"",SUMIFS(metas!N:N, metas!E:E, "&gt;=" &amp; DATEVALUE(B696&amp;"-01"),metas!D:D, "&lt;=" &amp; DATEVALUE(B696&amp;"-01")),"")</f>
        <v>3182.813937</v>
      </c>
      <c r="K696" s="49">
        <f t="shared" si="4"/>
        <v>19723.18606</v>
      </c>
      <c r="L696" s="49">
        <f t="shared" si="6"/>
        <v>13071497.66</v>
      </c>
      <c r="M696" s="49">
        <f>IF(A696&lt;&gt;"",IF(COUNTIF(investimento!F:F, B696) &gt; 0, SUM(investimento!B:B)+I696, M695+I696),"")</f>
        <v>15702328.68</v>
      </c>
    </row>
    <row r="697" ht="22.5" customHeight="1">
      <c r="A697" s="47">
        <v>50746.0</v>
      </c>
      <c r="B697" s="48" t="str">
        <f t="shared" si="1"/>
        <v>2038-12</v>
      </c>
      <c r="C697" s="49">
        <f>SUMIF(despesas_recorrentes!C:C, "&gt;="&amp;A697,despesas_recorrentes!B:B) 
+SUMIF(despesas_recorrentes!C:C, "",despesas_recorrentes!B:B)
-despesas_recorrentes!$B$12
+IF(SUMIF(gasto_cartao!E:E,saldo!B697,gasto_cartao!B:B)&gt;despesas_recorrentes!$B$12, SUMIF(gasto_cartao!E:E,saldo!B697,gasto_cartao!B:B),despesas_recorrentes!$B$12)</f>
        <v>34013</v>
      </c>
      <c r="D697" s="51">
        <f>SUM(receitas_recorrentes!B:B)+SUMIF(receitas_pontuais!E:E,B697,receitas_pontuais!B:B)</f>
        <v>56919</v>
      </c>
      <c r="E697" s="51">
        <f t="shared" si="2"/>
        <v>22906</v>
      </c>
      <c r="F697" s="53">
        <f>IFERROR(SUMIF(contas!G:G, B697, contas!B:B),0)</f>
        <v>0</v>
      </c>
      <c r="G697" s="51">
        <f>SUMIFS(previsoes!D:D, previsoes!E:E, "&lt;=" &amp; EOMONTH(DATEVALUE(B697&amp;"-01"),0), previsoes!F:F, "&gt;=" &amp; DATEVALUE(B697&amp;"-01"))</f>
        <v>0</v>
      </c>
      <c r="H697" s="52">
        <f t="shared" si="5"/>
        <v>160491.8958</v>
      </c>
      <c r="I697" s="49">
        <f t="shared" si="3"/>
        <v>22906</v>
      </c>
      <c r="J697" s="52">
        <f>IF(A697&lt;&gt;"",SUMIFS(metas!N:N, metas!E:E, "&gt;=" &amp; DATEVALUE(B697&amp;"-01"),metas!D:D, "&lt;=" &amp; DATEVALUE(B697&amp;"-01")),"")</f>
        <v>3182.813937</v>
      </c>
      <c r="K697" s="49">
        <f t="shared" si="4"/>
        <v>19723.18606</v>
      </c>
      <c r="L697" s="49">
        <f t="shared" si="6"/>
        <v>13091220.84</v>
      </c>
      <c r="M697" s="49">
        <f>IF(A697&lt;&gt;"",IF(COUNTIF(investimento!F:F, B697) &gt; 0, SUM(investimento!B:B)+I697, M696+I697),"")</f>
        <v>15725234.68</v>
      </c>
    </row>
    <row r="698" ht="22.5" customHeight="1">
      <c r="A698" s="47">
        <v>50747.0</v>
      </c>
      <c r="B698" s="48" t="str">
        <f t="shared" si="1"/>
        <v>2038-12</v>
      </c>
      <c r="C698" s="49">
        <f>SUMIF(despesas_recorrentes!C:C, "&gt;="&amp;A698,despesas_recorrentes!B:B) 
+SUMIF(despesas_recorrentes!C:C, "",despesas_recorrentes!B:B)
-despesas_recorrentes!$B$12
+IF(SUMIF(gasto_cartao!E:E,saldo!B698,gasto_cartao!B:B)&gt;despesas_recorrentes!$B$12, SUMIF(gasto_cartao!E:E,saldo!B698,gasto_cartao!B:B),despesas_recorrentes!$B$12)</f>
        <v>34013</v>
      </c>
      <c r="D698" s="51">
        <f>SUM(receitas_recorrentes!B:B)+SUMIF(receitas_pontuais!E:E,B698,receitas_pontuais!B:B)</f>
        <v>56919</v>
      </c>
      <c r="E698" s="51">
        <f t="shared" si="2"/>
        <v>22906</v>
      </c>
      <c r="F698" s="53">
        <f>IFERROR(SUMIF(contas!G:G, B698, contas!B:B),0)</f>
        <v>0</v>
      </c>
      <c r="G698" s="51">
        <f>SUMIFS(previsoes!D:D, previsoes!E:E, "&lt;=" &amp; EOMONTH(DATEVALUE(B698&amp;"-01"),0), previsoes!F:F, "&gt;=" &amp; DATEVALUE(B698&amp;"-01"))</f>
        <v>0</v>
      </c>
      <c r="H698" s="52">
        <f t="shared" si="5"/>
        <v>160491.8958</v>
      </c>
      <c r="I698" s="49">
        <f t="shared" si="3"/>
        <v>22906</v>
      </c>
      <c r="J698" s="52">
        <f>IF(A698&lt;&gt;"",SUMIFS(metas!N:N, metas!E:E, "&gt;=" &amp; DATEVALUE(B698&amp;"-01"),metas!D:D, "&lt;=" &amp; DATEVALUE(B698&amp;"-01")),"")</f>
        <v>3182.813937</v>
      </c>
      <c r="K698" s="49">
        <f t="shared" si="4"/>
        <v>19723.18606</v>
      </c>
      <c r="L698" s="49">
        <f t="shared" si="6"/>
        <v>13110944.03</v>
      </c>
      <c r="M698" s="49">
        <f>IF(A698&lt;&gt;"",IF(COUNTIF(investimento!F:F, B698) &gt; 0, SUM(investimento!B:B)+I698, M697+I698),"")</f>
        <v>15748140.68</v>
      </c>
    </row>
    <row r="699" ht="22.5" customHeight="1">
      <c r="A699" s="47">
        <v>50748.0</v>
      </c>
      <c r="B699" s="48" t="str">
        <f t="shared" si="1"/>
        <v>2038-12</v>
      </c>
      <c r="C699" s="49">
        <f>SUMIF(despesas_recorrentes!C:C, "&gt;="&amp;A699,despesas_recorrentes!B:B) 
+SUMIF(despesas_recorrentes!C:C, "",despesas_recorrentes!B:B)
-despesas_recorrentes!$B$12
+IF(SUMIF(gasto_cartao!E:E,saldo!B699,gasto_cartao!B:B)&gt;despesas_recorrentes!$B$12, SUMIF(gasto_cartao!E:E,saldo!B699,gasto_cartao!B:B),despesas_recorrentes!$B$12)</f>
        <v>34013</v>
      </c>
      <c r="D699" s="51">
        <f>SUM(receitas_recorrentes!B:B)+SUMIF(receitas_pontuais!E:E,B699,receitas_pontuais!B:B)</f>
        <v>56919</v>
      </c>
      <c r="E699" s="51">
        <f t="shared" si="2"/>
        <v>22906</v>
      </c>
      <c r="F699" s="53">
        <f>IFERROR(SUMIF(contas!G:G, B699, contas!B:B),0)</f>
        <v>0</v>
      </c>
      <c r="G699" s="51">
        <f>SUMIFS(previsoes!D:D, previsoes!E:E, "&lt;=" &amp; EOMONTH(DATEVALUE(B699&amp;"-01"),0), previsoes!F:F, "&gt;=" &amp; DATEVALUE(B699&amp;"-01"))</f>
        <v>0</v>
      </c>
      <c r="H699" s="52">
        <f t="shared" si="5"/>
        <v>160491.8958</v>
      </c>
      <c r="I699" s="49">
        <f t="shared" si="3"/>
        <v>22906</v>
      </c>
      <c r="J699" s="52">
        <f>IF(A699&lt;&gt;"",SUMIFS(metas!N:N, metas!E:E, "&gt;=" &amp; DATEVALUE(B699&amp;"-01"),metas!D:D, "&lt;=" &amp; DATEVALUE(B699&amp;"-01")),"")</f>
        <v>3182.813937</v>
      </c>
      <c r="K699" s="49">
        <f t="shared" si="4"/>
        <v>19723.18606</v>
      </c>
      <c r="L699" s="49">
        <f t="shared" si="6"/>
        <v>13130667.21</v>
      </c>
      <c r="M699" s="49">
        <f>IF(A699&lt;&gt;"",IF(COUNTIF(investimento!F:F, B699) &gt; 0, SUM(investimento!B:B)+I699, M698+I699),"")</f>
        <v>15771046.68</v>
      </c>
    </row>
    <row r="700" ht="22.5" customHeight="1">
      <c r="A700" s="47">
        <v>50749.0</v>
      </c>
      <c r="B700" s="48" t="str">
        <f t="shared" si="1"/>
        <v>2038-12</v>
      </c>
      <c r="C700" s="49">
        <f>SUMIF(despesas_recorrentes!C:C, "&gt;="&amp;A700,despesas_recorrentes!B:B) 
+SUMIF(despesas_recorrentes!C:C, "",despesas_recorrentes!B:B)
-despesas_recorrentes!$B$12
+IF(SUMIF(gasto_cartao!E:E,saldo!B700,gasto_cartao!B:B)&gt;despesas_recorrentes!$B$12, SUMIF(gasto_cartao!E:E,saldo!B700,gasto_cartao!B:B),despesas_recorrentes!$B$12)</f>
        <v>34013</v>
      </c>
      <c r="D700" s="51">
        <f>SUM(receitas_recorrentes!B:B)+SUMIF(receitas_pontuais!E:E,B700,receitas_pontuais!B:B)</f>
        <v>56919</v>
      </c>
      <c r="E700" s="51">
        <f t="shared" si="2"/>
        <v>22906</v>
      </c>
      <c r="F700" s="53">
        <f>IFERROR(SUMIF(contas!G:G, B700, contas!B:B),0)</f>
        <v>0</v>
      </c>
      <c r="G700" s="51">
        <f>SUMIFS(previsoes!D:D, previsoes!E:E, "&lt;=" &amp; EOMONTH(DATEVALUE(B700&amp;"-01"),0), previsoes!F:F, "&gt;=" &amp; DATEVALUE(B700&amp;"-01"))</f>
        <v>0</v>
      </c>
      <c r="H700" s="52">
        <f t="shared" si="5"/>
        <v>160491.8958</v>
      </c>
      <c r="I700" s="49">
        <f t="shared" si="3"/>
        <v>22906</v>
      </c>
      <c r="J700" s="52">
        <f>IF(A700&lt;&gt;"",SUMIFS(metas!N:N, metas!E:E, "&gt;=" &amp; DATEVALUE(B700&amp;"-01"),metas!D:D, "&lt;=" &amp; DATEVALUE(B700&amp;"-01")),"")</f>
        <v>3182.813937</v>
      </c>
      <c r="K700" s="49">
        <f t="shared" si="4"/>
        <v>19723.18606</v>
      </c>
      <c r="L700" s="49">
        <f t="shared" si="6"/>
        <v>13150390.4</v>
      </c>
      <c r="M700" s="49">
        <f>IF(A700&lt;&gt;"",IF(COUNTIF(investimento!F:F, B700) &gt; 0, SUM(investimento!B:B)+I700, M699+I700),"")</f>
        <v>15793952.68</v>
      </c>
    </row>
    <row r="701" ht="22.5" customHeight="1">
      <c r="A701" s="47">
        <v>50750.0</v>
      </c>
      <c r="B701" s="48" t="str">
        <f t="shared" si="1"/>
        <v>2038-12</v>
      </c>
      <c r="C701" s="49">
        <f>SUMIF(despesas_recorrentes!C:C, "&gt;="&amp;A701,despesas_recorrentes!B:B) 
+SUMIF(despesas_recorrentes!C:C, "",despesas_recorrentes!B:B)
-despesas_recorrentes!$B$12
+IF(SUMIF(gasto_cartao!E:E,saldo!B701,gasto_cartao!B:B)&gt;despesas_recorrentes!$B$12, SUMIF(gasto_cartao!E:E,saldo!B701,gasto_cartao!B:B),despesas_recorrentes!$B$12)</f>
        <v>34013</v>
      </c>
      <c r="D701" s="51">
        <f>SUM(receitas_recorrentes!B:B)+SUMIF(receitas_pontuais!E:E,B701,receitas_pontuais!B:B)</f>
        <v>56919</v>
      </c>
      <c r="E701" s="51">
        <f t="shared" si="2"/>
        <v>22906</v>
      </c>
      <c r="F701" s="53">
        <f>IFERROR(SUMIF(contas!G:G, B701, contas!B:B),0)</f>
        <v>0</v>
      </c>
      <c r="G701" s="51">
        <f>SUMIFS(previsoes!D:D, previsoes!E:E, "&lt;=" &amp; EOMONTH(DATEVALUE(B701&amp;"-01"),0), previsoes!F:F, "&gt;=" &amp; DATEVALUE(B701&amp;"-01"))</f>
        <v>0</v>
      </c>
      <c r="H701" s="52">
        <f t="shared" si="5"/>
        <v>160491.8958</v>
      </c>
      <c r="I701" s="49">
        <f t="shared" si="3"/>
        <v>22906</v>
      </c>
      <c r="J701" s="52">
        <f>IF(A701&lt;&gt;"",SUMIFS(metas!N:N, metas!E:E, "&gt;=" &amp; DATEVALUE(B701&amp;"-01"),metas!D:D, "&lt;=" &amp; DATEVALUE(B701&amp;"-01")),"")</f>
        <v>3182.813937</v>
      </c>
      <c r="K701" s="49">
        <f t="shared" si="4"/>
        <v>19723.18606</v>
      </c>
      <c r="L701" s="49">
        <f t="shared" si="6"/>
        <v>13170113.59</v>
      </c>
      <c r="M701" s="49">
        <f>IF(A701&lt;&gt;"",IF(COUNTIF(investimento!F:F, B701) &gt; 0, SUM(investimento!B:B)+I701, M700+I701),"")</f>
        <v>15816858.68</v>
      </c>
    </row>
    <row r="702" ht="22.5" customHeight="1">
      <c r="A702" s="47">
        <v>50751.0</v>
      </c>
      <c r="B702" s="48" t="str">
        <f t="shared" si="1"/>
        <v>2038-12</v>
      </c>
      <c r="C702" s="49">
        <f>SUMIF(despesas_recorrentes!C:C, "&gt;="&amp;A702,despesas_recorrentes!B:B) 
+SUMIF(despesas_recorrentes!C:C, "",despesas_recorrentes!B:B)
-despesas_recorrentes!$B$12
+IF(SUMIF(gasto_cartao!E:E,saldo!B702,gasto_cartao!B:B)&gt;despesas_recorrentes!$B$12, SUMIF(gasto_cartao!E:E,saldo!B702,gasto_cartao!B:B),despesas_recorrentes!$B$12)</f>
        <v>34013</v>
      </c>
      <c r="D702" s="51">
        <f>SUM(receitas_recorrentes!B:B)+SUMIF(receitas_pontuais!E:E,B702,receitas_pontuais!B:B)</f>
        <v>56919</v>
      </c>
      <c r="E702" s="51">
        <f t="shared" si="2"/>
        <v>22906</v>
      </c>
      <c r="F702" s="53">
        <f>IFERROR(SUMIF(contas!G:G, B702, contas!B:B),0)</f>
        <v>0</v>
      </c>
      <c r="G702" s="51">
        <f>SUMIFS(previsoes!D:D, previsoes!E:E, "&lt;=" &amp; EOMONTH(DATEVALUE(B702&amp;"-01"),0), previsoes!F:F, "&gt;=" &amp; DATEVALUE(B702&amp;"-01"))</f>
        <v>0</v>
      </c>
      <c r="H702" s="52">
        <f t="shared" si="5"/>
        <v>160491.8958</v>
      </c>
      <c r="I702" s="49">
        <f t="shared" si="3"/>
        <v>22906</v>
      </c>
      <c r="J702" s="52">
        <f>IF(A702&lt;&gt;"",SUMIFS(metas!N:N, metas!E:E, "&gt;=" &amp; DATEVALUE(B702&amp;"-01"),metas!D:D, "&lt;=" &amp; DATEVALUE(B702&amp;"-01")),"")</f>
        <v>3182.813937</v>
      </c>
      <c r="K702" s="49">
        <f t="shared" si="4"/>
        <v>19723.18606</v>
      </c>
      <c r="L702" s="49">
        <f t="shared" si="6"/>
        <v>13189836.77</v>
      </c>
      <c r="M702" s="49">
        <f>IF(A702&lt;&gt;"",IF(COUNTIF(investimento!F:F, B702) &gt; 0, SUM(investimento!B:B)+I702, M701+I702),"")</f>
        <v>15839764.68</v>
      </c>
    </row>
    <row r="703" ht="22.5" customHeight="1">
      <c r="A703" s="47">
        <v>50752.0</v>
      </c>
      <c r="B703" s="48" t="str">
        <f t="shared" si="1"/>
        <v>2038-12</v>
      </c>
      <c r="C703" s="49">
        <f>SUMIF(despesas_recorrentes!C:C, "&gt;="&amp;A703,despesas_recorrentes!B:B) 
+SUMIF(despesas_recorrentes!C:C, "",despesas_recorrentes!B:B)
-despesas_recorrentes!$B$12
+IF(SUMIF(gasto_cartao!E:E,saldo!B703,gasto_cartao!B:B)&gt;despesas_recorrentes!$B$12, SUMIF(gasto_cartao!E:E,saldo!B703,gasto_cartao!B:B),despesas_recorrentes!$B$12)</f>
        <v>34013</v>
      </c>
      <c r="D703" s="51">
        <f>SUM(receitas_recorrentes!B:B)+SUMIF(receitas_pontuais!E:E,B703,receitas_pontuais!B:B)</f>
        <v>56919</v>
      </c>
      <c r="E703" s="51">
        <f t="shared" si="2"/>
        <v>22906</v>
      </c>
      <c r="F703" s="53">
        <f>IFERROR(SUMIF(contas!G:G, B703, contas!B:B),0)</f>
        <v>0</v>
      </c>
      <c r="G703" s="51">
        <f>SUMIFS(previsoes!D:D, previsoes!E:E, "&lt;=" &amp; EOMONTH(DATEVALUE(B703&amp;"-01"),0), previsoes!F:F, "&gt;=" &amp; DATEVALUE(B703&amp;"-01"))</f>
        <v>0</v>
      </c>
      <c r="H703" s="52">
        <f t="shared" si="5"/>
        <v>160491.8958</v>
      </c>
      <c r="I703" s="49">
        <f t="shared" si="3"/>
        <v>22906</v>
      </c>
      <c r="J703" s="52">
        <f>IF(A703&lt;&gt;"",SUMIFS(metas!N:N, metas!E:E, "&gt;=" &amp; DATEVALUE(B703&amp;"-01"),metas!D:D, "&lt;=" &amp; DATEVALUE(B703&amp;"-01")),"")</f>
        <v>3182.813937</v>
      </c>
      <c r="K703" s="49">
        <f t="shared" si="4"/>
        <v>19723.18606</v>
      </c>
      <c r="L703" s="49">
        <f t="shared" si="6"/>
        <v>13209559.96</v>
      </c>
      <c r="M703" s="49">
        <f>IF(A703&lt;&gt;"",IF(COUNTIF(investimento!F:F, B703) &gt; 0, SUM(investimento!B:B)+I703, M702+I703),"")</f>
        <v>15862670.68</v>
      </c>
    </row>
    <row r="704" ht="22.5" customHeight="1">
      <c r="A704" s="47">
        <v>50753.0</v>
      </c>
      <c r="B704" s="48" t="str">
        <f t="shared" si="1"/>
        <v>2038-12</v>
      </c>
      <c r="C704" s="49">
        <f>SUMIF(despesas_recorrentes!C:C, "&gt;="&amp;A704,despesas_recorrentes!B:B) 
+SUMIF(despesas_recorrentes!C:C, "",despesas_recorrentes!B:B)
-despesas_recorrentes!$B$12
+IF(SUMIF(gasto_cartao!E:E,saldo!B704,gasto_cartao!B:B)&gt;despesas_recorrentes!$B$12, SUMIF(gasto_cartao!E:E,saldo!B704,gasto_cartao!B:B),despesas_recorrentes!$B$12)</f>
        <v>34013</v>
      </c>
      <c r="D704" s="51">
        <f>SUM(receitas_recorrentes!B:B)+SUMIF(receitas_pontuais!E:E,B704,receitas_pontuais!B:B)</f>
        <v>56919</v>
      </c>
      <c r="E704" s="51">
        <f t="shared" si="2"/>
        <v>22906</v>
      </c>
      <c r="F704" s="53">
        <f>IFERROR(SUMIF(contas!G:G, B704, contas!B:B),0)</f>
        <v>0</v>
      </c>
      <c r="G704" s="51">
        <f>SUMIFS(previsoes!D:D, previsoes!E:E, "&lt;=" &amp; EOMONTH(DATEVALUE(B704&amp;"-01"),0), previsoes!F:F, "&gt;=" &amp; DATEVALUE(B704&amp;"-01"))</f>
        <v>0</v>
      </c>
      <c r="H704" s="52">
        <f t="shared" si="5"/>
        <v>160491.8958</v>
      </c>
      <c r="I704" s="49">
        <f t="shared" si="3"/>
        <v>22906</v>
      </c>
      <c r="J704" s="52">
        <f>IF(A704&lt;&gt;"",SUMIFS(metas!N:N, metas!E:E, "&gt;=" &amp; DATEVALUE(B704&amp;"-01"),metas!D:D, "&lt;=" &amp; DATEVALUE(B704&amp;"-01")),"")</f>
        <v>3182.813937</v>
      </c>
      <c r="K704" s="49">
        <f t="shared" si="4"/>
        <v>19723.18606</v>
      </c>
      <c r="L704" s="49">
        <f t="shared" si="6"/>
        <v>13229283.14</v>
      </c>
      <c r="M704" s="49">
        <f>IF(A704&lt;&gt;"",IF(COUNTIF(investimento!F:F, B704) &gt; 0, SUM(investimento!B:B)+I704, M703+I704),"")</f>
        <v>15885576.68</v>
      </c>
    </row>
    <row r="705" ht="22.5" customHeight="1">
      <c r="A705" s="47">
        <v>50754.0</v>
      </c>
      <c r="B705" s="48" t="str">
        <f t="shared" si="1"/>
        <v>2038-12</v>
      </c>
      <c r="C705" s="49">
        <f>SUMIF(despesas_recorrentes!C:C, "&gt;="&amp;A705,despesas_recorrentes!B:B) 
+SUMIF(despesas_recorrentes!C:C, "",despesas_recorrentes!B:B)
-despesas_recorrentes!$B$12
+IF(SUMIF(gasto_cartao!E:E,saldo!B705,gasto_cartao!B:B)&gt;despesas_recorrentes!$B$12, SUMIF(gasto_cartao!E:E,saldo!B705,gasto_cartao!B:B),despesas_recorrentes!$B$12)</f>
        <v>34013</v>
      </c>
      <c r="D705" s="51">
        <f>SUM(receitas_recorrentes!B:B)+SUMIF(receitas_pontuais!E:E,B705,receitas_pontuais!B:B)</f>
        <v>56919</v>
      </c>
      <c r="E705" s="51">
        <f t="shared" si="2"/>
        <v>22906</v>
      </c>
      <c r="F705" s="53">
        <f>IFERROR(SUMIF(contas!G:G, B705, contas!B:B),0)</f>
        <v>0</v>
      </c>
      <c r="G705" s="51">
        <f>SUMIFS(previsoes!D:D, previsoes!E:E, "&lt;=" &amp; EOMONTH(DATEVALUE(B705&amp;"-01"),0), previsoes!F:F, "&gt;=" &amp; DATEVALUE(B705&amp;"-01"))</f>
        <v>0</v>
      </c>
      <c r="H705" s="52">
        <f t="shared" si="5"/>
        <v>160491.8958</v>
      </c>
      <c r="I705" s="49">
        <f t="shared" si="3"/>
        <v>22906</v>
      </c>
      <c r="J705" s="52">
        <f>IF(A705&lt;&gt;"",SUMIFS(metas!N:N, metas!E:E, "&gt;=" &amp; DATEVALUE(B705&amp;"-01"),metas!D:D, "&lt;=" &amp; DATEVALUE(B705&amp;"-01")),"")</f>
        <v>3182.813937</v>
      </c>
      <c r="K705" s="49">
        <f t="shared" si="4"/>
        <v>19723.18606</v>
      </c>
      <c r="L705" s="49">
        <f t="shared" si="6"/>
        <v>13249006.33</v>
      </c>
      <c r="M705" s="49">
        <f>IF(A705&lt;&gt;"",IF(COUNTIF(investimento!F:F, B705) &gt; 0, SUM(investimento!B:B)+I705, M704+I705),"")</f>
        <v>15908482.68</v>
      </c>
    </row>
    <row r="706" ht="22.5" customHeight="1">
      <c r="A706" s="47">
        <v>50755.0</v>
      </c>
      <c r="B706" s="48" t="str">
        <f t="shared" si="1"/>
        <v>2038-12</v>
      </c>
      <c r="C706" s="49">
        <f>SUMIF(despesas_recorrentes!C:C, "&gt;="&amp;A706,despesas_recorrentes!B:B) 
+SUMIF(despesas_recorrentes!C:C, "",despesas_recorrentes!B:B)
-despesas_recorrentes!$B$12
+IF(SUMIF(gasto_cartao!E:E,saldo!B706,gasto_cartao!B:B)&gt;despesas_recorrentes!$B$12, SUMIF(gasto_cartao!E:E,saldo!B706,gasto_cartao!B:B),despesas_recorrentes!$B$12)</f>
        <v>34013</v>
      </c>
      <c r="D706" s="51">
        <f>SUM(receitas_recorrentes!B:B)+SUMIF(receitas_pontuais!E:E,B706,receitas_pontuais!B:B)</f>
        <v>56919</v>
      </c>
      <c r="E706" s="51">
        <f t="shared" si="2"/>
        <v>22906</v>
      </c>
      <c r="F706" s="53">
        <f>IFERROR(SUMIF(contas!G:G, B706, contas!B:B),0)</f>
        <v>0</v>
      </c>
      <c r="G706" s="51">
        <f>SUMIFS(previsoes!D:D, previsoes!E:E, "&lt;=" &amp; EOMONTH(DATEVALUE(B706&amp;"-01"),0), previsoes!F:F, "&gt;=" &amp; DATEVALUE(B706&amp;"-01"))</f>
        <v>0</v>
      </c>
      <c r="H706" s="52">
        <f t="shared" si="5"/>
        <v>160491.8958</v>
      </c>
      <c r="I706" s="49">
        <f t="shared" si="3"/>
        <v>22906</v>
      </c>
      <c r="J706" s="52">
        <f>IF(A706&lt;&gt;"",SUMIFS(metas!N:N, metas!E:E, "&gt;=" &amp; DATEVALUE(B706&amp;"-01"),metas!D:D, "&lt;=" &amp; DATEVALUE(B706&amp;"-01")),"")</f>
        <v>3182.813937</v>
      </c>
      <c r="K706" s="49">
        <f t="shared" si="4"/>
        <v>19723.18606</v>
      </c>
      <c r="L706" s="49">
        <f t="shared" si="6"/>
        <v>13268729.52</v>
      </c>
      <c r="M706" s="49">
        <f>IF(A706&lt;&gt;"",IF(COUNTIF(investimento!F:F, B706) &gt; 0, SUM(investimento!B:B)+I706, M705+I706),"")</f>
        <v>15931388.68</v>
      </c>
    </row>
    <row r="707" ht="22.5" customHeight="1">
      <c r="A707" s="47">
        <v>50756.0</v>
      </c>
      <c r="B707" s="48" t="str">
        <f t="shared" si="1"/>
        <v>2038-12</v>
      </c>
      <c r="C707" s="49">
        <f>SUMIF(despesas_recorrentes!C:C, "&gt;="&amp;A707,despesas_recorrentes!B:B) 
+SUMIF(despesas_recorrentes!C:C, "",despesas_recorrentes!B:B)
-despesas_recorrentes!$B$12
+IF(SUMIF(gasto_cartao!E:E,saldo!B707,gasto_cartao!B:B)&gt;despesas_recorrentes!$B$12, SUMIF(gasto_cartao!E:E,saldo!B707,gasto_cartao!B:B),despesas_recorrentes!$B$12)</f>
        <v>34013</v>
      </c>
      <c r="D707" s="51">
        <f>SUM(receitas_recorrentes!B:B)+SUMIF(receitas_pontuais!E:E,B707,receitas_pontuais!B:B)</f>
        <v>56919</v>
      </c>
      <c r="E707" s="51">
        <f t="shared" si="2"/>
        <v>22906</v>
      </c>
      <c r="F707" s="53">
        <f>IFERROR(SUMIF(contas!G:G, B707, contas!B:B),0)</f>
        <v>0</v>
      </c>
      <c r="G707" s="51">
        <f>SUMIFS(previsoes!D:D, previsoes!E:E, "&lt;=" &amp; EOMONTH(DATEVALUE(B707&amp;"-01"),0), previsoes!F:F, "&gt;=" &amp; DATEVALUE(B707&amp;"-01"))</f>
        <v>0</v>
      </c>
      <c r="H707" s="52">
        <f t="shared" si="5"/>
        <v>160491.8958</v>
      </c>
      <c r="I707" s="49">
        <f t="shared" si="3"/>
        <v>22906</v>
      </c>
      <c r="J707" s="52">
        <f>IF(A707&lt;&gt;"",SUMIFS(metas!N:N, metas!E:E, "&gt;=" &amp; DATEVALUE(B707&amp;"-01"),metas!D:D, "&lt;=" &amp; DATEVALUE(B707&amp;"-01")),"")</f>
        <v>3182.813937</v>
      </c>
      <c r="K707" s="49">
        <f t="shared" si="4"/>
        <v>19723.18606</v>
      </c>
      <c r="L707" s="49">
        <f t="shared" si="6"/>
        <v>13288452.7</v>
      </c>
      <c r="M707" s="49">
        <f>IF(A707&lt;&gt;"",IF(COUNTIF(investimento!F:F, B707) &gt; 0, SUM(investimento!B:B)+I707, M706+I707),"")</f>
        <v>15954294.68</v>
      </c>
    </row>
    <row r="708" ht="22.5" customHeight="1">
      <c r="A708" s="47">
        <v>50757.0</v>
      </c>
      <c r="B708" s="48" t="str">
        <f t="shared" si="1"/>
        <v>2038-12</v>
      </c>
      <c r="C708" s="49">
        <f>SUMIF(despesas_recorrentes!C:C, "&gt;="&amp;A708,despesas_recorrentes!B:B) 
+SUMIF(despesas_recorrentes!C:C, "",despesas_recorrentes!B:B)
-despesas_recorrentes!$B$12
+IF(SUMIF(gasto_cartao!E:E,saldo!B708,gasto_cartao!B:B)&gt;despesas_recorrentes!$B$12, SUMIF(gasto_cartao!E:E,saldo!B708,gasto_cartao!B:B),despesas_recorrentes!$B$12)</f>
        <v>34013</v>
      </c>
      <c r="D708" s="51">
        <f>SUM(receitas_recorrentes!B:B)+SUMIF(receitas_pontuais!E:E,B708,receitas_pontuais!B:B)</f>
        <v>56919</v>
      </c>
      <c r="E708" s="51">
        <f t="shared" si="2"/>
        <v>22906</v>
      </c>
      <c r="F708" s="53">
        <f>IFERROR(SUMIF(contas!G:G, B708, contas!B:B),0)</f>
        <v>0</v>
      </c>
      <c r="G708" s="51">
        <f>SUMIFS(previsoes!D:D, previsoes!E:E, "&lt;=" &amp; EOMONTH(DATEVALUE(B708&amp;"-01"),0), previsoes!F:F, "&gt;=" &amp; DATEVALUE(B708&amp;"-01"))</f>
        <v>0</v>
      </c>
      <c r="H708" s="52">
        <f t="shared" si="5"/>
        <v>160491.8958</v>
      </c>
      <c r="I708" s="49">
        <f t="shared" si="3"/>
        <v>22906</v>
      </c>
      <c r="J708" s="52">
        <f>IF(A708&lt;&gt;"",SUMIFS(metas!N:N, metas!E:E, "&gt;=" &amp; DATEVALUE(B708&amp;"-01"),metas!D:D, "&lt;=" &amp; DATEVALUE(B708&amp;"-01")),"")</f>
        <v>3182.813937</v>
      </c>
      <c r="K708" s="49">
        <f t="shared" si="4"/>
        <v>19723.18606</v>
      </c>
      <c r="L708" s="49">
        <f t="shared" si="6"/>
        <v>13308175.89</v>
      </c>
      <c r="M708" s="49">
        <f>IF(A708&lt;&gt;"",IF(COUNTIF(investimento!F:F, B708) &gt; 0, SUM(investimento!B:B)+I708, M707+I708),"")</f>
        <v>15977200.68</v>
      </c>
    </row>
    <row r="709" ht="22.5" customHeight="1">
      <c r="A709" s="47">
        <v>50758.0</v>
      </c>
      <c r="B709" s="48" t="str">
        <f t="shared" si="1"/>
        <v>2038-12</v>
      </c>
      <c r="C709" s="49">
        <f>SUMIF(despesas_recorrentes!C:C, "&gt;="&amp;A709,despesas_recorrentes!B:B) 
+SUMIF(despesas_recorrentes!C:C, "",despesas_recorrentes!B:B)
-despesas_recorrentes!$B$12
+IF(SUMIF(gasto_cartao!E:E,saldo!B709,gasto_cartao!B:B)&gt;despesas_recorrentes!$B$12, SUMIF(gasto_cartao!E:E,saldo!B709,gasto_cartao!B:B),despesas_recorrentes!$B$12)</f>
        <v>34013</v>
      </c>
      <c r="D709" s="51">
        <f>SUM(receitas_recorrentes!B:B)+SUMIF(receitas_pontuais!E:E,B709,receitas_pontuais!B:B)</f>
        <v>56919</v>
      </c>
      <c r="E709" s="51">
        <f t="shared" si="2"/>
        <v>22906</v>
      </c>
      <c r="F709" s="53">
        <f>IFERROR(SUMIF(contas!G:G, B709, contas!B:B),0)</f>
        <v>0</v>
      </c>
      <c r="G709" s="51">
        <f>SUMIFS(previsoes!D:D, previsoes!E:E, "&lt;=" &amp; EOMONTH(DATEVALUE(B709&amp;"-01"),0), previsoes!F:F, "&gt;=" &amp; DATEVALUE(B709&amp;"-01"))</f>
        <v>0</v>
      </c>
      <c r="H709" s="52">
        <f t="shared" si="5"/>
        <v>160491.8958</v>
      </c>
      <c r="I709" s="49">
        <f t="shared" si="3"/>
        <v>22906</v>
      </c>
      <c r="J709" s="52">
        <f>IF(A709&lt;&gt;"",SUMIFS(metas!N:N, metas!E:E, "&gt;=" &amp; DATEVALUE(B709&amp;"-01"),metas!D:D, "&lt;=" &amp; DATEVALUE(B709&amp;"-01")),"")</f>
        <v>3182.813937</v>
      </c>
      <c r="K709" s="49">
        <f t="shared" si="4"/>
        <v>19723.18606</v>
      </c>
      <c r="L709" s="49">
        <f t="shared" si="6"/>
        <v>13327899.08</v>
      </c>
      <c r="M709" s="49">
        <f>IF(A709&lt;&gt;"",IF(COUNTIF(investimento!F:F, B709) &gt; 0, SUM(investimento!B:B)+I709, M708+I709),"")</f>
        <v>16000106.68</v>
      </c>
    </row>
    <row r="710" ht="22.5" customHeight="1">
      <c r="A710" s="47">
        <v>50759.0</v>
      </c>
      <c r="B710" s="48" t="str">
        <f t="shared" si="1"/>
        <v>2038-12</v>
      </c>
      <c r="C710" s="49">
        <f>SUMIF(despesas_recorrentes!C:C, "&gt;="&amp;A710,despesas_recorrentes!B:B) 
+SUMIF(despesas_recorrentes!C:C, "",despesas_recorrentes!B:B)
-despesas_recorrentes!$B$12
+IF(SUMIF(gasto_cartao!E:E,saldo!B710,gasto_cartao!B:B)&gt;despesas_recorrentes!$B$12, SUMIF(gasto_cartao!E:E,saldo!B710,gasto_cartao!B:B),despesas_recorrentes!$B$12)</f>
        <v>34013</v>
      </c>
      <c r="D710" s="51">
        <f>SUM(receitas_recorrentes!B:B)+SUMIF(receitas_pontuais!E:E,B710,receitas_pontuais!B:B)</f>
        <v>56919</v>
      </c>
      <c r="E710" s="51">
        <f t="shared" si="2"/>
        <v>22906</v>
      </c>
      <c r="F710" s="53">
        <f>IFERROR(SUMIF(contas!G:G, B710, contas!B:B),0)</f>
        <v>0</v>
      </c>
      <c r="G710" s="51">
        <f>SUMIFS(previsoes!D:D, previsoes!E:E, "&lt;=" &amp; EOMONTH(DATEVALUE(B710&amp;"-01"),0), previsoes!F:F, "&gt;=" &amp; DATEVALUE(B710&amp;"-01"))</f>
        <v>0</v>
      </c>
      <c r="H710" s="52">
        <f t="shared" si="5"/>
        <v>160491.8958</v>
      </c>
      <c r="I710" s="49">
        <f t="shared" si="3"/>
        <v>22906</v>
      </c>
      <c r="J710" s="52">
        <f>IF(A710&lt;&gt;"",SUMIFS(metas!N:N, metas!E:E, "&gt;=" &amp; DATEVALUE(B710&amp;"-01"),metas!D:D, "&lt;=" &amp; DATEVALUE(B710&amp;"-01")),"")</f>
        <v>3182.813937</v>
      </c>
      <c r="K710" s="49">
        <f t="shared" si="4"/>
        <v>19723.18606</v>
      </c>
      <c r="L710" s="49">
        <f t="shared" si="6"/>
        <v>13347622.26</v>
      </c>
      <c r="M710" s="49">
        <f>IF(A710&lt;&gt;"",IF(COUNTIF(investimento!F:F, B710) &gt; 0, SUM(investimento!B:B)+I710, M709+I710),"")</f>
        <v>16023012.68</v>
      </c>
    </row>
    <row r="711" ht="22.5" customHeight="1">
      <c r="A711" s="47">
        <v>50760.0</v>
      </c>
      <c r="B711" s="48" t="str">
        <f t="shared" si="1"/>
        <v>2038-12</v>
      </c>
      <c r="C711" s="49">
        <f>SUMIF(despesas_recorrentes!C:C, "&gt;="&amp;A711,despesas_recorrentes!B:B) 
+SUMIF(despesas_recorrentes!C:C, "",despesas_recorrentes!B:B)
-despesas_recorrentes!$B$12
+IF(SUMIF(gasto_cartao!E:E,saldo!B711,gasto_cartao!B:B)&gt;despesas_recorrentes!$B$12, SUMIF(gasto_cartao!E:E,saldo!B711,gasto_cartao!B:B),despesas_recorrentes!$B$12)</f>
        <v>34013</v>
      </c>
      <c r="D711" s="51">
        <f>SUM(receitas_recorrentes!B:B)+SUMIF(receitas_pontuais!E:E,B711,receitas_pontuais!B:B)</f>
        <v>56919</v>
      </c>
      <c r="E711" s="51">
        <f t="shared" si="2"/>
        <v>22906</v>
      </c>
      <c r="F711" s="53">
        <f>IFERROR(SUMIF(contas!G:G, B711, contas!B:B),0)</f>
        <v>0</v>
      </c>
      <c r="G711" s="51">
        <f>SUMIFS(previsoes!D:D, previsoes!E:E, "&lt;=" &amp; EOMONTH(DATEVALUE(B711&amp;"-01"),0), previsoes!F:F, "&gt;=" &amp; DATEVALUE(B711&amp;"-01"))</f>
        <v>0</v>
      </c>
      <c r="H711" s="52">
        <f t="shared" si="5"/>
        <v>160491.8958</v>
      </c>
      <c r="I711" s="49">
        <f t="shared" si="3"/>
        <v>22906</v>
      </c>
      <c r="J711" s="52">
        <f>IF(A711&lt;&gt;"",SUMIFS(metas!N:N, metas!E:E, "&gt;=" &amp; DATEVALUE(B711&amp;"-01"),metas!D:D, "&lt;=" &amp; DATEVALUE(B711&amp;"-01")),"")</f>
        <v>3182.813937</v>
      </c>
      <c r="K711" s="49">
        <f t="shared" si="4"/>
        <v>19723.18606</v>
      </c>
      <c r="L711" s="49">
        <f t="shared" si="6"/>
        <v>13367345.45</v>
      </c>
      <c r="M711" s="49">
        <f>IF(A711&lt;&gt;"",IF(COUNTIF(investimento!F:F, B711) &gt; 0, SUM(investimento!B:B)+I711, M710+I711),"")</f>
        <v>16045918.68</v>
      </c>
    </row>
    <row r="712" ht="22.5" customHeight="1">
      <c r="A712" s="47">
        <v>50761.0</v>
      </c>
      <c r="B712" s="48" t="str">
        <f t="shared" si="1"/>
        <v>2038-12</v>
      </c>
      <c r="C712" s="49">
        <f>SUMIF(despesas_recorrentes!C:C, "&gt;="&amp;A712,despesas_recorrentes!B:B) 
+SUMIF(despesas_recorrentes!C:C, "",despesas_recorrentes!B:B)
-despesas_recorrentes!$B$12
+IF(SUMIF(gasto_cartao!E:E,saldo!B712,gasto_cartao!B:B)&gt;despesas_recorrentes!$B$12, SUMIF(gasto_cartao!E:E,saldo!B712,gasto_cartao!B:B),despesas_recorrentes!$B$12)</f>
        <v>34013</v>
      </c>
      <c r="D712" s="51">
        <f>SUM(receitas_recorrentes!B:B)+SUMIF(receitas_pontuais!E:E,B712,receitas_pontuais!B:B)</f>
        <v>56919</v>
      </c>
      <c r="E712" s="51">
        <f t="shared" si="2"/>
        <v>22906</v>
      </c>
      <c r="F712" s="53">
        <f>IFERROR(SUMIF(contas!G:G, B712, contas!B:B),0)</f>
        <v>0</v>
      </c>
      <c r="G712" s="51">
        <f>SUMIFS(previsoes!D:D, previsoes!E:E, "&lt;=" &amp; EOMONTH(DATEVALUE(B712&amp;"-01"),0), previsoes!F:F, "&gt;=" &amp; DATEVALUE(B712&amp;"-01"))</f>
        <v>0</v>
      </c>
      <c r="H712" s="52">
        <f t="shared" si="5"/>
        <v>160491.8958</v>
      </c>
      <c r="I712" s="49">
        <f t="shared" si="3"/>
        <v>22906</v>
      </c>
      <c r="J712" s="52">
        <f>IF(A712&lt;&gt;"",SUMIFS(metas!N:N, metas!E:E, "&gt;=" &amp; DATEVALUE(B712&amp;"-01"),metas!D:D, "&lt;=" &amp; DATEVALUE(B712&amp;"-01")),"")</f>
        <v>3182.813937</v>
      </c>
      <c r="K712" s="49">
        <f t="shared" si="4"/>
        <v>19723.18606</v>
      </c>
      <c r="L712" s="49">
        <f t="shared" si="6"/>
        <v>13387068.63</v>
      </c>
      <c r="M712" s="49">
        <f>IF(A712&lt;&gt;"",IF(COUNTIF(investimento!F:F, B712) &gt; 0, SUM(investimento!B:B)+I712, M711+I712),"")</f>
        <v>16068824.68</v>
      </c>
    </row>
    <row r="713" ht="22.5" customHeight="1">
      <c r="A713" s="47">
        <v>50762.0</v>
      </c>
      <c r="B713" s="48" t="str">
        <f t="shared" si="1"/>
        <v>2038-12</v>
      </c>
      <c r="C713" s="49">
        <f>SUMIF(despesas_recorrentes!C:C, "&gt;="&amp;A713,despesas_recorrentes!B:B) 
+SUMIF(despesas_recorrentes!C:C, "",despesas_recorrentes!B:B)
-despesas_recorrentes!$B$12
+IF(SUMIF(gasto_cartao!E:E,saldo!B713,gasto_cartao!B:B)&gt;despesas_recorrentes!$B$12, SUMIF(gasto_cartao!E:E,saldo!B713,gasto_cartao!B:B),despesas_recorrentes!$B$12)</f>
        <v>34013</v>
      </c>
      <c r="D713" s="51">
        <f>SUM(receitas_recorrentes!B:B)+SUMIF(receitas_pontuais!E:E,B713,receitas_pontuais!B:B)</f>
        <v>56919</v>
      </c>
      <c r="E713" s="51">
        <f t="shared" si="2"/>
        <v>22906</v>
      </c>
      <c r="F713" s="53">
        <f>IFERROR(SUMIF(contas!G:G, B713, contas!B:B),0)</f>
        <v>0</v>
      </c>
      <c r="G713" s="51">
        <f>SUMIFS(previsoes!D:D, previsoes!E:E, "&lt;=" &amp; EOMONTH(DATEVALUE(B713&amp;"-01"),0), previsoes!F:F, "&gt;=" &amp; DATEVALUE(B713&amp;"-01"))</f>
        <v>0</v>
      </c>
      <c r="H713" s="52">
        <f t="shared" si="5"/>
        <v>160491.8958</v>
      </c>
      <c r="I713" s="49">
        <f t="shared" si="3"/>
        <v>22906</v>
      </c>
      <c r="J713" s="52">
        <f>IF(A713&lt;&gt;"",SUMIFS(metas!N:N, metas!E:E, "&gt;=" &amp; DATEVALUE(B713&amp;"-01"),metas!D:D, "&lt;=" &amp; DATEVALUE(B713&amp;"-01")),"")</f>
        <v>3182.813937</v>
      </c>
      <c r="K713" s="49">
        <f t="shared" si="4"/>
        <v>19723.18606</v>
      </c>
      <c r="L713" s="49">
        <f t="shared" si="6"/>
        <v>13406791.82</v>
      </c>
      <c r="M713" s="49">
        <f>IF(A713&lt;&gt;"",IF(COUNTIF(investimento!F:F, B713) &gt; 0, SUM(investimento!B:B)+I713, M712+I713),"")</f>
        <v>16091730.68</v>
      </c>
    </row>
    <row r="714" ht="22.5" customHeight="1">
      <c r="A714" s="47">
        <v>50763.0</v>
      </c>
      <c r="B714" s="48" t="str">
        <f t="shared" si="1"/>
        <v>2038-12</v>
      </c>
      <c r="C714" s="49">
        <f>SUMIF(despesas_recorrentes!C:C, "&gt;="&amp;A714,despesas_recorrentes!B:B) 
+SUMIF(despesas_recorrentes!C:C, "",despesas_recorrentes!B:B)
-despesas_recorrentes!$B$12
+IF(SUMIF(gasto_cartao!E:E,saldo!B714,gasto_cartao!B:B)&gt;despesas_recorrentes!$B$12, SUMIF(gasto_cartao!E:E,saldo!B714,gasto_cartao!B:B),despesas_recorrentes!$B$12)</f>
        <v>34013</v>
      </c>
      <c r="D714" s="51">
        <f>SUM(receitas_recorrentes!B:B)+SUMIF(receitas_pontuais!E:E,B714,receitas_pontuais!B:B)</f>
        <v>56919</v>
      </c>
      <c r="E714" s="51">
        <f t="shared" si="2"/>
        <v>22906</v>
      </c>
      <c r="F714" s="53">
        <f>IFERROR(SUMIF(contas!G:G, B714, contas!B:B),0)</f>
        <v>0</v>
      </c>
      <c r="G714" s="51">
        <f>SUMIFS(previsoes!D:D, previsoes!E:E, "&lt;=" &amp; EOMONTH(DATEVALUE(B714&amp;"-01"),0), previsoes!F:F, "&gt;=" &amp; DATEVALUE(B714&amp;"-01"))</f>
        <v>0</v>
      </c>
      <c r="H714" s="52">
        <f t="shared" si="5"/>
        <v>160491.8958</v>
      </c>
      <c r="I714" s="49">
        <f t="shared" si="3"/>
        <v>22906</v>
      </c>
      <c r="J714" s="52">
        <f>IF(A714&lt;&gt;"",SUMIFS(metas!N:N, metas!E:E, "&gt;=" &amp; DATEVALUE(B714&amp;"-01"),metas!D:D, "&lt;=" &amp; DATEVALUE(B714&amp;"-01")),"")</f>
        <v>3182.813937</v>
      </c>
      <c r="K714" s="49">
        <f t="shared" si="4"/>
        <v>19723.18606</v>
      </c>
      <c r="L714" s="49">
        <f t="shared" si="6"/>
        <v>13426515.01</v>
      </c>
      <c r="M714" s="49">
        <f>IF(A714&lt;&gt;"",IF(COUNTIF(investimento!F:F, B714) &gt; 0, SUM(investimento!B:B)+I714, M713+I714),"")</f>
        <v>16114636.68</v>
      </c>
    </row>
    <row r="715" ht="22.5" customHeight="1">
      <c r="A715" s="47">
        <v>50764.0</v>
      </c>
      <c r="B715" s="48" t="str">
        <f t="shared" si="1"/>
        <v>2038-12</v>
      </c>
      <c r="C715" s="49">
        <f>SUMIF(despesas_recorrentes!C:C, "&gt;="&amp;A715,despesas_recorrentes!B:B) 
+SUMIF(despesas_recorrentes!C:C, "",despesas_recorrentes!B:B)
-despesas_recorrentes!$B$12
+IF(SUMIF(gasto_cartao!E:E,saldo!B715,gasto_cartao!B:B)&gt;despesas_recorrentes!$B$12, SUMIF(gasto_cartao!E:E,saldo!B715,gasto_cartao!B:B),despesas_recorrentes!$B$12)</f>
        <v>34013</v>
      </c>
      <c r="D715" s="51">
        <f>SUM(receitas_recorrentes!B:B)+SUMIF(receitas_pontuais!E:E,B715,receitas_pontuais!B:B)</f>
        <v>56919</v>
      </c>
      <c r="E715" s="51">
        <f t="shared" si="2"/>
        <v>22906</v>
      </c>
      <c r="F715" s="53">
        <f>IFERROR(SUMIF(contas!G:G, B715, contas!B:B),0)</f>
        <v>0</v>
      </c>
      <c r="G715" s="51">
        <f>SUMIFS(previsoes!D:D, previsoes!E:E, "&lt;=" &amp; EOMONTH(DATEVALUE(B715&amp;"-01"),0), previsoes!F:F, "&gt;=" &amp; DATEVALUE(B715&amp;"-01"))</f>
        <v>0</v>
      </c>
      <c r="H715" s="52">
        <f t="shared" si="5"/>
        <v>160491.8958</v>
      </c>
      <c r="I715" s="49">
        <f t="shared" si="3"/>
        <v>22906</v>
      </c>
      <c r="J715" s="52">
        <f>IF(A715&lt;&gt;"",SUMIFS(metas!N:N, metas!E:E, "&gt;=" &amp; DATEVALUE(B715&amp;"-01"),metas!D:D, "&lt;=" &amp; DATEVALUE(B715&amp;"-01")),"")</f>
        <v>3182.813937</v>
      </c>
      <c r="K715" s="49">
        <f t="shared" si="4"/>
        <v>19723.18606</v>
      </c>
      <c r="L715" s="49">
        <f t="shared" si="6"/>
        <v>13446238.19</v>
      </c>
      <c r="M715" s="49">
        <f>IF(A715&lt;&gt;"",IF(COUNTIF(investimento!F:F, B715) &gt; 0, SUM(investimento!B:B)+I715, M714+I715),"")</f>
        <v>16137542.68</v>
      </c>
    </row>
    <row r="716" ht="22.5" customHeight="1">
      <c r="A716" s="47">
        <v>50765.0</v>
      </c>
      <c r="B716" s="48" t="str">
        <f t="shared" si="1"/>
        <v>2038-12</v>
      </c>
      <c r="C716" s="49">
        <f>SUMIF(despesas_recorrentes!C:C, "&gt;="&amp;A716,despesas_recorrentes!B:B) 
+SUMIF(despesas_recorrentes!C:C, "",despesas_recorrentes!B:B)
-despesas_recorrentes!$B$12
+IF(SUMIF(gasto_cartao!E:E,saldo!B716,gasto_cartao!B:B)&gt;despesas_recorrentes!$B$12, SUMIF(gasto_cartao!E:E,saldo!B716,gasto_cartao!B:B),despesas_recorrentes!$B$12)</f>
        <v>34013</v>
      </c>
      <c r="D716" s="51">
        <f>SUM(receitas_recorrentes!B:B)+SUMIF(receitas_pontuais!E:E,B716,receitas_pontuais!B:B)</f>
        <v>56919</v>
      </c>
      <c r="E716" s="51">
        <f t="shared" si="2"/>
        <v>22906</v>
      </c>
      <c r="F716" s="53">
        <f>IFERROR(SUMIF(contas!G:G, B716, contas!B:B),0)</f>
        <v>0</v>
      </c>
      <c r="G716" s="51">
        <f>SUMIFS(previsoes!D:D, previsoes!E:E, "&lt;=" &amp; EOMONTH(DATEVALUE(B716&amp;"-01"),0), previsoes!F:F, "&gt;=" &amp; DATEVALUE(B716&amp;"-01"))</f>
        <v>0</v>
      </c>
      <c r="H716" s="52">
        <f t="shared" si="5"/>
        <v>160491.8958</v>
      </c>
      <c r="I716" s="49">
        <f t="shared" si="3"/>
        <v>22906</v>
      </c>
      <c r="J716" s="52">
        <f>IF(A716&lt;&gt;"",SUMIFS(metas!N:N, metas!E:E, "&gt;=" &amp; DATEVALUE(B716&amp;"-01"),metas!D:D, "&lt;=" &amp; DATEVALUE(B716&amp;"-01")),"")</f>
        <v>3182.813937</v>
      </c>
      <c r="K716" s="49">
        <f t="shared" si="4"/>
        <v>19723.18606</v>
      </c>
      <c r="L716" s="49">
        <f t="shared" si="6"/>
        <v>13465961.38</v>
      </c>
      <c r="M716" s="49">
        <f>IF(A716&lt;&gt;"",IF(COUNTIF(investimento!F:F, B716) &gt; 0, SUM(investimento!B:B)+I716, M715+I716),"")</f>
        <v>16160448.68</v>
      </c>
    </row>
    <row r="717" ht="22.5" customHeight="1">
      <c r="A717" s="47">
        <v>50766.0</v>
      </c>
      <c r="B717" s="48" t="str">
        <f t="shared" si="1"/>
        <v>2038-12</v>
      </c>
      <c r="C717" s="49">
        <f>SUMIF(despesas_recorrentes!C:C, "&gt;="&amp;A717,despesas_recorrentes!B:B) 
+SUMIF(despesas_recorrentes!C:C, "",despesas_recorrentes!B:B)
-despesas_recorrentes!$B$12
+IF(SUMIF(gasto_cartao!E:E,saldo!B717,gasto_cartao!B:B)&gt;despesas_recorrentes!$B$12, SUMIF(gasto_cartao!E:E,saldo!B717,gasto_cartao!B:B),despesas_recorrentes!$B$12)</f>
        <v>34013</v>
      </c>
      <c r="D717" s="51">
        <f>SUM(receitas_recorrentes!B:B)+SUMIF(receitas_pontuais!E:E,B717,receitas_pontuais!B:B)</f>
        <v>56919</v>
      </c>
      <c r="E717" s="51">
        <f t="shared" si="2"/>
        <v>22906</v>
      </c>
      <c r="F717" s="53">
        <f>IFERROR(SUMIF(contas!G:G, B717, contas!B:B),0)</f>
        <v>0</v>
      </c>
      <c r="G717" s="51">
        <f>SUMIFS(previsoes!D:D, previsoes!E:E, "&lt;=" &amp; EOMONTH(DATEVALUE(B717&amp;"-01"),0), previsoes!F:F, "&gt;=" &amp; DATEVALUE(B717&amp;"-01"))</f>
        <v>0</v>
      </c>
      <c r="H717" s="52">
        <f t="shared" si="5"/>
        <v>160491.8958</v>
      </c>
      <c r="I717" s="49">
        <f t="shared" si="3"/>
        <v>22906</v>
      </c>
      <c r="J717" s="52">
        <f>IF(A717&lt;&gt;"",SUMIFS(metas!N:N, metas!E:E, "&gt;=" &amp; DATEVALUE(B717&amp;"-01"),metas!D:D, "&lt;=" &amp; DATEVALUE(B717&amp;"-01")),"")</f>
        <v>3182.813937</v>
      </c>
      <c r="K717" s="49">
        <f t="shared" si="4"/>
        <v>19723.18606</v>
      </c>
      <c r="L717" s="49">
        <f t="shared" si="6"/>
        <v>13485684.56</v>
      </c>
      <c r="M717" s="49">
        <f>IF(A717&lt;&gt;"",IF(COUNTIF(investimento!F:F, B717) &gt; 0, SUM(investimento!B:B)+I717, M716+I717),"")</f>
        <v>16183354.68</v>
      </c>
    </row>
    <row r="718" ht="22.5" customHeight="1">
      <c r="A718" s="47">
        <v>50767.0</v>
      </c>
      <c r="B718" s="48" t="str">
        <f t="shared" si="1"/>
        <v>2038-12</v>
      </c>
      <c r="C718" s="49">
        <f>SUMIF(despesas_recorrentes!C:C, "&gt;="&amp;A718,despesas_recorrentes!B:B) 
+SUMIF(despesas_recorrentes!C:C, "",despesas_recorrentes!B:B)
-despesas_recorrentes!$B$12
+IF(SUMIF(gasto_cartao!E:E,saldo!B718,gasto_cartao!B:B)&gt;despesas_recorrentes!$B$12, SUMIF(gasto_cartao!E:E,saldo!B718,gasto_cartao!B:B),despesas_recorrentes!$B$12)</f>
        <v>34013</v>
      </c>
      <c r="D718" s="51">
        <f>SUM(receitas_recorrentes!B:B)+SUMIF(receitas_pontuais!E:E,B718,receitas_pontuais!B:B)</f>
        <v>56919</v>
      </c>
      <c r="E718" s="51">
        <f t="shared" si="2"/>
        <v>22906</v>
      </c>
      <c r="F718" s="53">
        <f>IFERROR(SUMIF(contas!G:G, B718, contas!B:B),0)</f>
        <v>0</v>
      </c>
      <c r="G718" s="51">
        <f>SUMIFS(previsoes!D:D, previsoes!E:E, "&lt;=" &amp; EOMONTH(DATEVALUE(B718&amp;"-01"),0), previsoes!F:F, "&gt;=" &amp; DATEVALUE(B718&amp;"-01"))</f>
        <v>0</v>
      </c>
      <c r="H718" s="52">
        <f t="shared" si="5"/>
        <v>160491.8958</v>
      </c>
      <c r="I718" s="49">
        <f t="shared" si="3"/>
        <v>22906</v>
      </c>
      <c r="J718" s="52">
        <f>IF(A718&lt;&gt;"",SUMIFS(metas!N:N, metas!E:E, "&gt;=" &amp; DATEVALUE(B718&amp;"-01"),metas!D:D, "&lt;=" &amp; DATEVALUE(B718&amp;"-01")),"")</f>
        <v>3182.813937</v>
      </c>
      <c r="K718" s="49">
        <f t="shared" si="4"/>
        <v>19723.18606</v>
      </c>
      <c r="L718" s="49">
        <f t="shared" si="6"/>
        <v>13505407.75</v>
      </c>
      <c r="M718" s="49">
        <f>IF(A718&lt;&gt;"",IF(COUNTIF(investimento!F:F, B718) &gt; 0, SUM(investimento!B:B)+I718, M717+I718),"")</f>
        <v>16206260.68</v>
      </c>
    </row>
    <row r="719" ht="22.5" customHeight="1">
      <c r="A719" s="47">
        <v>50768.0</v>
      </c>
      <c r="B719" s="48" t="str">
        <f t="shared" si="1"/>
        <v>2038-12</v>
      </c>
      <c r="C719" s="49">
        <f>SUMIF(despesas_recorrentes!C:C, "&gt;="&amp;A719,despesas_recorrentes!B:B) 
+SUMIF(despesas_recorrentes!C:C, "",despesas_recorrentes!B:B)
-despesas_recorrentes!$B$12
+IF(SUMIF(gasto_cartao!E:E,saldo!B719,gasto_cartao!B:B)&gt;despesas_recorrentes!$B$12, SUMIF(gasto_cartao!E:E,saldo!B719,gasto_cartao!B:B),despesas_recorrentes!$B$12)</f>
        <v>34013</v>
      </c>
      <c r="D719" s="51">
        <f>SUM(receitas_recorrentes!B:B)+SUMIF(receitas_pontuais!E:E,B719,receitas_pontuais!B:B)</f>
        <v>56919</v>
      </c>
      <c r="E719" s="51">
        <f t="shared" si="2"/>
        <v>22906</v>
      </c>
      <c r="F719" s="53">
        <f>IFERROR(SUMIF(contas!G:G, B719, contas!B:B),0)</f>
        <v>0</v>
      </c>
      <c r="G719" s="51">
        <f>SUMIFS(previsoes!D:D, previsoes!E:E, "&lt;=" &amp; EOMONTH(DATEVALUE(B719&amp;"-01"),0), previsoes!F:F, "&gt;=" &amp; DATEVALUE(B719&amp;"-01"))</f>
        <v>0</v>
      </c>
      <c r="H719" s="52">
        <f t="shared" si="5"/>
        <v>160491.8958</v>
      </c>
      <c r="I719" s="49">
        <f t="shared" si="3"/>
        <v>22906</v>
      </c>
      <c r="J719" s="52">
        <f>IF(A719&lt;&gt;"",SUMIFS(metas!N:N, metas!E:E, "&gt;=" &amp; DATEVALUE(B719&amp;"-01"),metas!D:D, "&lt;=" &amp; DATEVALUE(B719&amp;"-01")),"")</f>
        <v>3182.813937</v>
      </c>
      <c r="K719" s="49">
        <f t="shared" si="4"/>
        <v>19723.18606</v>
      </c>
      <c r="L719" s="49">
        <f t="shared" si="6"/>
        <v>13525130.94</v>
      </c>
      <c r="M719" s="49">
        <f>IF(A719&lt;&gt;"",IF(COUNTIF(investimento!F:F, B719) &gt; 0, SUM(investimento!B:B)+I719, M718+I719),"")</f>
        <v>16229166.68</v>
      </c>
    </row>
    <row r="720" ht="22.5" customHeight="1">
      <c r="A720" s="47">
        <v>50769.0</v>
      </c>
      <c r="B720" s="48" t="str">
        <f t="shared" si="1"/>
        <v>2038-12</v>
      </c>
      <c r="C720" s="49">
        <f>SUMIF(despesas_recorrentes!C:C, "&gt;="&amp;A720,despesas_recorrentes!B:B) 
+SUMIF(despesas_recorrentes!C:C, "",despesas_recorrentes!B:B)
-despesas_recorrentes!$B$12
+IF(SUMIF(gasto_cartao!E:E,saldo!B720,gasto_cartao!B:B)&gt;despesas_recorrentes!$B$12, SUMIF(gasto_cartao!E:E,saldo!B720,gasto_cartao!B:B),despesas_recorrentes!$B$12)</f>
        <v>34013</v>
      </c>
      <c r="D720" s="51">
        <f>SUM(receitas_recorrentes!B:B)+SUMIF(receitas_pontuais!E:E,B720,receitas_pontuais!B:B)</f>
        <v>56919</v>
      </c>
      <c r="E720" s="51">
        <f t="shared" si="2"/>
        <v>22906</v>
      </c>
      <c r="F720" s="53">
        <f>IFERROR(SUMIF(contas!G:G, B720, contas!B:B),0)</f>
        <v>0</v>
      </c>
      <c r="G720" s="51">
        <f>SUMIFS(previsoes!D:D, previsoes!E:E, "&lt;=" &amp; EOMONTH(DATEVALUE(B720&amp;"-01"),0), previsoes!F:F, "&gt;=" &amp; DATEVALUE(B720&amp;"-01"))</f>
        <v>0</v>
      </c>
      <c r="H720" s="52">
        <f t="shared" si="5"/>
        <v>160491.8958</v>
      </c>
      <c r="I720" s="49">
        <f t="shared" si="3"/>
        <v>22906</v>
      </c>
      <c r="J720" s="52">
        <f>IF(A720&lt;&gt;"",SUMIFS(metas!N:N, metas!E:E, "&gt;=" &amp; DATEVALUE(B720&amp;"-01"),metas!D:D, "&lt;=" &amp; DATEVALUE(B720&amp;"-01")),"")</f>
        <v>3182.813937</v>
      </c>
      <c r="K720" s="49">
        <f t="shared" si="4"/>
        <v>19723.18606</v>
      </c>
      <c r="L720" s="49">
        <f t="shared" si="6"/>
        <v>13544854.12</v>
      </c>
      <c r="M720" s="49">
        <f>IF(A720&lt;&gt;"",IF(COUNTIF(investimento!F:F, B720) &gt; 0, SUM(investimento!B:B)+I720, M719+I720),"")</f>
        <v>16252072.68</v>
      </c>
    </row>
    <row r="721" ht="22.5" customHeight="1">
      <c r="A721" s="47">
        <v>50770.0</v>
      </c>
      <c r="B721" s="48" t="str">
        <f t="shared" si="1"/>
        <v>2038-12</v>
      </c>
      <c r="C721" s="49">
        <f>SUMIF(despesas_recorrentes!C:C, "&gt;="&amp;A721,despesas_recorrentes!B:B) 
+SUMIF(despesas_recorrentes!C:C, "",despesas_recorrentes!B:B)
-despesas_recorrentes!$B$12
+IF(SUMIF(gasto_cartao!E:E,saldo!B721,gasto_cartao!B:B)&gt;despesas_recorrentes!$B$12, SUMIF(gasto_cartao!E:E,saldo!B721,gasto_cartao!B:B),despesas_recorrentes!$B$12)</f>
        <v>34013</v>
      </c>
      <c r="D721" s="51">
        <f>SUM(receitas_recorrentes!B:B)+SUMIF(receitas_pontuais!E:E,B721,receitas_pontuais!B:B)</f>
        <v>56919</v>
      </c>
      <c r="E721" s="51">
        <f t="shared" si="2"/>
        <v>22906</v>
      </c>
      <c r="F721" s="53">
        <f>IFERROR(SUMIF(contas!G:G, B721, contas!B:B),0)</f>
        <v>0</v>
      </c>
      <c r="G721" s="51">
        <f>SUMIFS(previsoes!D:D, previsoes!E:E, "&lt;=" &amp; EOMONTH(DATEVALUE(B721&amp;"-01"),0), previsoes!F:F, "&gt;=" &amp; DATEVALUE(B721&amp;"-01"))</f>
        <v>0</v>
      </c>
      <c r="H721" s="52">
        <f t="shared" si="5"/>
        <v>160491.8958</v>
      </c>
      <c r="I721" s="49">
        <f t="shared" si="3"/>
        <v>22906</v>
      </c>
      <c r="J721" s="52">
        <f>IF(A721&lt;&gt;"",SUMIFS(metas!N:N, metas!E:E, "&gt;=" &amp; DATEVALUE(B721&amp;"-01"),metas!D:D, "&lt;=" &amp; DATEVALUE(B721&amp;"-01")),"")</f>
        <v>3182.813937</v>
      </c>
      <c r="K721" s="49">
        <f t="shared" si="4"/>
        <v>19723.18606</v>
      </c>
      <c r="L721" s="49">
        <f t="shared" si="6"/>
        <v>13564577.31</v>
      </c>
      <c r="M721" s="49">
        <f>IF(A721&lt;&gt;"",IF(COUNTIF(investimento!F:F, B721) &gt; 0, SUM(investimento!B:B)+I721, M720+I721),"")</f>
        <v>16274978.68</v>
      </c>
    </row>
    <row r="722" ht="22.5" customHeight="1">
      <c r="A722" s="47">
        <v>50771.0</v>
      </c>
      <c r="B722" s="48" t="str">
        <f t="shared" si="1"/>
        <v>2039-01</v>
      </c>
      <c r="C722" s="49">
        <f>SUMIF(despesas_recorrentes!C:C, "&gt;="&amp;A722,despesas_recorrentes!B:B) 
+SUMIF(despesas_recorrentes!C:C, "",despesas_recorrentes!B:B)
-despesas_recorrentes!$B$12
+IF(SUMIF(gasto_cartao!E:E,saldo!B722,gasto_cartao!B:B)&gt;despesas_recorrentes!$B$12, SUMIF(gasto_cartao!E:E,saldo!B722,gasto_cartao!B:B),despesas_recorrentes!$B$12)</f>
        <v>34013</v>
      </c>
      <c r="D722" s="51">
        <f>SUM(receitas_recorrentes!B:B)+SUMIF(receitas_pontuais!E:E,B722,receitas_pontuais!B:B)</f>
        <v>56919</v>
      </c>
      <c r="E722" s="51">
        <f t="shared" si="2"/>
        <v>22906</v>
      </c>
      <c r="F722" s="53">
        <f>IFERROR(SUMIF(contas!G:G, B722, contas!B:B),0)</f>
        <v>0</v>
      </c>
      <c r="G722" s="51">
        <f>SUMIFS(previsoes!D:D, previsoes!E:E, "&lt;=" &amp; EOMONTH(DATEVALUE(B722&amp;"-01"),0), previsoes!F:F, "&gt;=" &amp; DATEVALUE(B722&amp;"-01"))</f>
        <v>0</v>
      </c>
      <c r="H722" s="52">
        <f t="shared" si="5"/>
        <v>160491.8958</v>
      </c>
      <c r="I722" s="49">
        <f t="shared" si="3"/>
        <v>22906</v>
      </c>
      <c r="J722" s="52">
        <f>IF(A722&lt;&gt;"",SUMIFS(metas!N:N, metas!E:E, "&gt;=" &amp; DATEVALUE(B722&amp;"-01"),metas!D:D, "&lt;=" &amp; DATEVALUE(B722&amp;"-01")),"")</f>
        <v>3182.813937</v>
      </c>
      <c r="K722" s="49">
        <f t="shared" si="4"/>
        <v>19723.18606</v>
      </c>
      <c r="L722" s="49">
        <f t="shared" si="6"/>
        <v>13584300.49</v>
      </c>
      <c r="M722" s="49">
        <f>IF(A722&lt;&gt;"",IF(COUNTIF(investimento!F:F, B722) &gt; 0, SUM(investimento!B:B)+I722, M721+I722),"")</f>
        <v>16297884.68</v>
      </c>
    </row>
    <row r="723" ht="22.5" customHeight="1">
      <c r="A723" s="47">
        <v>50772.0</v>
      </c>
      <c r="B723" s="48" t="str">
        <f t="shared" si="1"/>
        <v>2039-01</v>
      </c>
      <c r="C723" s="49">
        <f>SUMIF(despesas_recorrentes!C:C, "&gt;="&amp;A723,despesas_recorrentes!B:B) 
+SUMIF(despesas_recorrentes!C:C, "",despesas_recorrentes!B:B)
-despesas_recorrentes!$B$12
+IF(SUMIF(gasto_cartao!E:E,saldo!B723,gasto_cartao!B:B)&gt;despesas_recorrentes!$B$12, SUMIF(gasto_cartao!E:E,saldo!B723,gasto_cartao!B:B),despesas_recorrentes!$B$12)</f>
        <v>34013</v>
      </c>
      <c r="D723" s="51">
        <f>SUM(receitas_recorrentes!B:B)+SUMIF(receitas_pontuais!E:E,B723,receitas_pontuais!B:B)</f>
        <v>56919</v>
      </c>
      <c r="E723" s="51">
        <f t="shared" si="2"/>
        <v>22906</v>
      </c>
      <c r="F723" s="53">
        <f>IFERROR(SUMIF(contas!G:G, B723, contas!B:B),0)</f>
        <v>0</v>
      </c>
      <c r="G723" s="51">
        <f>SUMIFS(previsoes!D:D, previsoes!E:E, "&lt;=" &amp; EOMONTH(DATEVALUE(B723&amp;"-01"),0), previsoes!F:F, "&gt;=" &amp; DATEVALUE(B723&amp;"-01"))</f>
        <v>0</v>
      </c>
      <c r="H723" s="52">
        <f t="shared" si="5"/>
        <v>160491.8958</v>
      </c>
      <c r="I723" s="49">
        <f t="shared" si="3"/>
        <v>22906</v>
      </c>
      <c r="J723" s="52">
        <f>IF(A723&lt;&gt;"",SUMIFS(metas!N:N, metas!E:E, "&gt;=" &amp; DATEVALUE(B723&amp;"-01"),metas!D:D, "&lt;=" &amp; DATEVALUE(B723&amp;"-01")),"")</f>
        <v>3182.813937</v>
      </c>
      <c r="K723" s="49">
        <f t="shared" si="4"/>
        <v>19723.18606</v>
      </c>
      <c r="L723" s="49">
        <f t="shared" si="6"/>
        <v>13604023.68</v>
      </c>
      <c r="M723" s="49">
        <f>IF(A723&lt;&gt;"",IF(COUNTIF(investimento!F:F, B723) &gt; 0, SUM(investimento!B:B)+I723, M722+I723),"")</f>
        <v>16320790.68</v>
      </c>
    </row>
    <row r="724" ht="22.5" customHeight="1">
      <c r="A724" s="47">
        <v>50773.0</v>
      </c>
      <c r="B724" s="48" t="str">
        <f t="shared" si="1"/>
        <v>2039-01</v>
      </c>
      <c r="C724" s="49">
        <f>SUMIF(despesas_recorrentes!C:C, "&gt;="&amp;A724,despesas_recorrentes!B:B) 
+SUMIF(despesas_recorrentes!C:C, "",despesas_recorrentes!B:B)
-despesas_recorrentes!$B$12
+IF(SUMIF(gasto_cartao!E:E,saldo!B724,gasto_cartao!B:B)&gt;despesas_recorrentes!$B$12, SUMIF(gasto_cartao!E:E,saldo!B724,gasto_cartao!B:B),despesas_recorrentes!$B$12)</f>
        <v>34013</v>
      </c>
      <c r="D724" s="51">
        <f>SUM(receitas_recorrentes!B:B)+SUMIF(receitas_pontuais!E:E,B724,receitas_pontuais!B:B)</f>
        <v>56919</v>
      </c>
      <c r="E724" s="51">
        <f t="shared" si="2"/>
        <v>22906</v>
      </c>
      <c r="F724" s="53">
        <f>IFERROR(SUMIF(contas!G:G, B724, contas!B:B),0)</f>
        <v>0</v>
      </c>
      <c r="G724" s="51">
        <f>SUMIFS(previsoes!D:D, previsoes!E:E, "&lt;=" &amp; EOMONTH(DATEVALUE(B724&amp;"-01"),0), previsoes!F:F, "&gt;=" &amp; DATEVALUE(B724&amp;"-01"))</f>
        <v>0</v>
      </c>
      <c r="H724" s="52">
        <f t="shared" si="5"/>
        <v>160491.8958</v>
      </c>
      <c r="I724" s="49">
        <f t="shared" si="3"/>
        <v>22906</v>
      </c>
      <c r="J724" s="52">
        <f>IF(A724&lt;&gt;"",SUMIFS(metas!N:N, metas!E:E, "&gt;=" &amp; DATEVALUE(B724&amp;"-01"),metas!D:D, "&lt;=" &amp; DATEVALUE(B724&amp;"-01")),"")</f>
        <v>3182.813937</v>
      </c>
      <c r="K724" s="49">
        <f t="shared" si="4"/>
        <v>19723.18606</v>
      </c>
      <c r="L724" s="49">
        <f t="shared" si="6"/>
        <v>13623746.87</v>
      </c>
      <c r="M724" s="49">
        <f>IF(A724&lt;&gt;"",IF(COUNTIF(investimento!F:F, B724) &gt; 0, SUM(investimento!B:B)+I724, M723+I724),"")</f>
        <v>16343696.68</v>
      </c>
    </row>
    <row r="725" ht="22.5" customHeight="1">
      <c r="A725" s="47">
        <v>50774.0</v>
      </c>
      <c r="B725" s="48" t="str">
        <f t="shared" si="1"/>
        <v>2039-01</v>
      </c>
      <c r="C725" s="49">
        <f>SUMIF(despesas_recorrentes!C:C, "&gt;="&amp;A725,despesas_recorrentes!B:B) 
+SUMIF(despesas_recorrentes!C:C, "",despesas_recorrentes!B:B)
-despesas_recorrentes!$B$12
+IF(SUMIF(gasto_cartao!E:E,saldo!B725,gasto_cartao!B:B)&gt;despesas_recorrentes!$B$12, SUMIF(gasto_cartao!E:E,saldo!B725,gasto_cartao!B:B),despesas_recorrentes!$B$12)</f>
        <v>34013</v>
      </c>
      <c r="D725" s="51">
        <f>SUM(receitas_recorrentes!B:B)+SUMIF(receitas_pontuais!E:E,B725,receitas_pontuais!B:B)</f>
        <v>56919</v>
      </c>
      <c r="E725" s="51">
        <f t="shared" si="2"/>
        <v>22906</v>
      </c>
      <c r="F725" s="53">
        <f>IFERROR(SUMIF(contas!G:G, B725, contas!B:B),0)</f>
        <v>0</v>
      </c>
      <c r="G725" s="51">
        <f>SUMIFS(previsoes!D:D, previsoes!E:E, "&lt;=" &amp; EOMONTH(DATEVALUE(B725&amp;"-01"),0), previsoes!F:F, "&gt;=" &amp; DATEVALUE(B725&amp;"-01"))</f>
        <v>0</v>
      </c>
      <c r="H725" s="52">
        <f t="shared" si="5"/>
        <v>160491.8958</v>
      </c>
      <c r="I725" s="49">
        <f t="shared" si="3"/>
        <v>22906</v>
      </c>
      <c r="J725" s="52">
        <f>IF(A725&lt;&gt;"",SUMIFS(metas!N:N, metas!E:E, "&gt;=" &amp; DATEVALUE(B725&amp;"-01"),metas!D:D, "&lt;=" &amp; DATEVALUE(B725&amp;"-01")),"")</f>
        <v>3182.813937</v>
      </c>
      <c r="K725" s="49">
        <f t="shared" si="4"/>
        <v>19723.18606</v>
      </c>
      <c r="L725" s="49">
        <f t="shared" si="6"/>
        <v>13643470.05</v>
      </c>
      <c r="M725" s="49">
        <f>IF(A725&lt;&gt;"",IF(COUNTIF(investimento!F:F, B725) &gt; 0, SUM(investimento!B:B)+I725, M724+I725),"")</f>
        <v>16366602.68</v>
      </c>
    </row>
    <row r="726" ht="22.5" customHeight="1">
      <c r="A726" s="47">
        <v>50775.0</v>
      </c>
      <c r="B726" s="48" t="str">
        <f t="shared" si="1"/>
        <v>2039-01</v>
      </c>
      <c r="C726" s="49">
        <f>SUMIF(despesas_recorrentes!C:C, "&gt;="&amp;A726,despesas_recorrentes!B:B) 
+SUMIF(despesas_recorrentes!C:C, "",despesas_recorrentes!B:B)
-despesas_recorrentes!$B$12
+IF(SUMIF(gasto_cartao!E:E,saldo!B726,gasto_cartao!B:B)&gt;despesas_recorrentes!$B$12, SUMIF(gasto_cartao!E:E,saldo!B726,gasto_cartao!B:B),despesas_recorrentes!$B$12)</f>
        <v>34013</v>
      </c>
      <c r="D726" s="51">
        <f>SUM(receitas_recorrentes!B:B)+SUMIF(receitas_pontuais!E:E,B726,receitas_pontuais!B:B)</f>
        <v>56919</v>
      </c>
      <c r="E726" s="51">
        <f t="shared" si="2"/>
        <v>22906</v>
      </c>
      <c r="F726" s="53">
        <f>IFERROR(SUMIF(contas!G:G, B726, contas!B:B),0)</f>
        <v>0</v>
      </c>
      <c r="G726" s="51">
        <f>SUMIFS(previsoes!D:D, previsoes!E:E, "&lt;=" &amp; EOMONTH(DATEVALUE(B726&amp;"-01"),0), previsoes!F:F, "&gt;=" &amp; DATEVALUE(B726&amp;"-01"))</f>
        <v>0</v>
      </c>
      <c r="H726" s="52">
        <f t="shared" si="5"/>
        <v>160491.8958</v>
      </c>
      <c r="I726" s="49">
        <f t="shared" si="3"/>
        <v>22906</v>
      </c>
      <c r="J726" s="52">
        <f>IF(A726&lt;&gt;"",SUMIFS(metas!N:N, metas!E:E, "&gt;=" &amp; DATEVALUE(B726&amp;"-01"),metas!D:D, "&lt;=" &amp; DATEVALUE(B726&amp;"-01")),"")</f>
        <v>3182.813937</v>
      </c>
      <c r="K726" s="49">
        <f t="shared" si="4"/>
        <v>19723.18606</v>
      </c>
      <c r="L726" s="49">
        <f t="shared" si="6"/>
        <v>13663193.24</v>
      </c>
      <c r="M726" s="49">
        <f>IF(A726&lt;&gt;"",IF(COUNTIF(investimento!F:F, B726) &gt; 0, SUM(investimento!B:B)+I726, M725+I726),"")</f>
        <v>16389508.68</v>
      </c>
    </row>
    <row r="727" ht="22.5" customHeight="1">
      <c r="A727" s="47">
        <v>50776.0</v>
      </c>
      <c r="B727" s="48" t="str">
        <f t="shared" si="1"/>
        <v>2039-01</v>
      </c>
      <c r="C727" s="49">
        <f>SUMIF(despesas_recorrentes!C:C, "&gt;="&amp;A727,despesas_recorrentes!B:B) 
+SUMIF(despesas_recorrentes!C:C, "",despesas_recorrentes!B:B)
-despesas_recorrentes!$B$12
+IF(SUMIF(gasto_cartao!E:E,saldo!B727,gasto_cartao!B:B)&gt;despesas_recorrentes!$B$12, SUMIF(gasto_cartao!E:E,saldo!B727,gasto_cartao!B:B),despesas_recorrentes!$B$12)</f>
        <v>34013</v>
      </c>
      <c r="D727" s="51">
        <f>SUM(receitas_recorrentes!B:B)+SUMIF(receitas_pontuais!E:E,B727,receitas_pontuais!B:B)</f>
        <v>56919</v>
      </c>
      <c r="E727" s="51">
        <f t="shared" si="2"/>
        <v>22906</v>
      </c>
      <c r="F727" s="53">
        <f>IFERROR(SUMIF(contas!G:G, B727, contas!B:B),0)</f>
        <v>0</v>
      </c>
      <c r="G727" s="51">
        <f>SUMIFS(previsoes!D:D, previsoes!E:E, "&lt;=" &amp; EOMONTH(DATEVALUE(B727&amp;"-01"),0), previsoes!F:F, "&gt;=" &amp; DATEVALUE(B727&amp;"-01"))</f>
        <v>0</v>
      </c>
      <c r="H727" s="52">
        <f t="shared" si="5"/>
        <v>160491.8958</v>
      </c>
      <c r="I727" s="49">
        <f t="shared" si="3"/>
        <v>22906</v>
      </c>
      <c r="J727" s="52">
        <f>IF(A727&lt;&gt;"",SUMIFS(metas!N:N, metas!E:E, "&gt;=" &amp; DATEVALUE(B727&amp;"-01"),metas!D:D, "&lt;=" &amp; DATEVALUE(B727&amp;"-01")),"")</f>
        <v>3182.813937</v>
      </c>
      <c r="K727" s="49">
        <f t="shared" si="4"/>
        <v>19723.18606</v>
      </c>
      <c r="L727" s="49">
        <f t="shared" si="6"/>
        <v>13682916.42</v>
      </c>
      <c r="M727" s="49">
        <f>IF(A727&lt;&gt;"",IF(COUNTIF(investimento!F:F, B727) &gt; 0, SUM(investimento!B:B)+I727, M726+I727),"")</f>
        <v>16412414.68</v>
      </c>
    </row>
    <row r="728" ht="22.5" customHeight="1">
      <c r="A728" s="47">
        <v>50777.0</v>
      </c>
      <c r="B728" s="48" t="str">
        <f t="shared" si="1"/>
        <v>2039-01</v>
      </c>
      <c r="C728" s="49">
        <f>SUMIF(despesas_recorrentes!C:C, "&gt;="&amp;A728,despesas_recorrentes!B:B) 
+SUMIF(despesas_recorrentes!C:C, "",despesas_recorrentes!B:B)
-despesas_recorrentes!$B$12
+IF(SUMIF(gasto_cartao!E:E,saldo!B728,gasto_cartao!B:B)&gt;despesas_recorrentes!$B$12, SUMIF(gasto_cartao!E:E,saldo!B728,gasto_cartao!B:B),despesas_recorrentes!$B$12)</f>
        <v>34013</v>
      </c>
      <c r="D728" s="51">
        <f>SUM(receitas_recorrentes!B:B)+SUMIF(receitas_pontuais!E:E,B728,receitas_pontuais!B:B)</f>
        <v>56919</v>
      </c>
      <c r="E728" s="51">
        <f t="shared" si="2"/>
        <v>22906</v>
      </c>
      <c r="F728" s="53">
        <f>IFERROR(SUMIF(contas!G:G, B728, contas!B:B),0)</f>
        <v>0</v>
      </c>
      <c r="G728" s="51">
        <f>SUMIFS(previsoes!D:D, previsoes!E:E, "&lt;=" &amp; EOMONTH(DATEVALUE(B728&amp;"-01"),0), previsoes!F:F, "&gt;=" &amp; DATEVALUE(B728&amp;"-01"))</f>
        <v>0</v>
      </c>
      <c r="H728" s="52">
        <f t="shared" si="5"/>
        <v>160491.8958</v>
      </c>
      <c r="I728" s="49">
        <f t="shared" si="3"/>
        <v>22906</v>
      </c>
      <c r="J728" s="52">
        <f>IF(A728&lt;&gt;"",SUMIFS(metas!N:N, metas!E:E, "&gt;=" &amp; DATEVALUE(B728&amp;"-01"),metas!D:D, "&lt;=" &amp; DATEVALUE(B728&amp;"-01")),"")</f>
        <v>3182.813937</v>
      </c>
      <c r="K728" s="49">
        <f t="shared" si="4"/>
        <v>19723.18606</v>
      </c>
      <c r="L728" s="49">
        <f t="shared" si="6"/>
        <v>13702639.61</v>
      </c>
      <c r="M728" s="49">
        <f>IF(A728&lt;&gt;"",IF(COUNTIF(investimento!F:F, B728) &gt; 0, SUM(investimento!B:B)+I728, M727+I728),"")</f>
        <v>16435320.68</v>
      </c>
    </row>
    <row r="729" ht="22.5" customHeight="1">
      <c r="A729" s="47">
        <v>50778.0</v>
      </c>
      <c r="B729" s="48" t="str">
        <f t="shared" si="1"/>
        <v>2039-01</v>
      </c>
      <c r="C729" s="49">
        <f>SUMIF(despesas_recorrentes!C:C, "&gt;="&amp;A729,despesas_recorrentes!B:B) 
+SUMIF(despesas_recorrentes!C:C, "",despesas_recorrentes!B:B)
-despesas_recorrentes!$B$12
+IF(SUMIF(gasto_cartao!E:E,saldo!B729,gasto_cartao!B:B)&gt;despesas_recorrentes!$B$12, SUMIF(gasto_cartao!E:E,saldo!B729,gasto_cartao!B:B),despesas_recorrentes!$B$12)</f>
        <v>34013</v>
      </c>
      <c r="D729" s="51">
        <f>SUM(receitas_recorrentes!B:B)+SUMIF(receitas_pontuais!E:E,B729,receitas_pontuais!B:B)</f>
        <v>56919</v>
      </c>
      <c r="E729" s="51">
        <f t="shared" si="2"/>
        <v>22906</v>
      </c>
      <c r="F729" s="53">
        <f>IFERROR(SUMIF(contas!G:G, B729, contas!B:B),0)</f>
        <v>0</v>
      </c>
      <c r="G729" s="51">
        <f>SUMIFS(previsoes!D:D, previsoes!E:E, "&lt;=" &amp; EOMONTH(DATEVALUE(B729&amp;"-01"),0), previsoes!F:F, "&gt;=" &amp; DATEVALUE(B729&amp;"-01"))</f>
        <v>0</v>
      </c>
      <c r="H729" s="52">
        <f t="shared" si="5"/>
        <v>160491.8958</v>
      </c>
      <c r="I729" s="49">
        <f t="shared" si="3"/>
        <v>22906</v>
      </c>
      <c r="J729" s="52">
        <f>IF(A729&lt;&gt;"",SUMIFS(metas!N:N, metas!E:E, "&gt;=" &amp; DATEVALUE(B729&amp;"-01"),metas!D:D, "&lt;=" &amp; DATEVALUE(B729&amp;"-01")),"")</f>
        <v>3182.813937</v>
      </c>
      <c r="K729" s="49">
        <f t="shared" si="4"/>
        <v>19723.18606</v>
      </c>
      <c r="L729" s="49">
        <f t="shared" si="6"/>
        <v>13722362.8</v>
      </c>
      <c r="M729" s="49">
        <f>IF(A729&lt;&gt;"",IF(COUNTIF(investimento!F:F, B729) &gt; 0, SUM(investimento!B:B)+I729, M728+I729),"")</f>
        <v>16458226.68</v>
      </c>
    </row>
    <row r="730" ht="22.5" customHeight="1">
      <c r="A730" s="47">
        <v>50779.0</v>
      </c>
      <c r="B730" s="48" t="str">
        <f t="shared" si="1"/>
        <v>2039-01</v>
      </c>
      <c r="C730" s="49">
        <f>SUMIF(despesas_recorrentes!C:C, "&gt;="&amp;A730,despesas_recorrentes!B:B) 
+SUMIF(despesas_recorrentes!C:C, "",despesas_recorrentes!B:B)
-despesas_recorrentes!$B$12
+IF(SUMIF(gasto_cartao!E:E,saldo!B730,gasto_cartao!B:B)&gt;despesas_recorrentes!$B$12, SUMIF(gasto_cartao!E:E,saldo!B730,gasto_cartao!B:B),despesas_recorrentes!$B$12)</f>
        <v>34013</v>
      </c>
      <c r="D730" s="51">
        <f>SUM(receitas_recorrentes!B:B)+SUMIF(receitas_pontuais!E:E,B730,receitas_pontuais!B:B)</f>
        <v>56919</v>
      </c>
      <c r="E730" s="51">
        <f t="shared" si="2"/>
        <v>22906</v>
      </c>
      <c r="F730" s="53">
        <f>IFERROR(SUMIF(contas!G:G, B730, contas!B:B),0)</f>
        <v>0</v>
      </c>
      <c r="G730" s="51">
        <f>SUMIFS(previsoes!D:D, previsoes!E:E, "&lt;=" &amp; EOMONTH(DATEVALUE(B730&amp;"-01"),0), previsoes!F:F, "&gt;=" &amp; DATEVALUE(B730&amp;"-01"))</f>
        <v>0</v>
      </c>
      <c r="H730" s="52">
        <f t="shared" si="5"/>
        <v>160491.8958</v>
      </c>
      <c r="I730" s="49">
        <f t="shared" si="3"/>
        <v>22906</v>
      </c>
      <c r="J730" s="52">
        <f>IF(A730&lt;&gt;"",SUMIFS(metas!N:N, metas!E:E, "&gt;=" &amp; DATEVALUE(B730&amp;"-01"),metas!D:D, "&lt;=" &amp; DATEVALUE(B730&amp;"-01")),"")</f>
        <v>3182.813937</v>
      </c>
      <c r="K730" s="49">
        <f t="shared" si="4"/>
        <v>19723.18606</v>
      </c>
      <c r="L730" s="49">
        <f t="shared" si="6"/>
        <v>13742085.98</v>
      </c>
      <c r="M730" s="49">
        <f>IF(A730&lt;&gt;"",IF(COUNTIF(investimento!F:F, B730) &gt; 0, SUM(investimento!B:B)+I730, M729+I730),"")</f>
        <v>16481132.68</v>
      </c>
    </row>
    <row r="731" ht="22.5" customHeight="1">
      <c r="A731" s="47">
        <v>50780.0</v>
      </c>
      <c r="B731" s="48" t="str">
        <f t="shared" si="1"/>
        <v>2039-01</v>
      </c>
      <c r="C731" s="49">
        <f>SUMIF(despesas_recorrentes!C:C, "&gt;="&amp;A731,despesas_recorrentes!B:B) 
+SUMIF(despesas_recorrentes!C:C, "",despesas_recorrentes!B:B)
-despesas_recorrentes!$B$12
+IF(SUMIF(gasto_cartao!E:E,saldo!B731,gasto_cartao!B:B)&gt;despesas_recorrentes!$B$12, SUMIF(gasto_cartao!E:E,saldo!B731,gasto_cartao!B:B),despesas_recorrentes!$B$12)</f>
        <v>34013</v>
      </c>
      <c r="D731" s="51">
        <f>SUM(receitas_recorrentes!B:B)+SUMIF(receitas_pontuais!E:E,B731,receitas_pontuais!B:B)</f>
        <v>56919</v>
      </c>
      <c r="E731" s="51">
        <f t="shared" si="2"/>
        <v>22906</v>
      </c>
      <c r="F731" s="53">
        <f>IFERROR(SUMIF(contas!G:G, B731, contas!B:B),0)</f>
        <v>0</v>
      </c>
      <c r="G731" s="51">
        <f>SUMIFS(previsoes!D:D, previsoes!E:E, "&lt;=" &amp; EOMONTH(DATEVALUE(B731&amp;"-01"),0), previsoes!F:F, "&gt;=" &amp; DATEVALUE(B731&amp;"-01"))</f>
        <v>0</v>
      </c>
      <c r="H731" s="52">
        <f t="shared" si="5"/>
        <v>160491.8958</v>
      </c>
      <c r="I731" s="49">
        <f t="shared" si="3"/>
        <v>22906</v>
      </c>
      <c r="J731" s="52">
        <f>IF(A731&lt;&gt;"",SUMIFS(metas!N:N, metas!E:E, "&gt;=" &amp; DATEVALUE(B731&amp;"-01"),metas!D:D, "&lt;=" &amp; DATEVALUE(B731&amp;"-01")),"")</f>
        <v>3182.813937</v>
      </c>
      <c r="K731" s="49">
        <f t="shared" si="4"/>
        <v>19723.18606</v>
      </c>
      <c r="L731" s="49">
        <f t="shared" si="6"/>
        <v>13761809.17</v>
      </c>
      <c r="M731" s="49">
        <f>IF(A731&lt;&gt;"",IF(COUNTIF(investimento!F:F, B731) &gt; 0, SUM(investimento!B:B)+I731, M730+I731),"")</f>
        <v>16504038.68</v>
      </c>
    </row>
    <row r="732" ht="22.5" customHeight="1">
      <c r="A732" s="47">
        <v>50781.0</v>
      </c>
      <c r="B732" s="48" t="str">
        <f t="shared" si="1"/>
        <v>2039-01</v>
      </c>
      <c r="C732" s="49">
        <f>SUMIF(despesas_recorrentes!C:C, "&gt;="&amp;A732,despesas_recorrentes!B:B) 
+SUMIF(despesas_recorrentes!C:C, "",despesas_recorrentes!B:B)
-despesas_recorrentes!$B$12
+IF(SUMIF(gasto_cartao!E:E,saldo!B732,gasto_cartao!B:B)&gt;despesas_recorrentes!$B$12, SUMIF(gasto_cartao!E:E,saldo!B732,gasto_cartao!B:B),despesas_recorrentes!$B$12)</f>
        <v>34013</v>
      </c>
      <c r="D732" s="51">
        <f>SUM(receitas_recorrentes!B:B)+SUMIF(receitas_pontuais!E:E,B732,receitas_pontuais!B:B)</f>
        <v>56919</v>
      </c>
      <c r="E732" s="51">
        <f t="shared" si="2"/>
        <v>22906</v>
      </c>
      <c r="F732" s="53">
        <f>IFERROR(SUMIF(contas!G:G, B732, contas!B:B),0)</f>
        <v>0</v>
      </c>
      <c r="G732" s="51">
        <f>SUMIFS(previsoes!D:D, previsoes!E:E, "&lt;=" &amp; EOMONTH(DATEVALUE(B732&amp;"-01"),0), previsoes!F:F, "&gt;=" &amp; DATEVALUE(B732&amp;"-01"))</f>
        <v>0</v>
      </c>
      <c r="H732" s="52">
        <f t="shared" si="5"/>
        <v>160491.8958</v>
      </c>
      <c r="I732" s="49">
        <f t="shared" si="3"/>
        <v>22906</v>
      </c>
      <c r="J732" s="52">
        <f>IF(A732&lt;&gt;"",SUMIFS(metas!N:N, metas!E:E, "&gt;=" &amp; DATEVALUE(B732&amp;"-01"),metas!D:D, "&lt;=" &amp; DATEVALUE(B732&amp;"-01")),"")</f>
        <v>3182.813937</v>
      </c>
      <c r="K732" s="49">
        <f t="shared" si="4"/>
        <v>19723.18606</v>
      </c>
      <c r="L732" s="49">
        <f t="shared" si="6"/>
        <v>13781532.35</v>
      </c>
      <c r="M732" s="49">
        <f>IF(A732&lt;&gt;"",IF(COUNTIF(investimento!F:F, B732) &gt; 0, SUM(investimento!B:B)+I732, M731+I732),"")</f>
        <v>16526944.68</v>
      </c>
    </row>
    <row r="733" ht="22.5" customHeight="1">
      <c r="A733" s="47">
        <v>50782.0</v>
      </c>
      <c r="B733" s="48" t="str">
        <f t="shared" si="1"/>
        <v>2039-01</v>
      </c>
      <c r="C733" s="49">
        <f>SUMIF(despesas_recorrentes!C:C, "&gt;="&amp;A733,despesas_recorrentes!B:B) 
+SUMIF(despesas_recorrentes!C:C, "",despesas_recorrentes!B:B)
-despesas_recorrentes!$B$12
+IF(SUMIF(gasto_cartao!E:E,saldo!B733,gasto_cartao!B:B)&gt;despesas_recorrentes!$B$12, SUMIF(gasto_cartao!E:E,saldo!B733,gasto_cartao!B:B),despesas_recorrentes!$B$12)</f>
        <v>34013</v>
      </c>
      <c r="D733" s="51">
        <f>SUM(receitas_recorrentes!B:B)+SUMIF(receitas_pontuais!E:E,B733,receitas_pontuais!B:B)</f>
        <v>56919</v>
      </c>
      <c r="E733" s="51">
        <f t="shared" si="2"/>
        <v>22906</v>
      </c>
      <c r="F733" s="53">
        <f>IFERROR(SUMIF(contas!G:G, B733, contas!B:B),0)</f>
        <v>0</v>
      </c>
      <c r="G733" s="51">
        <f>SUMIFS(previsoes!D:D, previsoes!E:E, "&lt;=" &amp; EOMONTH(DATEVALUE(B733&amp;"-01"),0), previsoes!F:F, "&gt;=" &amp; DATEVALUE(B733&amp;"-01"))</f>
        <v>0</v>
      </c>
      <c r="H733" s="52">
        <f t="shared" si="5"/>
        <v>160491.8958</v>
      </c>
      <c r="I733" s="49">
        <f t="shared" si="3"/>
        <v>22906</v>
      </c>
      <c r="J733" s="52">
        <f>IF(A733&lt;&gt;"",SUMIFS(metas!N:N, metas!E:E, "&gt;=" &amp; DATEVALUE(B733&amp;"-01"),metas!D:D, "&lt;=" &amp; DATEVALUE(B733&amp;"-01")),"")</f>
        <v>3182.813937</v>
      </c>
      <c r="K733" s="49">
        <f t="shared" si="4"/>
        <v>19723.18606</v>
      </c>
      <c r="L733" s="49">
        <f t="shared" si="6"/>
        <v>13801255.54</v>
      </c>
      <c r="M733" s="49">
        <f>IF(A733&lt;&gt;"",IF(COUNTIF(investimento!F:F, B733) &gt; 0, SUM(investimento!B:B)+I733, M732+I733),"")</f>
        <v>16549850.68</v>
      </c>
    </row>
    <row r="734" ht="22.5" customHeight="1">
      <c r="A734" s="47">
        <v>50783.0</v>
      </c>
      <c r="B734" s="48" t="str">
        <f t="shared" si="1"/>
        <v>2039-01</v>
      </c>
      <c r="C734" s="49">
        <f>SUMIF(despesas_recorrentes!C:C, "&gt;="&amp;A734,despesas_recorrentes!B:B) 
+SUMIF(despesas_recorrentes!C:C, "",despesas_recorrentes!B:B)
-despesas_recorrentes!$B$12
+IF(SUMIF(gasto_cartao!E:E,saldo!B734,gasto_cartao!B:B)&gt;despesas_recorrentes!$B$12, SUMIF(gasto_cartao!E:E,saldo!B734,gasto_cartao!B:B),despesas_recorrentes!$B$12)</f>
        <v>34013</v>
      </c>
      <c r="D734" s="51">
        <f>SUM(receitas_recorrentes!B:B)+SUMIF(receitas_pontuais!E:E,B734,receitas_pontuais!B:B)</f>
        <v>56919</v>
      </c>
      <c r="E734" s="51">
        <f t="shared" si="2"/>
        <v>22906</v>
      </c>
      <c r="F734" s="53">
        <f>IFERROR(SUMIF(contas!G:G, B734, contas!B:B),0)</f>
        <v>0</v>
      </c>
      <c r="G734" s="51">
        <f>SUMIFS(previsoes!D:D, previsoes!E:E, "&lt;=" &amp; EOMONTH(DATEVALUE(B734&amp;"-01"),0), previsoes!F:F, "&gt;=" &amp; DATEVALUE(B734&amp;"-01"))</f>
        <v>0</v>
      </c>
      <c r="H734" s="52">
        <f t="shared" si="5"/>
        <v>160491.8958</v>
      </c>
      <c r="I734" s="49">
        <f t="shared" si="3"/>
        <v>22906</v>
      </c>
      <c r="J734" s="52">
        <f>IF(A734&lt;&gt;"",SUMIFS(metas!N:N, metas!E:E, "&gt;=" &amp; DATEVALUE(B734&amp;"-01"),metas!D:D, "&lt;=" &amp; DATEVALUE(B734&amp;"-01")),"")</f>
        <v>3182.813937</v>
      </c>
      <c r="K734" s="49">
        <f t="shared" si="4"/>
        <v>19723.18606</v>
      </c>
      <c r="L734" s="49">
        <f t="shared" si="6"/>
        <v>13820978.73</v>
      </c>
      <c r="M734" s="49">
        <f>IF(A734&lt;&gt;"",IF(COUNTIF(investimento!F:F, B734) &gt; 0, SUM(investimento!B:B)+I734, M733+I734),"")</f>
        <v>16572756.68</v>
      </c>
    </row>
    <row r="735" ht="22.5" customHeight="1">
      <c r="A735" s="47">
        <v>50784.0</v>
      </c>
      <c r="B735" s="48" t="str">
        <f t="shared" si="1"/>
        <v>2039-01</v>
      </c>
      <c r="C735" s="49">
        <f>SUMIF(despesas_recorrentes!C:C, "&gt;="&amp;A735,despesas_recorrentes!B:B) 
+SUMIF(despesas_recorrentes!C:C, "",despesas_recorrentes!B:B)
-despesas_recorrentes!$B$12
+IF(SUMIF(gasto_cartao!E:E,saldo!B735,gasto_cartao!B:B)&gt;despesas_recorrentes!$B$12, SUMIF(gasto_cartao!E:E,saldo!B735,gasto_cartao!B:B),despesas_recorrentes!$B$12)</f>
        <v>34013</v>
      </c>
      <c r="D735" s="51">
        <f>SUM(receitas_recorrentes!B:B)+SUMIF(receitas_pontuais!E:E,B735,receitas_pontuais!B:B)</f>
        <v>56919</v>
      </c>
      <c r="E735" s="51">
        <f t="shared" si="2"/>
        <v>22906</v>
      </c>
      <c r="F735" s="53">
        <f>IFERROR(SUMIF(contas!G:G, B735, contas!B:B),0)</f>
        <v>0</v>
      </c>
      <c r="G735" s="51">
        <f>SUMIFS(previsoes!D:D, previsoes!E:E, "&lt;=" &amp; EOMONTH(DATEVALUE(B735&amp;"-01"),0), previsoes!F:F, "&gt;=" &amp; DATEVALUE(B735&amp;"-01"))</f>
        <v>0</v>
      </c>
      <c r="H735" s="52">
        <f t="shared" si="5"/>
        <v>160491.8958</v>
      </c>
      <c r="I735" s="49">
        <f t="shared" si="3"/>
        <v>22906</v>
      </c>
      <c r="J735" s="52">
        <f>IF(A735&lt;&gt;"",SUMIFS(metas!N:N, metas!E:E, "&gt;=" &amp; DATEVALUE(B735&amp;"-01"),metas!D:D, "&lt;=" &amp; DATEVALUE(B735&amp;"-01")),"")</f>
        <v>3182.813937</v>
      </c>
      <c r="K735" s="49">
        <f t="shared" si="4"/>
        <v>19723.18606</v>
      </c>
      <c r="L735" s="49">
        <f t="shared" si="6"/>
        <v>13840701.91</v>
      </c>
      <c r="M735" s="49">
        <f>IF(A735&lt;&gt;"",IF(COUNTIF(investimento!F:F, B735) &gt; 0, SUM(investimento!B:B)+I735, M734+I735),"")</f>
        <v>16595662.68</v>
      </c>
    </row>
    <row r="736" ht="22.5" customHeight="1">
      <c r="A736" s="47">
        <v>50785.0</v>
      </c>
      <c r="B736" s="48" t="str">
        <f t="shared" si="1"/>
        <v>2039-01</v>
      </c>
      <c r="C736" s="49">
        <f>SUMIF(despesas_recorrentes!C:C, "&gt;="&amp;A736,despesas_recorrentes!B:B) 
+SUMIF(despesas_recorrentes!C:C, "",despesas_recorrentes!B:B)
-despesas_recorrentes!$B$12
+IF(SUMIF(gasto_cartao!E:E,saldo!B736,gasto_cartao!B:B)&gt;despesas_recorrentes!$B$12, SUMIF(gasto_cartao!E:E,saldo!B736,gasto_cartao!B:B),despesas_recorrentes!$B$12)</f>
        <v>34013</v>
      </c>
      <c r="D736" s="51">
        <f>SUM(receitas_recorrentes!B:B)+SUMIF(receitas_pontuais!E:E,B736,receitas_pontuais!B:B)</f>
        <v>56919</v>
      </c>
      <c r="E736" s="51">
        <f t="shared" si="2"/>
        <v>22906</v>
      </c>
      <c r="F736" s="53">
        <f>IFERROR(SUMIF(contas!G:G, B736, contas!B:B),0)</f>
        <v>0</v>
      </c>
      <c r="G736" s="51">
        <f>SUMIFS(previsoes!D:D, previsoes!E:E, "&lt;=" &amp; EOMONTH(DATEVALUE(B736&amp;"-01"),0), previsoes!F:F, "&gt;=" &amp; DATEVALUE(B736&amp;"-01"))</f>
        <v>0</v>
      </c>
      <c r="H736" s="52">
        <f t="shared" si="5"/>
        <v>160491.8958</v>
      </c>
      <c r="I736" s="49">
        <f t="shared" si="3"/>
        <v>22906</v>
      </c>
      <c r="J736" s="52">
        <f>IF(A736&lt;&gt;"",SUMIFS(metas!N:N, metas!E:E, "&gt;=" &amp; DATEVALUE(B736&amp;"-01"),metas!D:D, "&lt;=" &amp; DATEVALUE(B736&amp;"-01")),"")</f>
        <v>3182.813937</v>
      </c>
      <c r="K736" s="49">
        <f t="shared" si="4"/>
        <v>19723.18606</v>
      </c>
      <c r="L736" s="49">
        <f t="shared" si="6"/>
        <v>13860425.1</v>
      </c>
      <c r="M736" s="49">
        <f>IF(A736&lt;&gt;"",IF(COUNTIF(investimento!F:F, B736) &gt; 0, SUM(investimento!B:B)+I736, M735+I736),"")</f>
        <v>16618568.68</v>
      </c>
    </row>
    <row r="737" ht="22.5" customHeight="1">
      <c r="A737" s="47">
        <v>50786.0</v>
      </c>
      <c r="B737" s="48" t="str">
        <f t="shared" si="1"/>
        <v>2039-01</v>
      </c>
      <c r="C737" s="49">
        <f>SUMIF(despesas_recorrentes!C:C, "&gt;="&amp;A737,despesas_recorrentes!B:B) 
+SUMIF(despesas_recorrentes!C:C, "",despesas_recorrentes!B:B)
-despesas_recorrentes!$B$12
+IF(SUMIF(gasto_cartao!E:E,saldo!B737,gasto_cartao!B:B)&gt;despesas_recorrentes!$B$12, SUMIF(gasto_cartao!E:E,saldo!B737,gasto_cartao!B:B),despesas_recorrentes!$B$12)</f>
        <v>34013</v>
      </c>
      <c r="D737" s="51">
        <f>SUM(receitas_recorrentes!B:B)+SUMIF(receitas_pontuais!E:E,B737,receitas_pontuais!B:B)</f>
        <v>56919</v>
      </c>
      <c r="E737" s="51">
        <f t="shared" si="2"/>
        <v>22906</v>
      </c>
      <c r="F737" s="53">
        <f>IFERROR(SUMIF(contas!G:G, B737, contas!B:B),0)</f>
        <v>0</v>
      </c>
      <c r="G737" s="51">
        <f>SUMIFS(previsoes!D:D, previsoes!E:E, "&lt;=" &amp; EOMONTH(DATEVALUE(B737&amp;"-01"),0), previsoes!F:F, "&gt;=" &amp; DATEVALUE(B737&amp;"-01"))</f>
        <v>0</v>
      </c>
      <c r="H737" s="52">
        <f t="shared" si="5"/>
        <v>160491.8958</v>
      </c>
      <c r="I737" s="49">
        <f t="shared" si="3"/>
        <v>22906</v>
      </c>
      <c r="J737" s="52">
        <f>IF(A737&lt;&gt;"",SUMIFS(metas!N:N, metas!E:E, "&gt;=" &amp; DATEVALUE(B737&amp;"-01"),metas!D:D, "&lt;=" &amp; DATEVALUE(B737&amp;"-01")),"")</f>
        <v>3182.813937</v>
      </c>
      <c r="K737" s="49">
        <f t="shared" si="4"/>
        <v>19723.18606</v>
      </c>
      <c r="L737" s="49">
        <f t="shared" si="6"/>
        <v>13880148.29</v>
      </c>
      <c r="M737" s="49">
        <f>IF(A737&lt;&gt;"",IF(COUNTIF(investimento!F:F, B737) &gt; 0, SUM(investimento!B:B)+I737, M736+I737),"")</f>
        <v>16641474.68</v>
      </c>
    </row>
    <row r="738" ht="22.5" customHeight="1">
      <c r="A738" s="47">
        <v>50787.0</v>
      </c>
      <c r="B738" s="48" t="str">
        <f t="shared" si="1"/>
        <v>2039-01</v>
      </c>
      <c r="C738" s="49">
        <f>SUMIF(despesas_recorrentes!C:C, "&gt;="&amp;A738,despesas_recorrentes!B:B) 
+SUMIF(despesas_recorrentes!C:C, "",despesas_recorrentes!B:B)
-despesas_recorrentes!$B$12
+IF(SUMIF(gasto_cartao!E:E,saldo!B738,gasto_cartao!B:B)&gt;despesas_recorrentes!$B$12, SUMIF(gasto_cartao!E:E,saldo!B738,gasto_cartao!B:B),despesas_recorrentes!$B$12)</f>
        <v>34013</v>
      </c>
      <c r="D738" s="51">
        <f>SUM(receitas_recorrentes!B:B)+SUMIF(receitas_pontuais!E:E,B738,receitas_pontuais!B:B)</f>
        <v>56919</v>
      </c>
      <c r="E738" s="51">
        <f t="shared" si="2"/>
        <v>22906</v>
      </c>
      <c r="F738" s="53">
        <f>IFERROR(SUMIF(contas!G:G, B738, contas!B:B),0)</f>
        <v>0</v>
      </c>
      <c r="G738" s="51">
        <f>SUMIFS(previsoes!D:D, previsoes!E:E, "&lt;=" &amp; EOMONTH(DATEVALUE(B738&amp;"-01"),0), previsoes!F:F, "&gt;=" &amp; DATEVALUE(B738&amp;"-01"))</f>
        <v>0</v>
      </c>
      <c r="H738" s="52">
        <f t="shared" si="5"/>
        <v>160491.8958</v>
      </c>
      <c r="I738" s="49">
        <f t="shared" si="3"/>
        <v>22906</v>
      </c>
      <c r="J738" s="52">
        <f>IF(A738&lt;&gt;"",SUMIFS(metas!N:N, metas!E:E, "&gt;=" &amp; DATEVALUE(B738&amp;"-01"),metas!D:D, "&lt;=" &amp; DATEVALUE(B738&amp;"-01")),"")</f>
        <v>3182.813937</v>
      </c>
      <c r="K738" s="49">
        <f t="shared" si="4"/>
        <v>19723.18606</v>
      </c>
      <c r="L738" s="49">
        <f t="shared" si="6"/>
        <v>13899871.47</v>
      </c>
      <c r="M738" s="49">
        <f>IF(A738&lt;&gt;"",IF(COUNTIF(investimento!F:F, B738) &gt; 0, SUM(investimento!B:B)+I738, M737+I738),"")</f>
        <v>16664380.68</v>
      </c>
    </row>
    <row r="739" ht="22.5" customHeight="1">
      <c r="A739" s="47">
        <v>50788.0</v>
      </c>
      <c r="B739" s="48" t="str">
        <f t="shared" si="1"/>
        <v>2039-01</v>
      </c>
      <c r="C739" s="49">
        <f>SUMIF(despesas_recorrentes!C:C, "&gt;="&amp;A739,despesas_recorrentes!B:B) 
+SUMIF(despesas_recorrentes!C:C, "",despesas_recorrentes!B:B)
-despesas_recorrentes!$B$12
+IF(SUMIF(gasto_cartao!E:E,saldo!B739,gasto_cartao!B:B)&gt;despesas_recorrentes!$B$12, SUMIF(gasto_cartao!E:E,saldo!B739,gasto_cartao!B:B),despesas_recorrentes!$B$12)</f>
        <v>34013</v>
      </c>
      <c r="D739" s="51">
        <f>SUM(receitas_recorrentes!B:B)+SUMIF(receitas_pontuais!E:E,B739,receitas_pontuais!B:B)</f>
        <v>56919</v>
      </c>
      <c r="E739" s="51">
        <f t="shared" si="2"/>
        <v>22906</v>
      </c>
      <c r="F739" s="53">
        <f>IFERROR(SUMIF(contas!G:G, B739, contas!B:B),0)</f>
        <v>0</v>
      </c>
      <c r="G739" s="51">
        <f>SUMIFS(previsoes!D:D, previsoes!E:E, "&lt;=" &amp; EOMONTH(DATEVALUE(B739&amp;"-01"),0), previsoes!F:F, "&gt;=" &amp; DATEVALUE(B739&amp;"-01"))</f>
        <v>0</v>
      </c>
      <c r="H739" s="52">
        <f t="shared" si="5"/>
        <v>160491.8958</v>
      </c>
      <c r="I739" s="49">
        <f t="shared" si="3"/>
        <v>22906</v>
      </c>
      <c r="J739" s="52">
        <f>IF(A739&lt;&gt;"",SUMIFS(metas!N:N, metas!E:E, "&gt;=" &amp; DATEVALUE(B739&amp;"-01"),metas!D:D, "&lt;=" &amp; DATEVALUE(B739&amp;"-01")),"")</f>
        <v>3182.813937</v>
      </c>
      <c r="K739" s="49">
        <f t="shared" si="4"/>
        <v>19723.18606</v>
      </c>
      <c r="L739" s="49">
        <f t="shared" si="6"/>
        <v>13919594.66</v>
      </c>
      <c r="M739" s="49">
        <f>IF(A739&lt;&gt;"",IF(COUNTIF(investimento!F:F, B739) &gt; 0, SUM(investimento!B:B)+I739, M738+I739),"")</f>
        <v>16687286.68</v>
      </c>
    </row>
    <row r="740" ht="22.5" customHeight="1">
      <c r="A740" s="47">
        <v>50789.0</v>
      </c>
      <c r="B740" s="48" t="str">
        <f t="shared" si="1"/>
        <v>2039-01</v>
      </c>
      <c r="C740" s="49">
        <f>SUMIF(despesas_recorrentes!C:C, "&gt;="&amp;A740,despesas_recorrentes!B:B) 
+SUMIF(despesas_recorrentes!C:C, "",despesas_recorrentes!B:B)
-despesas_recorrentes!$B$12
+IF(SUMIF(gasto_cartao!E:E,saldo!B740,gasto_cartao!B:B)&gt;despesas_recorrentes!$B$12, SUMIF(gasto_cartao!E:E,saldo!B740,gasto_cartao!B:B),despesas_recorrentes!$B$12)</f>
        <v>34013</v>
      </c>
      <c r="D740" s="51">
        <f>SUM(receitas_recorrentes!B:B)+SUMIF(receitas_pontuais!E:E,B740,receitas_pontuais!B:B)</f>
        <v>56919</v>
      </c>
      <c r="E740" s="51">
        <f t="shared" si="2"/>
        <v>22906</v>
      </c>
      <c r="F740" s="53">
        <f>IFERROR(SUMIF(contas!G:G, B740, contas!B:B),0)</f>
        <v>0</v>
      </c>
      <c r="G740" s="51">
        <f>SUMIFS(previsoes!D:D, previsoes!E:E, "&lt;=" &amp; EOMONTH(DATEVALUE(B740&amp;"-01"),0), previsoes!F:F, "&gt;=" &amp; DATEVALUE(B740&amp;"-01"))</f>
        <v>0</v>
      </c>
      <c r="H740" s="52">
        <f t="shared" si="5"/>
        <v>160491.8958</v>
      </c>
      <c r="I740" s="49">
        <f t="shared" si="3"/>
        <v>22906</v>
      </c>
      <c r="J740" s="52">
        <f>IF(A740&lt;&gt;"",SUMIFS(metas!N:N, metas!E:E, "&gt;=" &amp; DATEVALUE(B740&amp;"-01"),metas!D:D, "&lt;=" &amp; DATEVALUE(B740&amp;"-01")),"")</f>
        <v>3182.813937</v>
      </c>
      <c r="K740" s="49">
        <f t="shared" si="4"/>
        <v>19723.18606</v>
      </c>
      <c r="L740" s="49">
        <f t="shared" si="6"/>
        <v>13939317.84</v>
      </c>
      <c r="M740" s="49">
        <f>IF(A740&lt;&gt;"",IF(COUNTIF(investimento!F:F, B740) &gt; 0, SUM(investimento!B:B)+I740, M739+I740),"")</f>
        <v>16710192.68</v>
      </c>
    </row>
    <row r="741" ht="22.5" customHeight="1">
      <c r="A741" s="47">
        <v>50790.0</v>
      </c>
      <c r="B741" s="48" t="str">
        <f t="shared" si="1"/>
        <v>2039-01</v>
      </c>
      <c r="C741" s="49">
        <f>SUMIF(despesas_recorrentes!C:C, "&gt;="&amp;A741,despesas_recorrentes!B:B) 
+SUMIF(despesas_recorrentes!C:C, "",despesas_recorrentes!B:B)
-despesas_recorrentes!$B$12
+IF(SUMIF(gasto_cartao!E:E,saldo!B741,gasto_cartao!B:B)&gt;despesas_recorrentes!$B$12, SUMIF(gasto_cartao!E:E,saldo!B741,gasto_cartao!B:B),despesas_recorrentes!$B$12)</f>
        <v>34013</v>
      </c>
      <c r="D741" s="51">
        <f>SUM(receitas_recorrentes!B:B)+SUMIF(receitas_pontuais!E:E,B741,receitas_pontuais!B:B)</f>
        <v>56919</v>
      </c>
      <c r="E741" s="51">
        <f t="shared" si="2"/>
        <v>22906</v>
      </c>
      <c r="F741" s="53">
        <f>IFERROR(SUMIF(contas!G:G, B741, contas!B:B),0)</f>
        <v>0</v>
      </c>
      <c r="G741" s="51">
        <f>SUMIFS(previsoes!D:D, previsoes!E:E, "&lt;=" &amp; EOMONTH(DATEVALUE(B741&amp;"-01"),0), previsoes!F:F, "&gt;=" &amp; DATEVALUE(B741&amp;"-01"))</f>
        <v>0</v>
      </c>
      <c r="H741" s="52">
        <f t="shared" si="5"/>
        <v>160491.8958</v>
      </c>
      <c r="I741" s="49">
        <f t="shared" si="3"/>
        <v>22906</v>
      </c>
      <c r="J741" s="52">
        <f>IF(A741&lt;&gt;"",SUMIFS(metas!N:N, metas!E:E, "&gt;=" &amp; DATEVALUE(B741&amp;"-01"),metas!D:D, "&lt;=" &amp; DATEVALUE(B741&amp;"-01")),"")</f>
        <v>3182.813937</v>
      </c>
      <c r="K741" s="49">
        <f t="shared" si="4"/>
        <v>19723.18606</v>
      </c>
      <c r="L741" s="49">
        <f t="shared" si="6"/>
        <v>13959041.03</v>
      </c>
      <c r="M741" s="49">
        <f>IF(A741&lt;&gt;"",IF(COUNTIF(investimento!F:F, B741) &gt; 0, SUM(investimento!B:B)+I741, M740+I741),"")</f>
        <v>16733098.68</v>
      </c>
    </row>
    <row r="742" ht="22.5" customHeight="1">
      <c r="A742" s="47">
        <v>50791.0</v>
      </c>
      <c r="B742" s="48" t="str">
        <f t="shared" si="1"/>
        <v>2039-01</v>
      </c>
      <c r="C742" s="49">
        <f>SUMIF(despesas_recorrentes!C:C, "&gt;="&amp;A742,despesas_recorrentes!B:B) 
+SUMIF(despesas_recorrentes!C:C, "",despesas_recorrentes!B:B)
-despesas_recorrentes!$B$12
+IF(SUMIF(gasto_cartao!E:E,saldo!B742,gasto_cartao!B:B)&gt;despesas_recorrentes!$B$12, SUMIF(gasto_cartao!E:E,saldo!B742,gasto_cartao!B:B),despesas_recorrentes!$B$12)</f>
        <v>34013</v>
      </c>
      <c r="D742" s="51">
        <f>SUM(receitas_recorrentes!B:B)+SUMIF(receitas_pontuais!E:E,B742,receitas_pontuais!B:B)</f>
        <v>56919</v>
      </c>
      <c r="E742" s="51">
        <f t="shared" si="2"/>
        <v>22906</v>
      </c>
      <c r="F742" s="53">
        <f>IFERROR(SUMIF(contas!G:G, B742, contas!B:B),0)</f>
        <v>0</v>
      </c>
      <c r="G742" s="51">
        <f>SUMIFS(previsoes!D:D, previsoes!E:E, "&lt;=" &amp; EOMONTH(DATEVALUE(B742&amp;"-01"),0), previsoes!F:F, "&gt;=" &amp; DATEVALUE(B742&amp;"-01"))</f>
        <v>0</v>
      </c>
      <c r="H742" s="52">
        <f t="shared" si="5"/>
        <v>160491.8958</v>
      </c>
      <c r="I742" s="49">
        <f t="shared" si="3"/>
        <v>22906</v>
      </c>
      <c r="J742" s="52">
        <f>IF(A742&lt;&gt;"",SUMIFS(metas!N:N, metas!E:E, "&gt;=" &amp; DATEVALUE(B742&amp;"-01"),metas!D:D, "&lt;=" &amp; DATEVALUE(B742&amp;"-01")),"")</f>
        <v>3182.813937</v>
      </c>
      <c r="K742" s="49">
        <f t="shared" si="4"/>
        <v>19723.18606</v>
      </c>
      <c r="L742" s="49">
        <f t="shared" si="6"/>
        <v>13978764.22</v>
      </c>
      <c r="M742" s="49">
        <f>IF(A742&lt;&gt;"",IF(COUNTIF(investimento!F:F, B742) &gt; 0, SUM(investimento!B:B)+I742, M741+I742),"")</f>
        <v>16756004.68</v>
      </c>
    </row>
    <row r="743" ht="22.5" customHeight="1">
      <c r="A743" s="47">
        <v>50792.0</v>
      </c>
      <c r="B743" s="48" t="str">
        <f t="shared" si="1"/>
        <v>2039-01</v>
      </c>
      <c r="C743" s="49">
        <f>SUMIF(despesas_recorrentes!C:C, "&gt;="&amp;A743,despesas_recorrentes!B:B) 
+SUMIF(despesas_recorrentes!C:C, "",despesas_recorrentes!B:B)
-despesas_recorrentes!$B$12
+IF(SUMIF(gasto_cartao!E:E,saldo!B743,gasto_cartao!B:B)&gt;despesas_recorrentes!$B$12, SUMIF(gasto_cartao!E:E,saldo!B743,gasto_cartao!B:B),despesas_recorrentes!$B$12)</f>
        <v>34013</v>
      </c>
      <c r="D743" s="51">
        <f>SUM(receitas_recorrentes!B:B)+SUMIF(receitas_pontuais!E:E,B743,receitas_pontuais!B:B)</f>
        <v>56919</v>
      </c>
      <c r="E743" s="51">
        <f t="shared" si="2"/>
        <v>22906</v>
      </c>
      <c r="F743" s="53">
        <f>IFERROR(SUMIF(contas!G:G, B743, contas!B:B),0)</f>
        <v>0</v>
      </c>
      <c r="G743" s="51">
        <f>SUMIFS(previsoes!D:D, previsoes!E:E, "&lt;=" &amp; EOMONTH(DATEVALUE(B743&amp;"-01"),0), previsoes!F:F, "&gt;=" &amp; DATEVALUE(B743&amp;"-01"))</f>
        <v>0</v>
      </c>
      <c r="H743" s="52">
        <f t="shared" si="5"/>
        <v>160491.8958</v>
      </c>
      <c r="I743" s="49">
        <f t="shared" si="3"/>
        <v>22906</v>
      </c>
      <c r="J743" s="52">
        <f>IF(A743&lt;&gt;"",SUMIFS(metas!N:N, metas!E:E, "&gt;=" &amp; DATEVALUE(B743&amp;"-01"),metas!D:D, "&lt;=" &amp; DATEVALUE(B743&amp;"-01")),"")</f>
        <v>3182.813937</v>
      </c>
      <c r="K743" s="49">
        <f t="shared" si="4"/>
        <v>19723.18606</v>
      </c>
      <c r="L743" s="49">
        <f t="shared" si="6"/>
        <v>13998487.4</v>
      </c>
      <c r="M743" s="49">
        <f>IF(A743&lt;&gt;"",IF(COUNTIF(investimento!F:F, B743) &gt; 0, SUM(investimento!B:B)+I743, M742+I743),"")</f>
        <v>16778910.68</v>
      </c>
    </row>
    <row r="744" ht="22.5" customHeight="1">
      <c r="A744" s="47">
        <v>50793.0</v>
      </c>
      <c r="B744" s="48" t="str">
        <f t="shared" si="1"/>
        <v>2039-01</v>
      </c>
      <c r="C744" s="49">
        <f>SUMIF(despesas_recorrentes!C:C, "&gt;="&amp;A744,despesas_recorrentes!B:B) 
+SUMIF(despesas_recorrentes!C:C, "",despesas_recorrentes!B:B)
-despesas_recorrentes!$B$12
+IF(SUMIF(gasto_cartao!E:E,saldo!B744,gasto_cartao!B:B)&gt;despesas_recorrentes!$B$12, SUMIF(gasto_cartao!E:E,saldo!B744,gasto_cartao!B:B),despesas_recorrentes!$B$12)</f>
        <v>34013</v>
      </c>
      <c r="D744" s="51">
        <f>SUM(receitas_recorrentes!B:B)+SUMIF(receitas_pontuais!E:E,B744,receitas_pontuais!B:B)</f>
        <v>56919</v>
      </c>
      <c r="E744" s="51">
        <f t="shared" si="2"/>
        <v>22906</v>
      </c>
      <c r="F744" s="53">
        <f>IFERROR(SUMIF(contas!G:G, B744, contas!B:B),0)</f>
        <v>0</v>
      </c>
      <c r="G744" s="51">
        <f>SUMIFS(previsoes!D:D, previsoes!E:E, "&lt;=" &amp; EOMONTH(DATEVALUE(B744&amp;"-01"),0), previsoes!F:F, "&gt;=" &amp; DATEVALUE(B744&amp;"-01"))</f>
        <v>0</v>
      </c>
      <c r="H744" s="52">
        <f t="shared" si="5"/>
        <v>160491.8958</v>
      </c>
      <c r="I744" s="49">
        <f t="shared" si="3"/>
        <v>22906</v>
      </c>
      <c r="J744" s="52">
        <f>IF(A744&lt;&gt;"",SUMIFS(metas!N:N, metas!E:E, "&gt;=" &amp; DATEVALUE(B744&amp;"-01"),metas!D:D, "&lt;=" &amp; DATEVALUE(B744&amp;"-01")),"")</f>
        <v>3182.813937</v>
      </c>
      <c r="K744" s="49">
        <f t="shared" si="4"/>
        <v>19723.18606</v>
      </c>
      <c r="L744" s="49">
        <f t="shared" si="6"/>
        <v>14018210.59</v>
      </c>
      <c r="M744" s="49">
        <f>IF(A744&lt;&gt;"",IF(COUNTIF(investimento!F:F, B744) &gt; 0, SUM(investimento!B:B)+I744, M743+I744),"")</f>
        <v>16801816.68</v>
      </c>
    </row>
    <row r="745" ht="22.5" customHeight="1">
      <c r="A745" s="47">
        <v>50794.0</v>
      </c>
      <c r="B745" s="48" t="str">
        <f t="shared" si="1"/>
        <v>2039-01</v>
      </c>
      <c r="C745" s="49">
        <f>SUMIF(despesas_recorrentes!C:C, "&gt;="&amp;A745,despesas_recorrentes!B:B) 
+SUMIF(despesas_recorrentes!C:C, "",despesas_recorrentes!B:B)
-despesas_recorrentes!$B$12
+IF(SUMIF(gasto_cartao!E:E,saldo!B745,gasto_cartao!B:B)&gt;despesas_recorrentes!$B$12, SUMIF(gasto_cartao!E:E,saldo!B745,gasto_cartao!B:B),despesas_recorrentes!$B$12)</f>
        <v>34013</v>
      </c>
      <c r="D745" s="51">
        <f>SUM(receitas_recorrentes!B:B)+SUMIF(receitas_pontuais!E:E,B745,receitas_pontuais!B:B)</f>
        <v>56919</v>
      </c>
      <c r="E745" s="51">
        <f t="shared" si="2"/>
        <v>22906</v>
      </c>
      <c r="F745" s="53">
        <f>IFERROR(SUMIF(contas!G:G, B745, contas!B:B),0)</f>
        <v>0</v>
      </c>
      <c r="G745" s="51">
        <f>SUMIFS(previsoes!D:D, previsoes!E:E, "&lt;=" &amp; EOMONTH(DATEVALUE(B745&amp;"-01"),0), previsoes!F:F, "&gt;=" &amp; DATEVALUE(B745&amp;"-01"))</f>
        <v>0</v>
      </c>
      <c r="H745" s="52">
        <f t="shared" si="5"/>
        <v>160491.8958</v>
      </c>
      <c r="I745" s="49">
        <f t="shared" si="3"/>
        <v>22906</v>
      </c>
      <c r="J745" s="52">
        <f>IF(A745&lt;&gt;"",SUMIFS(metas!N:N, metas!E:E, "&gt;=" &amp; DATEVALUE(B745&amp;"-01"),metas!D:D, "&lt;=" &amp; DATEVALUE(B745&amp;"-01")),"")</f>
        <v>3182.813937</v>
      </c>
      <c r="K745" s="49">
        <f t="shared" si="4"/>
        <v>19723.18606</v>
      </c>
      <c r="L745" s="49">
        <f t="shared" si="6"/>
        <v>14037933.77</v>
      </c>
      <c r="M745" s="49">
        <f>IF(A745&lt;&gt;"",IF(COUNTIF(investimento!F:F, B745) &gt; 0, SUM(investimento!B:B)+I745, M744+I745),"")</f>
        <v>16824722.68</v>
      </c>
    </row>
    <row r="746" ht="22.5" customHeight="1">
      <c r="A746" s="47">
        <v>50795.0</v>
      </c>
      <c r="B746" s="48" t="str">
        <f t="shared" si="1"/>
        <v>2039-01</v>
      </c>
      <c r="C746" s="49">
        <f>SUMIF(despesas_recorrentes!C:C, "&gt;="&amp;A746,despesas_recorrentes!B:B) 
+SUMIF(despesas_recorrentes!C:C, "",despesas_recorrentes!B:B)
-despesas_recorrentes!$B$12
+IF(SUMIF(gasto_cartao!E:E,saldo!B746,gasto_cartao!B:B)&gt;despesas_recorrentes!$B$12, SUMIF(gasto_cartao!E:E,saldo!B746,gasto_cartao!B:B),despesas_recorrentes!$B$12)</f>
        <v>34013</v>
      </c>
      <c r="D746" s="51">
        <f>SUM(receitas_recorrentes!B:B)+SUMIF(receitas_pontuais!E:E,B746,receitas_pontuais!B:B)</f>
        <v>56919</v>
      </c>
      <c r="E746" s="51">
        <f t="shared" si="2"/>
        <v>22906</v>
      </c>
      <c r="F746" s="53">
        <f>IFERROR(SUMIF(contas!G:G, B746, contas!B:B),0)</f>
        <v>0</v>
      </c>
      <c r="G746" s="51">
        <f>SUMIFS(previsoes!D:D, previsoes!E:E, "&lt;=" &amp; EOMONTH(DATEVALUE(B746&amp;"-01"),0), previsoes!F:F, "&gt;=" &amp; DATEVALUE(B746&amp;"-01"))</f>
        <v>0</v>
      </c>
      <c r="H746" s="52">
        <f t="shared" si="5"/>
        <v>160491.8958</v>
      </c>
      <c r="I746" s="49">
        <f t="shared" si="3"/>
        <v>22906</v>
      </c>
      <c r="J746" s="52">
        <f>IF(A746&lt;&gt;"",SUMIFS(metas!N:N, metas!E:E, "&gt;=" &amp; DATEVALUE(B746&amp;"-01"),metas!D:D, "&lt;=" &amp; DATEVALUE(B746&amp;"-01")),"")</f>
        <v>3182.813937</v>
      </c>
      <c r="K746" s="49">
        <f t="shared" si="4"/>
        <v>19723.18606</v>
      </c>
      <c r="L746" s="49">
        <f t="shared" si="6"/>
        <v>14057656.96</v>
      </c>
      <c r="M746" s="49">
        <f>IF(A746&lt;&gt;"",IF(COUNTIF(investimento!F:F, B746) &gt; 0, SUM(investimento!B:B)+I746, M745+I746),"")</f>
        <v>16847628.68</v>
      </c>
    </row>
    <row r="747" ht="22.5" customHeight="1">
      <c r="A747" s="47">
        <v>50796.0</v>
      </c>
      <c r="B747" s="48" t="str">
        <f t="shared" si="1"/>
        <v>2039-01</v>
      </c>
      <c r="C747" s="49">
        <f>SUMIF(despesas_recorrentes!C:C, "&gt;="&amp;A747,despesas_recorrentes!B:B) 
+SUMIF(despesas_recorrentes!C:C, "",despesas_recorrentes!B:B)
-despesas_recorrentes!$B$12
+IF(SUMIF(gasto_cartao!E:E,saldo!B747,gasto_cartao!B:B)&gt;despesas_recorrentes!$B$12, SUMIF(gasto_cartao!E:E,saldo!B747,gasto_cartao!B:B),despesas_recorrentes!$B$12)</f>
        <v>34013</v>
      </c>
      <c r="D747" s="51">
        <f>SUM(receitas_recorrentes!B:B)+SUMIF(receitas_pontuais!E:E,B747,receitas_pontuais!B:B)</f>
        <v>56919</v>
      </c>
      <c r="E747" s="51">
        <f t="shared" si="2"/>
        <v>22906</v>
      </c>
      <c r="F747" s="53">
        <f>IFERROR(SUMIF(contas!G:G, B747, contas!B:B),0)</f>
        <v>0</v>
      </c>
      <c r="G747" s="51">
        <f>SUMIFS(previsoes!D:D, previsoes!E:E, "&lt;=" &amp; EOMONTH(DATEVALUE(B747&amp;"-01"),0), previsoes!F:F, "&gt;=" &amp; DATEVALUE(B747&amp;"-01"))</f>
        <v>0</v>
      </c>
      <c r="H747" s="52">
        <f t="shared" si="5"/>
        <v>160491.8958</v>
      </c>
      <c r="I747" s="49">
        <f t="shared" si="3"/>
        <v>22906</v>
      </c>
      <c r="J747" s="52">
        <f>IF(A747&lt;&gt;"",SUMIFS(metas!N:N, metas!E:E, "&gt;=" &amp; DATEVALUE(B747&amp;"-01"),metas!D:D, "&lt;=" &amp; DATEVALUE(B747&amp;"-01")),"")</f>
        <v>3182.813937</v>
      </c>
      <c r="K747" s="49">
        <f t="shared" si="4"/>
        <v>19723.18606</v>
      </c>
      <c r="L747" s="49">
        <f t="shared" si="6"/>
        <v>14077380.15</v>
      </c>
      <c r="M747" s="49">
        <f>IF(A747&lt;&gt;"",IF(COUNTIF(investimento!F:F, B747) &gt; 0, SUM(investimento!B:B)+I747, M746+I747),"")</f>
        <v>16870534.68</v>
      </c>
    </row>
    <row r="748" ht="22.5" customHeight="1">
      <c r="A748" s="47">
        <v>50797.0</v>
      </c>
      <c r="B748" s="48" t="str">
        <f t="shared" si="1"/>
        <v>2039-01</v>
      </c>
      <c r="C748" s="49">
        <f>SUMIF(despesas_recorrentes!C:C, "&gt;="&amp;A748,despesas_recorrentes!B:B) 
+SUMIF(despesas_recorrentes!C:C, "",despesas_recorrentes!B:B)
-despesas_recorrentes!$B$12
+IF(SUMIF(gasto_cartao!E:E,saldo!B748,gasto_cartao!B:B)&gt;despesas_recorrentes!$B$12, SUMIF(gasto_cartao!E:E,saldo!B748,gasto_cartao!B:B),despesas_recorrentes!$B$12)</f>
        <v>34013</v>
      </c>
      <c r="D748" s="51">
        <f>SUM(receitas_recorrentes!B:B)+SUMIF(receitas_pontuais!E:E,B748,receitas_pontuais!B:B)</f>
        <v>56919</v>
      </c>
      <c r="E748" s="51">
        <f t="shared" si="2"/>
        <v>22906</v>
      </c>
      <c r="F748" s="53">
        <f>IFERROR(SUMIF(contas!G:G, B748, contas!B:B),0)</f>
        <v>0</v>
      </c>
      <c r="G748" s="51">
        <f>SUMIFS(previsoes!D:D, previsoes!E:E, "&lt;=" &amp; EOMONTH(DATEVALUE(B748&amp;"-01"),0), previsoes!F:F, "&gt;=" &amp; DATEVALUE(B748&amp;"-01"))</f>
        <v>0</v>
      </c>
      <c r="H748" s="52">
        <f t="shared" si="5"/>
        <v>160491.8958</v>
      </c>
      <c r="I748" s="49">
        <f t="shared" si="3"/>
        <v>22906</v>
      </c>
      <c r="J748" s="52">
        <f>IF(A748&lt;&gt;"",SUMIFS(metas!N:N, metas!E:E, "&gt;=" &amp; DATEVALUE(B748&amp;"-01"),metas!D:D, "&lt;=" &amp; DATEVALUE(B748&amp;"-01")),"")</f>
        <v>3182.813937</v>
      </c>
      <c r="K748" s="49">
        <f t="shared" si="4"/>
        <v>19723.18606</v>
      </c>
      <c r="L748" s="49">
        <f t="shared" si="6"/>
        <v>14097103.33</v>
      </c>
      <c r="M748" s="49">
        <f>IF(A748&lt;&gt;"",IF(COUNTIF(investimento!F:F, B748) &gt; 0, SUM(investimento!B:B)+I748, M747+I748),"")</f>
        <v>16893440.68</v>
      </c>
    </row>
    <row r="749" ht="22.5" customHeight="1">
      <c r="A749" s="47">
        <v>50798.0</v>
      </c>
      <c r="B749" s="48" t="str">
        <f t="shared" si="1"/>
        <v>2039-01</v>
      </c>
      <c r="C749" s="49">
        <f>SUMIF(despesas_recorrentes!C:C, "&gt;="&amp;A749,despesas_recorrentes!B:B) 
+SUMIF(despesas_recorrentes!C:C, "",despesas_recorrentes!B:B)
-despesas_recorrentes!$B$12
+IF(SUMIF(gasto_cartao!E:E,saldo!B749,gasto_cartao!B:B)&gt;despesas_recorrentes!$B$12, SUMIF(gasto_cartao!E:E,saldo!B749,gasto_cartao!B:B),despesas_recorrentes!$B$12)</f>
        <v>34013</v>
      </c>
      <c r="D749" s="51">
        <f>SUM(receitas_recorrentes!B:B)+SUMIF(receitas_pontuais!E:E,B749,receitas_pontuais!B:B)</f>
        <v>56919</v>
      </c>
      <c r="E749" s="51">
        <f t="shared" si="2"/>
        <v>22906</v>
      </c>
      <c r="F749" s="53">
        <f>IFERROR(SUMIF(contas!G:G, B749, contas!B:B),0)</f>
        <v>0</v>
      </c>
      <c r="G749" s="51">
        <f>SUMIFS(previsoes!D:D, previsoes!E:E, "&lt;=" &amp; EOMONTH(DATEVALUE(B749&amp;"-01"),0), previsoes!F:F, "&gt;=" &amp; DATEVALUE(B749&amp;"-01"))</f>
        <v>0</v>
      </c>
      <c r="H749" s="52">
        <f t="shared" si="5"/>
        <v>160491.8958</v>
      </c>
      <c r="I749" s="49">
        <f t="shared" si="3"/>
        <v>22906</v>
      </c>
      <c r="J749" s="52">
        <f>IF(A749&lt;&gt;"",SUMIFS(metas!N:N, metas!E:E, "&gt;=" &amp; DATEVALUE(B749&amp;"-01"),metas!D:D, "&lt;=" &amp; DATEVALUE(B749&amp;"-01")),"")</f>
        <v>3182.813937</v>
      </c>
      <c r="K749" s="49">
        <f t="shared" si="4"/>
        <v>19723.18606</v>
      </c>
      <c r="L749" s="49">
        <f t="shared" si="6"/>
        <v>14116826.52</v>
      </c>
      <c r="M749" s="49">
        <f>IF(A749&lt;&gt;"",IF(COUNTIF(investimento!F:F, B749) &gt; 0, SUM(investimento!B:B)+I749, M748+I749),"")</f>
        <v>16916346.68</v>
      </c>
    </row>
    <row r="750" ht="22.5" customHeight="1">
      <c r="A750" s="47">
        <v>50799.0</v>
      </c>
      <c r="B750" s="48" t="str">
        <f t="shared" si="1"/>
        <v>2039-01</v>
      </c>
      <c r="C750" s="49">
        <f>SUMIF(despesas_recorrentes!C:C, "&gt;="&amp;A750,despesas_recorrentes!B:B) 
+SUMIF(despesas_recorrentes!C:C, "",despesas_recorrentes!B:B)
-despesas_recorrentes!$B$12
+IF(SUMIF(gasto_cartao!E:E,saldo!B750,gasto_cartao!B:B)&gt;despesas_recorrentes!$B$12, SUMIF(gasto_cartao!E:E,saldo!B750,gasto_cartao!B:B),despesas_recorrentes!$B$12)</f>
        <v>34013</v>
      </c>
      <c r="D750" s="51">
        <f>SUM(receitas_recorrentes!B:B)+SUMIF(receitas_pontuais!E:E,B750,receitas_pontuais!B:B)</f>
        <v>56919</v>
      </c>
      <c r="E750" s="51">
        <f t="shared" si="2"/>
        <v>22906</v>
      </c>
      <c r="F750" s="53">
        <f>IFERROR(SUMIF(contas!G:G, B750, contas!B:B),0)</f>
        <v>0</v>
      </c>
      <c r="G750" s="51">
        <f>SUMIFS(previsoes!D:D, previsoes!E:E, "&lt;=" &amp; EOMONTH(DATEVALUE(B750&amp;"-01"),0), previsoes!F:F, "&gt;=" &amp; DATEVALUE(B750&amp;"-01"))</f>
        <v>0</v>
      </c>
      <c r="H750" s="52">
        <f t="shared" si="5"/>
        <v>160491.8958</v>
      </c>
      <c r="I750" s="49">
        <f t="shared" si="3"/>
        <v>22906</v>
      </c>
      <c r="J750" s="52">
        <f>IF(A750&lt;&gt;"",SUMIFS(metas!N:N, metas!E:E, "&gt;=" &amp; DATEVALUE(B750&amp;"-01"),metas!D:D, "&lt;=" &amp; DATEVALUE(B750&amp;"-01")),"")</f>
        <v>3182.813937</v>
      </c>
      <c r="K750" s="49">
        <f t="shared" si="4"/>
        <v>19723.18606</v>
      </c>
      <c r="L750" s="49">
        <f t="shared" si="6"/>
        <v>14136549.7</v>
      </c>
      <c r="M750" s="49">
        <f>IF(A750&lt;&gt;"",IF(COUNTIF(investimento!F:F, B750) &gt; 0, SUM(investimento!B:B)+I750, M749+I750),"")</f>
        <v>16939252.68</v>
      </c>
    </row>
    <row r="751" ht="22.5" customHeight="1">
      <c r="A751" s="47">
        <v>50800.0</v>
      </c>
      <c r="B751" s="48" t="str">
        <f t="shared" si="1"/>
        <v>2039-01</v>
      </c>
      <c r="C751" s="49">
        <f>SUMIF(despesas_recorrentes!C:C, "&gt;="&amp;A751,despesas_recorrentes!B:B) 
+SUMIF(despesas_recorrentes!C:C, "",despesas_recorrentes!B:B)
-despesas_recorrentes!$B$12
+IF(SUMIF(gasto_cartao!E:E,saldo!B751,gasto_cartao!B:B)&gt;despesas_recorrentes!$B$12, SUMIF(gasto_cartao!E:E,saldo!B751,gasto_cartao!B:B),despesas_recorrentes!$B$12)</f>
        <v>34013</v>
      </c>
      <c r="D751" s="51">
        <f>SUM(receitas_recorrentes!B:B)+SUMIF(receitas_pontuais!E:E,B751,receitas_pontuais!B:B)</f>
        <v>56919</v>
      </c>
      <c r="E751" s="51">
        <f t="shared" si="2"/>
        <v>22906</v>
      </c>
      <c r="F751" s="53">
        <f>IFERROR(SUMIF(contas!G:G, B751, contas!B:B),0)</f>
        <v>0</v>
      </c>
      <c r="G751" s="51">
        <f>SUMIFS(previsoes!D:D, previsoes!E:E, "&lt;=" &amp; EOMONTH(DATEVALUE(B751&amp;"-01"),0), previsoes!F:F, "&gt;=" &amp; DATEVALUE(B751&amp;"-01"))</f>
        <v>0</v>
      </c>
      <c r="H751" s="52">
        <f t="shared" si="5"/>
        <v>160491.8958</v>
      </c>
      <c r="I751" s="49">
        <f t="shared" si="3"/>
        <v>22906</v>
      </c>
      <c r="J751" s="52">
        <f>IF(A751&lt;&gt;"",SUMIFS(metas!N:N, metas!E:E, "&gt;=" &amp; DATEVALUE(B751&amp;"-01"),metas!D:D, "&lt;=" &amp; DATEVALUE(B751&amp;"-01")),"")</f>
        <v>3182.813937</v>
      </c>
      <c r="K751" s="49">
        <f t="shared" si="4"/>
        <v>19723.18606</v>
      </c>
      <c r="L751" s="49">
        <f t="shared" si="6"/>
        <v>14156272.89</v>
      </c>
      <c r="M751" s="49">
        <f>IF(A751&lt;&gt;"",IF(COUNTIF(investimento!F:F, B751) &gt; 0, SUM(investimento!B:B)+I751, M750+I751),"")</f>
        <v>16962158.68</v>
      </c>
    </row>
    <row r="752" ht="22.5" customHeight="1">
      <c r="A752" s="47">
        <v>50801.0</v>
      </c>
      <c r="B752" s="48" t="str">
        <f t="shared" si="1"/>
        <v>2039-01</v>
      </c>
      <c r="C752" s="49">
        <f>SUMIF(despesas_recorrentes!C:C, "&gt;="&amp;A752,despesas_recorrentes!B:B) 
+SUMIF(despesas_recorrentes!C:C, "",despesas_recorrentes!B:B)
-despesas_recorrentes!$B$12
+IF(SUMIF(gasto_cartao!E:E,saldo!B752,gasto_cartao!B:B)&gt;despesas_recorrentes!$B$12, SUMIF(gasto_cartao!E:E,saldo!B752,gasto_cartao!B:B),despesas_recorrentes!$B$12)</f>
        <v>34013</v>
      </c>
      <c r="D752" s="51">
        <f>SUM(receitas_recorrentes!B:B)+SUMIF(receitas_pontuais!E:E,B752,receitas_pontuais!B:B)</f>
        <v>56919</v>
      </c>
      <c r="E752" s="51">
        <f t="shared" si="2"/>
        <v>22906</v>
      </c>
      <c r="F752" s="53">
        <f>IFERROR(SUMIF(contas!G:G, B752, contas!B:B),0)</f>
        <v>0</v>
      </c>
      <c r="G752" s="51">
        <f>SUMIFS(previsoes!D:D, previsoes!E:E, "&lt;=" &amp; EOMONTH(DATEVALUE(B752&amp;"-01"),0), previsoes!F:F, "&gt;=" &amp; DATEVALUE(B752&amp;"-01"))</f>
        <v>0</v>
      </c>
      <c r="H752" s="52">
        <f t="shared" si="5"/>
        <v>160491.8958</v>
      </c>
      <c r="I752" s="49">
        <f t="shared" si="3"/>
        <v>22906</v>
      </c>
      <c r="J752" s="52">
        <f>IF(A752&lt;&gt;"",SUMIFS(metas!N:N, metas!E:E, "&gt;=" &amp; DATEVALUE(B752&amp;"-01"),metas!D:D, "&lt;=" &amp; DATEVALUE(B752&amp;"-01")),"")</f>
        <v>3182.813937</v>
      </c>
      <c r="K752" s="49">
        <f t="shared" si="4"/>
        <v>19723.18606</v>
      </c>
      <c r="L752" s="49">
        <f t="shared" si="6"/>
        <v>14175996.08</v>
      </c>
      <c r="M752" s="49">
        <f>IF(A752&lt;&gt;"",IF(COUNTIF(investimento!F:F, B752) &gt; 0, SUM(investimento!B:B)+I752, M751+I752),"")</f>
        <v>16985064.68</v>
      </c>
    </row>
    <row r="753" ht="22.5" customHeight="1">
      <c r="A753" s="47">
        <v>50802.0</v>
      </c>
      <c r="B753" s="48" t="str">
        <f t="shared" si="1"/>
        <v>2039-02</v>
      </c>
      <c r="C753" s="49">
        <f>SUMIF(despesas_recorrentes!C:C, "&gt;="&amp;A753,despesas_recorrentes!B:B) 
+SUMIF(despesas_recorrentes!C:C, "",despesas_recorrentes!B:B)
-despesas_recorrentes!$B$12
+IF(SUMIF(gasto_cartao!E:E,saldo!B753,gasto_cartao!B:B)&gt;despesas_recorrentes!$B$12, SUMIF(gasto_cartao!E:E,saldo!B753,gasto_cartao!B:B),despesas_recorrentes!$B$12)</f>
        <v>34013</v>
      </c>
      <c r="D753" s="51">
        <f>SUM(receitas_recorrentes!B:B)+SUMIF(receitas_pontuais!E:E,B753,receitas_pontuais!B:B)</f>
        <v>56919</v>
      </c>
      <c r="E753" s="51">
        <f t="shared" si="2"/>
        <v>22906</v>
      </c>
      <c r="F753" s="53">
        <f>IFERROR(SUMIF(contas!G:G, B753, contas!B:B),0)</f>
        <v>0</v>
      </c>
      <c r="G753" s="51">
        <f>SUMIFS(previsoes!D:D, previsoes!E:E, "&lt;=" &amp; EOMONTH(DATEVALUE(B753&amp;"-01"),0), previsoes!F:F, "&gt;=" &amp; DATEVALUE(B753&amp;"-01"))</f>
        <v>0</v>
      </c>
      <c r="H753" s="52">
        <f t="shared" si="5"/>
        <v>160491.8958</v>
      </c>
      <c r="I753" s="49">
        <f t="shared" si="3"/>
        <v>22906</v>
      </c>
      <c r="J753" s="52">
        <f>IF(A753&lt;&gt;"",SUMIFS(metas!N:N, metas!E:E, "&gt;=" &amp; DATEVALUE(B753&amp;"-01"),metas!D:D, "&lt;=" &amp; DATEVALUE(B753&amp;"-01")),"")</f>
        <v>3182.813937</v>
      </c>
      <c r="K753" s="49">
        <f t="shared" si="4"/>
        <v>19723.18606</v>
      </c>
      <c r="L753" s="49">
        <f t="shared" si="6"/>
        <v>14195719.26</v>
      </c>
      <c r="M753" s="49">
        <f>IF(A753&lt;&gt;"",IF(COUNTIF(investimento!F:F, B753) &gt; 0, SUM(investimento!B:B)+I753, M752+I753),"")</f>
        <v>17007970.68</v>
      </c>
    </row>
    <row r="754" ht="22.5" customHeight="1">
      <c r="A754" s="47">
        <v>50803.0</v>
      </c>
      <c r="B754" s="48" t="str">
        <f t="shared" si="1"/>
        <v>2039-02</v>
      </c>
      <c r="C754" s="49">
        <f>SUMIF(despesas_recorrentes!C:C, "&gt;="&amp;A754,despesas_recorrentes!B:B) 
+SUMIF(despesas_recorrentes!C:C, "",despesas_recorrentes!B:B)
-despesas_recorrentes!$B$12
+IF(SUMIF(gasto_cartao!E:E,saldo!B754,gasto_cartao!B:B)&gt;despesas_recorrentes!$B$12, SUMIF(gasto_cartao!E:E,saldo!B754,gasto_cartao!B:B),despesas_recorrentes!$B$12)</f>
        <v>34013</v>
      </c>
      <c r="D754" s="51">
        <f>SUM(receitas_recorrentes!B:B)+SUMIF(receitas_pontuais!E:E,B754,receitas_pontuais!B:B)</f>
        <v>56919</v>
      </c>
      <c r="E754" s="51">
        <f t="shared" si="2"/>
        <v>22906</v>
      </c>
      <c r="F754" s="53">
        <f>IFERROR(SUMIF(contas!G:G, B754, contas!B:B),0)</f>
        <v>0</v>
      </c>
      <c r="G754" s="51">
        <f>SUMIFS(previsoes!D:D, previsoes!E:E, "&lt;=" &amp; EOMONTH(DATEVALUE(B754&amp;"-01"),0), previsoes!F:F, "&gt;=" &amp; DATEVALUE(B754&amp;"-01"))</f>
        <v>0</v>
      </c>
      <c r="H754" s="52">
        <f t="shared" si="5"/>
        <v>160491.8958</v>
      </c>
      <c r="I754" s="49">
        <f t="shared" si="3"/>
        <v>22906</v>
      </c>
      <c r="J754" s="52">
        <f>IF(A754&lt;&gt;"",SUMIFS(metas!N:N, metas!E:E, "&gt;=" &amp; DATEVALUE(B754&amp;"-01"),metas!D:D, "&lt;=" &amp; DATEVALUE(B754&amp;"-01")),"")</f>
        <v>3182.813937</v>
      </c>
      <c r="K754" s="49">
        <f t="shared" si="4"/>
        <v>19723.18606</v>
      </c>
      <c r="L754" s="49">
        <f t="shared" si="6"/>
        <v>14215442.45</v>
      </c>
      <c r="M754" s="49">
        <f>IF(A754&lt;&gt;"",IF(COUNTIF(investimento!F:F, B754) &gt; 0, SUM(investimento!B:B)+I754, M753+I754),"")</f>
        <v>17030876.68</v>
      </c>
    </row>
    <row r="755" ht="22.5" customHeight="1">
      <c r="A755" s="47">
        <v>50804.0</v>
      </c>
      <c r="B755" s="48" t="str">
        <f t="shared" si="1"/>
        <v>2039-02</v>
      </c>
      <c r="C755" s="49">
        <f>SUMIF(despesas_recorrentes!C:C, "&gt;="&amp;A755,despesas_recorrentes!B:B) 
+SUMIF(despesas_recorrentes!C:C, "",despesas_recorrentes!B:B)
-despesas_recorrentes!$B$12
+IF(SUMIF(gasto_cartao!E:E,saldo!B755,gasto_cartao!B:B)&gt;despesas_recorrentes!$B$12, SUMIF(gasto_cartao!E:E,saldo!B755,gasto_cartao!B:B),despesas_recorrentes!$B$12)</f>
        <v>34013</v>
      </c>
      <c r="D755" s="51">
        <f>SUM(receitas_recorrentes!B:B)+SUMIF(receitas_pontuais!E:E,B755,receitas_pontuais!B:B)</f>
        <v>56919</v>
      </c>
      <c r="E755" s="51">
        <f t="shared" si="2"/>
        <v>22906</v>
      </c>
      <c r="F755" s="53">
        <f>IFERROR(SUMIF(contas!G:G, B755, contas!B:B),0)</f>
        <v>0</v>
      </c>
      <c r="G755" s="51">
        <f>SUMIFS(previsoes!D:D, previsoes!E:E, "&lt;=" &amp; EOMONTH(DATEVALUE(B755&amp;"-01"),0), previsoes!F:F, "&gt;=" &amp; DATEVALUE(B755&amp;"-01"))</f>
        <v>0</v>
      </c>
      <c r="H755" s="52">
        <f t="shared" si="5"/>
        <v>160491.8958</v>
      </c>
      <c r="I755" s="49">
        <f t="shared" si="3"/>
        <v>22906</v>
      </c>
      <c r="J755" s="52">
        <f>IF(A755&lt;&gt;"",SUMIFS(metas!N:N, metas!E:E, "&gt;=" &amp; DATEVALUE(B755&amp;"-01"),metas!D:D, "&lt;=" &amp; DATEVALUE(B755&amp;"-01")),"")</f>
        <v>3182.813937</v>
      </c>
      <c r="K755" s="49">
        <f t="shared" si="4"/>
        <v>19723.18606</v>
      </c>
      <c r="L755" s="49">
        <f t="shared" si="6"/>
        <v>14235165.63</v>
      </c>
      <c r="M755" s="49">
        <f>IF(A755&lt;&gt;"",IF(COUNTIF(investimento!F:F, B755) &gt; 0, SUM(investimento!B:B)+I755, M754+I755),"")</f>
        <v>17053782.68</v>
      </c>
    </row>
    <row r="756" ht="22.5" customHeight="1">
      <c r="A756" s="47">
        <v>50805.0</v>
      </c>
      <c r="B756" s="48" t="str">
        <f t="shared" si="1"/>
        <v>2039-02</v>
      </c>
      <c r="C756" s="49">
        <f>SUMIF(despesas_recorrentes!C:C, "&gt;="&amp;A756,despesas_recorrentes!B:B) 
+SUMIF(despesas_recorrentes!C:C, "",despesas_recorrentes!B:B)
-despesas_recorrentes!$B$12
+IF(SUMIF(gasto_cartao!E:E,saldo!B756,gasto_cartao!B:B)&gt;despesas_recorrentes!$B$12, SUMIF(gasto_cartao!E:E,saldo!B756,gasto_cartao!B:B),despesas_recorrentes!$B$12)</f>
        <v>34013</v>
      </c>
      <c r="D756" s="51">
        <f>SUM(receitas_recorrentes!B:B)+SUMIF(receitas_pontuais!E:E,B756,receitas_pontuais!B:B)</f>
        <v>56919</v>
      </c>
      <c r="E756" s="51">
        <f t="shared" si="2"/>
        <v>22906</v>
      </c>
      <c r="F756" s="53">
        <f>IFERROR(SUMIF(contas!G:G, B756, contas!B:B),0)</f>
        <v>0</v>
      </c>
      <c r="G756" s="51">
        <f>SUMIFS(previsoes!D:D, previsoes!E:E, "&lt;=" &amp; EOMONTH(DATEVALUE(B756&amp;"-01"),0), previsoes!F:F, "&gt;=" &amp; DATEVALUE(B756&amp;"-01"))</f>
        <v>0</v>
      </c>
      <c r="H756" s="52">
        <f t="shared" si="5"/>
        <v>160491.8958</v>
      </c>
      <c r="I756" s="49">
        <f t="shared" si="3"/>
        <v>22906</v>
      </c>
      <c r="J756" s="52">
        <f>IF(A756&lt;&gt;"",SUMIFS(metas!N:N, metas!E:E, "&gt;=" &amp; DATEVALUE(B756&amp;"-01"),metas!D:D, "&lt;=" &amp; DATEVALUE(B756&amp;"-01")),"")</f>
        <v>3182.813937</v>
      </c>
      <c r="K756" s="49">
        <f t="shared" si="4"/>
        <v>19723.18606</v>
      </c>
      <c r="L756" s="49">
        <f t="shared" si="6"/>
        <v>14254888.82</v>
      </c>
      <c r="M756" s="49">
        <f>IF(A756&lt;&gt;"",IF(COUNTIF(investimento!F:F, B756) &gt; 0, SUM(investimento!B:B)+I756, M755+I756),"")</f>
        <v>17076688.68</v>
      </c>
    </row>
    <row r="757" ht="22.5" customHeight="1">
      <c r="A757" s="47">
        <v>50806.0</v>
      </c>
      <c r="B757" s="48" t="str">
        <f t="shared" si="1"/>
        <v>2039-02</v>
      </c>
      <c r="C757" s="49">
        <f>SUMIF(despesas_recorrentes!C:C, "&gt;="&amp;A757,despesas_recorrentes!B:B) 
+SUMIF(despesas_recorrentes!C:C, "",despesas_recorrentes!B:B)
-despesas_recorrentes!$B$12
+IF(SUMIF(gasto_cartao!E:E,saldo!B757,gasto_cartao!B:B)&gt;despesas_recorrentes!$B$12, SUMIF(gasto_cartao!E:E,saldo!B757,gasto_cartao!B:B),despesas_recorrentes!$B$12)</f>
        <v>34013</v>
      </c>
      <c r="D757" s="51">
        <f>SUM(receitas_recorrentes!B:B)+SUMIF(receitas_pontuais!E:E,B757,receitas_pontuais!B:B)</f>
        <v>56919</v>
      </c>
      <c r="E757" s="51">
        <f t="shared" si="2"/>
        <v>22906</v>
      </c>
      <c r="F757" s="53">
        <f>IFERROR(SUMIF(contas!G:G, B757, contas!B:B),0)</f>
        <v>0</v>
      </c>
      <c r="G757" s="51">
        <f>SUMIFS(previsoes!D:D, previsoes!E:E, "&lt;=" &amp; EOMONTH(DATEVALUE(B757&amp;"-01"),0), previsoes!F:F, "&gt;=" &amp; DATEVALUE(B757&amp;"-01"))</f>
        <v>0</v>
      </c>
      <c r="H757" s="52">
        <f t="shared" si="5"/>
        <v>160491.8958</v>
      </c>
      <c r="I757" s="49">
        <f t="shared" si="3"/>
        <v>22906</v>
      </c>
      <c r="J757" s="52">
        <f>IF(A757&lt;&gt;"",SUMIFS(metas!N:N, metas!E:E, "&gt;=" &amp; DATEVALUE(B757&amp;"-01"),metas!D:D, "&lt;=" &amp; DATEVALUE(B757&amp;"-01")),"")</f>
        <v>3182.813937</v>
      </c>
      <c r="K757" s="49">
        <f t="shared" si="4"/>
        <v>19723.18606</v>
      </c>
      <c r="L757" s="49">
        <f t="shared" si="6"/>
        <v>14274612.01</v>
      </c>
      <c r="M757" s="49">
        <f>IF(A757&lt;&gt;"",IF(COUNTIF(investimento!F:F, B757) &gt; 0, SUM(investimento!B:B)+I757, M756+I757),"")</f>
        <v>17099594.68</v>
      </c>
    </row>
    <row r="758" ht="22.5" customHeight="1">
      <c r="A758" s="47">
        <v>50807.0</v>
      </c>
      <c r="B758" s="48" t="str">
        <f t="shared" si="1"/>
        <v>2039-02</v>
      </c>
      <c r="C758" s="49">
        <f>SUMIF(despesas_recorrentes!C:C, "&gt;="&amp;A758,despesas_recorrentes!B:B) 
+SUMIF(despesas_recorrentes!C:C, "",despesas_recorrentes!B:B)
-despesas_recorrentes!$B$12
+IF(SUMIF(gasto_cartao!E:E,saldo!B758,gasto_cartao!B:B)&gt;despesas_recorrentes!$B$12, SUMIF(gasto_cartao!E:E,saldo!B758,gasto_cartao!B:B),despesas_recorrentes!$B$12)</f>
        <v>34013</v>
      </c>
      <c r="D758" s="51">
        <f>SUM(receitas_recorrentes!B:B)+SUMIF(receitas_pontuais!E:E,B758,receitas_pontuais!B:B)</f>
        <v>56919</v>
      </c>
      <c r="E758" s="51">
        <f t="shared" si="2"/>
        <v>22906</v>
      </c>
      <c r="F758" s="53">
        <f>IFERROR(SUMIF(contas!G:G, B758, contas!B:B),0)</f>
        <v>0</v>
      </c>
      <c r="G758" s="51">
        <f>SUMIFS(previsoes!D:D, previsoes!E:E, "&lt;=" &amp; EOMONTH(DATEVALUE(B758&amp;"-01"),0), previsoes!F:F, "&gt;=" &amp; DATEVALUE(B758&amp;"-01"))</f>
        <v>0</v>
      </c>
      <c r="H758" s="52">
        <f t="shared" si="5"/>
        <v>160491.8958</v>
      </c>
      <c r="I758" s="49">
        <f t="shared" si="3"/>
        <v>22906</v>
      </c>
      <c r="J758" s="52">
        <f>IF(A758&lt;&gt;"",SUMIFS(metas!N:N, metas!E:E, "&gt;=" &amp; DATEVALUE(B758&amp;"-01"),metas!D:D, "&lt;=" &amp; DATEVALUE(B758&amp;"-01")),"")</f>
        <v>3182.813937</v>
      </c>
      <c r="K758" s="49">
        <f t="shared" si="4"/>
        <v>19723.18606</v>
      </c>
      <c r="L758" s="49">
        <f t="shared" si="6"/>
        <v>14294335.19</v>
      </c>
      <c r="M758" s="49">
        <f>IF(A758&lt;&gt;"",IF(COUNTIF(investimento!F:F, B758) &gt; 0, SUM(investimento!B:B)+I758, M757+I758),"")</f>
        <v>17122500.68</v>
      </c>
    </row>
    <row r="759" ht="22.5" customHeight="1">
      <c r="A759" s="47">
        <v>50808.0</v>
      </c>
      <c r="B759" s="48" t="str">
        <f t="shared" si="1"/>
        <v>2039-02</v>
      </c>
      <c r="C759" s="49">
        <f>SUMIF(despesas_recorrentes!C:C, "&gt;="&amp;A759,despesas_recorrentes!B:B) 
+SUMIF(despesas_recorrentes!C:C, "",despesas_recorrentes!B:B)
-despesas_recorrentes!$B$12
+IF(SUMIF(gasto_cartao!E:E,saldo!B759,gasto_cartao!B:B)&gt;despesas_recorrentes!$B$12, SUMIF(gasto_cartao!E:E,saldo!B759,gasto_cartao!B:B),despesas_recorrentes!$B$12)</f>
        <v>34013</v>
      </c>
      <c r="D759" s="51">
        <f>SUM(receitas_recorrentes!B:B)+SUMIF(receitas_pontuais!E:E,B759,receitas_pontuais!B:B)</f>
        <v>56919</v>
      </c>
      <c r="E759" s="51">
        <f t="shared" si="2"/>
        <v>22906</v>
      </c>
      <c r="F759" s="53">
        <f>IFERROR(SUMIF(contas!G:G, B759, contas!B:B),0)</f>
        <v>0</v>
      </c>
      <c r="G759" s="51">
        <f>SUMIFS(previsoes!D:D, previsoes!E:E, "&lt;=" &amp; EOMONTH(DATEVALUE(B759&amp;"-01"),0), previsoes!F:F, "&gt;=" &amp; DATEVALUE(B759&amp;"-01"))</f>
        <v>0</v>
      </c>
      <c r="H759" s="52">
        <f t="shared" si="5"/>
        <v>160491.8958</v>
      </c>
      <c r="I759" s="49">
        <f t="shared" si="3"/>
        <v>22906</v>
      </c>
      <c r="J759" s="52">
        <f>IF(A759&lt;&gt;"",SUMIFS(metas!N:N, metas!E:E, "&gt;=" &amp; DATEVALUE(B759&amp;"-01"),metas!D:D, "&lt;=" &amp; DATEVALUE(B759&amp;"-01")),"")</f>
        <v>3182.813937</v>
      </c>
      <c r="K759" s="49">
        <f t="shared" si="4"/>
        <v>19723.18606</v>
      </c>
      <c r="L759" s="49">
        <f t="shared" si="6"/>
        <v>14314058.38</v>
      </c>
      <c r="M759" s="49">
        <f>IF(A759&lt;&gt;"",IF(COUNTIF(investimento!F:F, B759) &gt; 0, SUM(investimento!B:B)+I759, M758+I759),"")</f>
        <v>17145406.68</v>
      </c>
    </row>
    <row r="760" ht="22.5" customHeight="1">
      <c r="A760" s="47">
        <v>50809.0</v>
      </c>
      <c r="B760" s="48" t="str">
        <f t="shared" si="1"/>
        <v>2039-02</v>
      </c>
      <c r="C760" s="49">
        <f>SUMIF(despesas_recorrentes!C:C, "&gt;="&amp;A760,despesas_recorrentes!B:B) 
+SUMIF(despesas_recorrentes!C:C, "",despesas_recorrentes!B:B)
-despesas_recorrentes!$B$12
+IF(SUMIF(gasto_cartao!E:E,saldo!B760,gasto_cartao!B:B)&gt;despesas_recorrentes!$B$12, SUMIF(gasto_cartao!E:E,saldo!B760,gasto_cartao!B:B),despesas_recorrentes!$B$12)</f>
        <v>34013</v>
      </c>
      <c r="D760" s="51">
        <f>SUM(receitas_recorrentes!B:B)+SUMIF(receitas_pontuais!E:E,B760,receitas_pontuais!B:B)</f>
        <v>56919</v>
      </c>
      <c r="E760" s="51">
        <f t="shared" si="2"/>
        <v>22906</v>
      </c>
      <c r="F760" s="53">
        <f>IFERROR(SUMIF(contas!G:G, B760, contas!B:B),0)</f>
        <v>0</v>
      </c>
      <c r="G760" s="51">
        <f>SUMIFS(previsoes!D:D, previsoes!E:E, "&lt;=" &amp; EOMONTH(DATEVALUE(B760&amp;"-01"),0), previsoes!F:F, "&gt;=" &amp; DATEVALUE(B760&amp;"-01"))</f>
        <v>0</v>
      </c>
      <c r="H760" s="52">
        <f t="shared" si="5"/>
        <v>160491.8958</v>
      </c>
      <c r="I760" s="49">
        <f t="shared" si="3"/>
        <v>22906</v>
      </c>
      <c r="J760" s="52">
        <f>IF(A760&lt;&gt;"",SUMIFS(metas!N:N, metas!E:E, "&gt;=" &amp; DATEVALUE(B760&amp;"-01"),metas!D:D, "&lt;=" &amp; DATEVALUE(B760&amp;"-01")),"")</f>
        <v>3182.813937</v>
      </c>
      <c r="K760" s="49">
        <f t="shared" si="4"/>
        <v>19723.18606</v>
      </c>
      <c r="L760" s="49">
        <f t="shared" si="6"/>
        <v>14333781.56</v>
      </c>
      <c r="M760" s="49">
        <f>IF(A760&lt;&gt;"",IF(COUNTIF(investimento!F:F, B760) &gt; 0, SUM(investimento!B:B)+I760, M759+I760),"")</f>
        <v>17168312.68</v>
      </c>
    </row>
    <row r="761" ht="22.5" customHeight="1">
      <c r="A761" s="47">
        <v>50810.0</v>
      </c>
      <c r="B761" s="48" t="str">
        <f t="shared" si="1"/>
        <v>2039-02</v>
      </c>
      <c r="C761" s="49">
        <f>SUMIF(despesas_recorrentes!C:C, "&gt;="&amp;A761,despesas_recorrentes!B:B) 
+SUMIF(despesas_recorrentes!C:C, "",despesas_recorrentes!B:B)
-despesas_recorrentes!$B$12
+IF(SUMIF(gasto_cartao!E:E,saldo!B761,gasto_cartao!B:B)&gt;despesas_recorrentes!$B$12, SUMIF(gasto_cartao!E:E,saldo!B761,gasto_cartao!B:B),despesas_recorrentes!$B$12)</f>
        <v>34013</v>
      </c>
      <c r="D761" s="51">
        <f>SUM(receitas_recorrentes!B:B)+SUMIF(receitas_pontuais!E:E,B761,receitas_pontuais!B:B)</f>
        <v>56919</v>
      </c>
      <c r="E761" s="51">
        <f t="shared" si="2"/>
        <v>22906</v>
      </c>
      <c r="F761" s="53">
        <f>IFERROR(SUMIF(contas!G:G, B761, contas!B:B),0)</f>
        <v>0</v>
      </c>
      <c r="G761" s="51">
        <f>SUMIFS(previsoes!D:D, previsoes!E:E, "&lt;=" &amp; EOMONTH(DATEVALUE(B761&amp;"-01"),0), previsoes!F:F, "&gt;=" &amp; DATEVALUE(B761&amp;"-01"))</f>
        <v>0</v>
      </c>
      <c r="H761" s="52">
        <f t="shared" si="5"/>
        <v>160491.8958</v>
      </c>
      <c r="I761" s="49">
        <f t="shared" si="3"/>
        <v>22906</v>
      </c>
      <c r="J761" s="52">
        <f>IF(A761&lt;&gt;"",SUMIFS(metas!N:N, metas!E:E, "&gt;=" &amp; DATEVALUE(B761&amp;"-01"),metas!D:D, "&lt;=" &amp; DATEVALUE(B761&amp;"-01")),"")</f>
        <v>3182.813937</v>
      </c>
      <c r="K761" s="49">
        <f t="shared" si="4"/>
        <v>19723.18606</v>
      </c>
      <c r="L761" s="49">
        <f t="shared" si="6"/>
        <v>14353504.75</v>
      </c>
      <c r="M761" s="49">
        <f>IF(A761&lt;&gt;"",IF(COUNTIF(investimento!F:F, B761) &gt; 0, SUM(investimento!B:B)+I761, M760+I761),"")</f>
        <v>17191218.68</v>
      </c>
    </row>
    <row r="762" ht="22.5" customHeight="1">
      <c r="A762" s="47">
        <v>50811.0</v>
      </c>
      <c r="B762" s="48" t="str">
        <f t="shared" si="1"/>
        <v>2039-02</v>
      </c>
      <c r="C762" s="49">
        <f>SUMIF(despesas_recorrentes!C:C, "&gt;="&amp;A762,despesas_recorrentes!B:B) 
+SUMIF(despesas_recorrentes!C:C, "",despesas_recorrentes!B:B)
-despesas_recorrentes!$B$12
+IF(SUMIF(gasto_cartao!E:E,saldo!B762,gasto_cartao!B:B)&gt;despesas_recorrentes!$B$12, SUMIF(gasto_cartao!E:E,saldo!B762,gasto_cartao!B:B),despesas_recorrentes!$B$12)</f>
        <v>34013</v>
      </c>
      <c r="D762" s="51">
        <f>SUM(receitas_recorrentes!B:B)+SUMIF(receitas_pontuais!E:E,B762,receitas_pontuais!B:B)</f>
        <v>56919</v>
      </c>
      <c r="E762" s="51">
        <f t="shared" si="2"/>
        <v>22906</v>
      </c>
      <c r="F762" s="53">
        <f>IFERROR(SUMIF(contas!G:G, B762, contas!B:B),0)</f>
        <v>0</v>
      </c>
      <c r="G762" s="51">
        <f>SUMIFS(previsoes!D:D, previsoes!E:E, "&lt;=" &amp; EOMONTH(DATEVALUE(B762&amp;"-01"),0), previsoes!F:F, "&gt;=" &amp; DATEVALUE(B762&amp;"-01"))</f>
        <v>0</v>
      </c>
      <c r="H762" s="52">
        <f t="shared" si="5"/>
        <v>160491.8958</v>
      </c>
      <c r="I762" s="49">
        <f t="shared" si="3"/>
        <v>22906</v>
      </c>
      <c r="J762" s="52">
        <f>IF(A762&lt;&gt;"",SUMIFS(metas!N:N, metas!E:E, "&gt;=" &amp; DATEVALUE(B762&amp;"-01"),metas!D:D, "&lt;=" &amp; DATEVALUE(B762&amp;"-01")),"")</f>
        <v>3182.813937</v>
      </c>
      <c r="K762" s="49">
        <f t="shared" si="4"/>
        <v>19723.18606</v>
      </c>
      <c r="L762" s="49">
        <f t="shared" si="6"/>
        <v>14373227.94</v>
      </c>
      <c r="M762" s="49">
        <f>IF(A762&lt;&gt;"",IF(COUNTIF(investimento!F:F, B762) &gt; 0, SUM(investimento!B:B)+I762, M761+I762),"")</f>
        <v>17214124.68</v>
      </c>
    </row>
    <row r="763" ht="22.5" customHeight="1">
      <c r="A763" s="47">
        <v>50812.0</v>
      </c>
      <c r="B763" s="48" t="str">
        <f t="shared" si="1"/>
        <v>2039-02</v>
      </c>
      <c r="C763" s="49">
        <f>SUMIF(despesas_recorrentes!C:C, "&gt;="&amp;A763,despesas_recorrentes!B:B) 
+SUMIF(despesas_recorrentes!C:C, "",despesas_recorrentes!B:B)
-despesas_recorrentes!$B$12
+IF(SUMIF(gasto_cartao!E:E,saldo!B763,gasto_cartao!B:B)&gt;despesas_recorrentes!$B$12, SUMIF(gasto_cartao!E:E,saldo!B763,gasto_cartao!B:B),despesas_recorrentes!$B$12)</f>
        <v>34013</v>
      </c>
      <c r="D763" s="51">
        <f>SUM(receitas_recorrentes!B:B)+SUMIF(receitas_pontuais!E:E,B763,receitas_pontuais!B:B)</f>
        <v>56919</v>
      </c>
      <c r="E763" s="51">
        <f t="shared" si="2"/>
        <v>22906</v>
      </c>
      <c r="F763" s="53">
        <f>IFERROR(SUMIF(contas!G:G, B763, contas!B:B),0)</f>
        <v>0</v>
      </c>
      <c r="G763" s="51">
        <f>SUMIFS(previsoes!D:D, previsoes!E:E, "&lt;=" &amp; EOMONTH(DATEVALUE(B763&amp;"-01"),0), previsoes!F:F, "&gt;=" &amp; DATEVALUE(B763&amp;"-01"))</f>
        <v>0</v>
      </c>
      <c r="H763" s="52">
        <f t="shared" si="5"/>
        <v>160491.8958</v>
      </c>
      <c r="I763" s="49">
        <f t="shared" si="3"/>
        <v>22906</v>
      </c>
      <c r="J763" s="52">
        <f>IF(A763&lt;&gt;"",SUMIFS(metas!N:N, metas!E:E, "&gt;=" &amp; DATEVALUE(B763&amp;"-01"),metas!D:D, "&lt;=" &amp; DATEVALUE(B763&amp;"-01")),"")</f>
        <v>3182.813937</v>
      </c>
      <c r="K763" s="49">
        <f t="shared" si="4"/>
        <v>19723.18606</v>
      </c>
      <c r="L763" s="49">
        <f t="shared" si="6"/>
        <v>14392951.12</v>
      </c>
      <c r="M763" s="49">
        <f>IF(A763&lt;&gt;"",IF(COUNTIF(investimento!F:F, B763) &gt; 0, SUM(investimento!B:B)+I763, M762+I763),"")</f>
        <v>17237030.68</v>
      </c>
    </row>
    <row r="764" ht="22.5" customHeight="1">
      <c r="A764" s="47">
        <v>50813.0</v>
      </c>
      <c r="B764" s="48" t="str">
        <f t="shared" si="1"/>
        <v>2039-02</v>
      </c>
      <c r="C764" s="49">
        <f>SUMIF(despesas_recorrentes!C:C, "&gt;="&amp;A764,despesas_recorrentes!B:B) 
+SUMIF(despesas_recorrentes!C:C, "",despesas_recorrentes!B:B)
-despesas_recorrentes!$B$12
+IF(SUMIF(gasto_cartao!E:E,saldo!B764,gasto_cartao!B:B)&gt;despesas_recorrentes!$B$12, SUMIF(gasto_cartao!E:E,saldo!B764,gasto_cartao!B:B),despesas_recorrentes!$B$12)</f>
        <v>34013</v>
      </c>
      <c r="D764" s="51">
        <f>SUM(receitas_recorrentes!B:B)+SUMIF(receitas_pontuais!E:E,B764,receitas_pontuais!B:B)</f>
        <v>56919</v>
      </c>
      <c r="E764" s="51">
        <f t="shared" si="2"/>
        <v>22906</v>
      </c>
      <c r="F764" s="53">
        <f>IFERROR(SUMIF(contas!G:G, B764, contas!B:B),0)</f>
        <v>0</v>
      </c>
      <c r="G764" s="51">
        <f>SUMIFS(previsoes!D:D, previsoes!E:E, "&lt;=" &amp; EOMONTH(DATEVALUE(B764&amp;"-01"),0), previsoes!F:F, "&gt;=" &amp; DATEVALUE(B764&amp;"-01"))</f>
        <v>0</v>
      </c>
      <c r="H764" s="52">
        <f t="shared" si="5"/>
        <v>160491.8958</v>
      </c>
      <c r="I764" s="49">
        <f t="shared" si="3"/>
        <v>22906</v>
      </c>
      <c r="J764" s="52">
        <f>IF(A764&lt;&gt;"",SUMIFS(metas!N:N, metas!E:E, "&gt;=" &amp; DATEVALUE(B764&amp;"-01"),metas!D:D, "&lt;=" &amp; DATEVALUE(B764&amp;"-01")),"")</f>
        <v>3182.813937</v>
      </c>
      <c r="K764" s="49">
        <f t="shared" si="4"/>
        <v>19723.18606</v>
      </c>
      <c r="L764" s="49">
        <f t="shared" si="6"/>
        <v>14412674.31</v>
      </c>
      <c r="M764" s="49">
        <f>IF(A764&lt;&gt;"",IF(COUNTIF(investimento!F:F, B764) &gt; 0, SUM(investimento!B:B)+I764, M763+I764),"")</f>
        <v>17259936.68</v>
      </c>
    </row>
    <row r="765" ht="22.5" customHeight="1">
      <c r="A765" s="47">
        <v>50814.0</v>
      </c>
      <c r="B765" s="48" t="str">
        <f t="shared" si="1"/>
        <v>2039-02</v>
      </c>
      <c r="C765" s="49">
        <f>SUMIF(despesas_recorrentes!C:C, "&gt;="&amp;A765,despesas_recorrentes!B:B) 
+SUMIF(despesas_recorrentes!C:C, "",despesas_recorrentes!B:B)
-despesas_recorrentes!$B$12
+IF(SUMIF(gasto_cartao!E:E,saldo!B765,gasto_cartao!B:B)&gt;despesas_recorrentes!$B$12, SUMIF(gasto_cartao!E:E,saldo!B765,gasto_cartao!B:B),despesas_recorrentes!$B$12)</f>
        <v>34013</v>
      </c>
      <c r="D765" s="51">
        <f>SUM(receitas_recorrentes!B:B)+SUMIF(receitas_pontuais!E:E,B765,receitas_pontuais!B:B)</f>
        <v>56919</v>
      </c>
      <c r="E765" s="51">
        <f t="shared" si="2"/>
        <v>22906</v>
      </c>
      <c r="F765" s="53">
        <f>IFERROR(SUMIF(contas!G:G, B765, contas!B:B),0)</f>
        <v>0</v>
      </c>
      <c r="G765" s="51">
        <f>SUMIFS(previsoes!D:D, previsoes!E:E, "&lt;=" &amp; EOMONTH(DATEVALUE(B765&amp;"-01"),0), previsoes!F:F, "&gt;=" &amp; DATEVALUE(B765&amp;"-01"))</f>
        <v>0</v>
      </c>
      <c r="H765" s="52">
        <f t="shared" si="5"/>
        <v>160491.8958</v>
      </c>
      <c r="I765" s="49">
        <f t="shared" si="3"/>
        <v>22906</v>
      </c>
      <c r="J765" s="52">
        <f>IF(A765&lt;&gt;"",SUMIFS(metas!N:N, metas!E:E, "&gt;=" &amp; DATEVALUE(B765&amp;"-01"),metas!D:D, "&lt;=" &amp; DATEVALUE(B765&amp;"-01")),"")</f>
        <v>3182.813937</v>
      </c>
      <c r="K765" s="49">
        <f t="shared" si="4"/>
        <v>19723.18606</v>
      </c>
      <c r="L765" s="49">
        <f t="shared" si="6"/>
        <v>14432397.49</v>
      </c>
      <c r="M765" s="49">
        <f>IF(A765&lt;&gt;"",IF(COUNTIF(investimento!F:F, B765) &gt; 0, SUM(investimento!B:B)+I765, M764+I765),"")</f>
        <v>17282842.68</v>
      </c>
    </row>
    <row r="766" ht="22.5" customHeight="1">
      <c r="A766" s="47">
        <v>50815.0</v>
      </c>
      <c r="B766" s="48" t="str">
        <f t="shared" si="1"/>
        <v>2039-02</v>
      </c>
      <c r="C766" s="49">
        <f>SUMIF(despesas_recorrentes!C:C, "&gt;="&amp;A766,despesas_recorrentes!B:B) 
+SUMIF(despesas_recorrentes!C:C, "",despesas_recorrentes!B:B)
-despesas_recorrentes!$B$12
+IF(SUMIF(gasto_cartao!E:E,saldo!B766,gasto_cartao!B:B)&gt;despesas_recorrentes!$B$12, SUMIF(gasto_cartao!E:E,saldo!B766,gasto_cartao!B:B),despesas_recorrentes!$B$12)</f>
        <v>34013</v>
      </c>
      <c r="D766" s="51">
        <f>SUM(receitas_recorrentes!B:B)+SUMIF(receitas_pontuais!E:E,B766,receitas_pontuais!B:B)</f>
        <v>56919</v>
      </c>
      <c r="E766" s="51">
        <f t="shared" si="2"/>
        <v>22906</v>
      </c>
      <c r="F766" s="53">
        <f>IFERROR(SUMIF(contas!G:G, B766, contas!B:B),0)</f>
        <v>0</v>
      </c>
      <c r="G766" s="51">
        <f>SUMIFS(previsoes!D:D, previsoes!E:E, "&lt;=" &amp; EOMONTH(DATEVALUE(B766&amp;"-01"),0), previsoes!F:F, "&gt;=" &amp; DATEVALUE(B766&amp;"-01"))</f>
        <v>0</v>
      </c>
      <c r="H766" s="52">
        <f t="shared" si="5"/>
        <v>160491.8958</v>
      </c>
      <c r="I766" s="49">
        <f t="shared" si="3"/>
        <v>22906</v>
      </c>
      <c r="J766" s="52">
        <f>IF(A766&lt;&gt;"",SUMIFS(metas!N:N, metas!E:E, "&gt;=" &amp; DATEVALUE(B766&amp;"-01"),metas!D:D, "&lt;=" &amp; DATEVALUE(B766&amp;"-01")),"")</f>
        <v>3182.813937</v>
      </c>
      <c r="K766" s="49">
        <f t="shared" si="4"/>
        <v>19723.18606</v>
      </c>
      <c r="L766" s="49">
        <f t="shared" si="6"/>
        <v>14452120.68</v>
      </c>
      <c r="M766" s="49">
        <f>IF(A766&lt;&gt;"",IF(COUNTIF(investimento!F:F, B766) &gt; 0, SUM(investimento!B:B)+I766, M765+I766),"")</f>
        <v>17305748.68</v>
      </c>
    </row>
    <row r="767" ht="22.5" customHeight="1">
      <c r="A767" s="47">
        <v>50816.0</v>
      </c>
      <c r="B767" s="48" t="str">
        <f t="shared" si="1"/>
        <v>2039-02</v>
      </c>
      <c r="C767" s="49">
        <f>SUMIF(despesas_recorrentes!C:C, "&gt;="&amp;A767,despesas_recorrentes!B:B) 
+SUMIF(despesas_recorrentes!C:C, "",despesas_recorrentes!B:B)
-despesas_recorrentes!$B$12
+IF(SUMIF(gasto_cartao!E:E,saldo!B767,gasto_cartao!B:B)&gt;despesas_recorrentes!$B$12, SUMIF(gasto_cartao!E:E,saldo!B767,gasto_cartao!B:B),despesas_recorrentes!$B$12)</f>
        <v>34013</v>
      </c>
      <c r="D767" s="51">
        <f>SUM(receitas_recorrentes!B:B)+SUMIF(receitas_pontuais!E:E,B767,receitas_pontuais!B:B)</f>
        <v>56919</v>
      </c>
      <c r="E767" s="51">
        <f t="shared" si="2"/>
        <v>22906</v>
      </c>
      <c r="F767" s="53">
        <f>IFERROR(SUMIF(contas!G:G, B767, contas!B:B),0)</f>
        <v>0</v>
      </c>
      <c r="G767" s="51">
        <f>SUMIFS(previsoes!D:D, previsoes!E:E, "&lt;=" &amp; EOMONTH(DATEVALUE(B767&amp;"-01"),0), previsoes!F:F, "&gt;=" &amp; DATEVALUE(B767&amp;"-01"))</f>
        <v>0</v>
      </c>
      <c r="H767" s="52">
        <f t="shared" si="5"/>
        <v>160491.8958</v>
      </c>
      <c r="I767" s="49">
        <f t="shared" si="3"/>
        <v>22906</v>
      </c>
      <c r="J767" s="52">
        <f>IF(A767&lt;&gt;"",SUMIFS(metas!N:N, metas!E:E, "&gt;=" &amp; DATEVALUE(B767&amp;"-01"),metas!D:D, "&lt;=" &amp; DATEVALUE(B767&amp;"-01")),"")</f>
        <v>3182.813937</v>
      </c>
      <c r="K767" s="49">
        <f t="shared" si="4"/>
        <v>19723.18606</v>
      </c>
      <c r="L767" s="49">
        <f t="shared" si="6"/>
        <v>14471843.87</v>
      </c>
      <c r="M767" s="49">
        <f>IF(A767&lt;&gt;"",IF(COUNTIF(investimento!F:F, B767) &gt; 0, SUM(investimento!B:B)+I767, M766+I767),"")</f>
        <v>17328654.68</v>
      </c>
    </row>
    <row r="768" ht="22.5" customHeight="1">
      <c r="A768" s="47">
        <v>50817.0</v>
      </c>
      <c r="B768" s="48" t="str">
        <f t="shared" si="1"/>
        <v>2039-02</v>
      </c>
      <c r="C768" s="49">
        <f>SUMIF(despesas_recorrentes!C:C, "&gt;="&amp;A768,despesas_recorrentes!B:B) 
+SUMIF(despesas_recorrentes!C:C, "",despesas_recorrentes!B:B)
-despesas_recorrentes!$B$12
+IF(SUMIF(gasto_cartao!E:E,saldo!B768,gasto_cartao!B:B)&gt;despesas_recorrentes!$B$12, SUMIF(gasto_cartao!E:E,saldo!B768,gasto_cartao!B:B),despesas_recorrentes!$B$12)</f>
        <v>34013</v>
      </c>
      <c r="D768" s="51">
        <f>SUM(receitas_recorrentes!B:B)+SUMIF(receitas_pontuais!E:E,B768,receitas_pontuais!B:B)</f>
        <v>56919</v>
      </c>
      <c r="E768" s="51">
        <f t="shared" si="2"/>
        <v>22906</v>
      </c>
      <c r="F768" s="53">
        <f>IFERROR(SUMIF(contas!G:G, B768, contas!B:B),0)</f>
        <v>0</v>
      </c>
      <c r="G768" s="51">
        <f>SUMIFS(previsoes!D:D, previsoes!E:E, "&lt;=" &amp; EOMONTH(DATEVALUE(B768&amp;"-01"),0), previsoes!F:F, "&gt;=" &amp; DATEVALUE(B768&amp;"-01"))</f>
        <v>0</v>
      </c>
      <c r="H768" s="52">
        <f t="shared" si="5"/>
        <v>160491.8958</v>
      </c>
      <c r="I768" s="49">
        <f t="shared" si="3"/>
        <v>22906</v>
      </c>
      <c r="J768" s="52">
        <f>IF(A768&lt;&gt;"",SUMIFS(metas!N:N, metas!E:E, "&gt;=" &amp; DATEVALUE(B768&amp;"-01"),metas!D:D, "&lt;=" &amp; DATEVALUE(B768&amp;"-01")),"")</f>
        <v>3182.813937</v>
      </c>
      <c r="K768" s="49">
        <f t="shared" si="4"/>
        <v>19723.18606</v>
      </c>
      <c r="L768" s="49">
        <f t="shared" si="6"/>
        <v>14491567.05</v>
      </c>
      <c r="M768" s="49">
        <f>IF(A768&lt;&gt;"",IF(COUNTIF(investimento!F:F, B768) &gt; 0, SUM(investimento!B:B)+I768, M767+I768),"")</f>
        <v>17351560.68</v>
      </c>
    </row>
    <row r="769" ht="22.5" customHeight="1">
      <c r="A769" s="47">
        <v>50818.0</v>
      </c>
      <c r="B769" s="48" t="str">
        <f t="shared" si="1"/>
        <v>2039-02</v>
      </c>
      <c r="C769" s="49">
        <f>SUMIF(despesas_recorrentes!C:C, "&gt;="&amp;A769,despesas_recorrentes!B:B) 
+SUMIF(despesas_recorrentes!C:C, "",despesas_recorrentes!B:B)
-despesas_recorrentes!$B$12
+IF(SUMIF(gasto_cartao!E:E,saldo!B769,gasto_cartao!B:B)&gt;despesas_recorrentes!$B$12, SUMIF(gasto_cartao!E:E,saldo!B769,gasto_cartao!B:B),despesas_recorrentes!$B$12)</f>
        <v>34013</v>
      </c>
      <c r="D769" s="51">
        <f>SUM(receitas_recorrentes!B:B)+SUMIF(receitas_pontuais!E:E,B769,receitas_pontuais!B:B)</f>
        <v>56919</v>
      </c>
      <c r="E769" s="51">
        <f t="shared" si="2"/>
        <v>22906</v>
      </c>
      <c r="F769" s="53">
        <f>IFERROR(SUMIF(contas!G:G, B769, contas!B:B),0)</f>
        <v>0</v>
      </c>
      <c r="G769" s="51">
        <f>SUMIFS(previsoes!D:D, previsoes!E:E, "&lt;=" &amp; EOMONTH(DATEVALUE(B769&amp;"-01"),0), previsoes!F:F, "&gt;=" &amp; DATEVALUE(B769&amp;"-01"))</f>
        <v>0</v>
      </c>
      <c r="H769" s="52">
        <f t="shared" si="5"/>
        <v>160491.8958</v>
      </c>
      <c r="I769" s="49">
        <f t="shared" si="3"/>
        <v>22906</v>
      </c>
      <c r="J769" s="52">
        <f>IF(A769&lt;&gt;"",SUMIFS(metas!N:N, metas!E:E, "&gt;=" &amp; DATEVALUE(B769&amp;"-01"),metas!D:D, "&lt;=" &amp; DATEVALUE(B769&amp;"-01")),"")</f>
        <v>3182.813937</v>
      </c>
      <c r="K769" s="49">
        <f t="shared" si="4"/>
        <v>19723.18606</v>
      </c>
      <c r="L769" s="49">
        <f t="shared" si="6"/>
        <v>14511290.24</v>
      </c>
      <c r="M769" s="49">
        <f>IF(A769&lt;&gt;"",IF(COUNTIF(investimento!F:F, B769) &gt; 0, SUM(investimento!B:B)+I769, M768+I769),"")</f>
        <v>17374466.68</v>
      </c>
    </row>
    <row r="770" ht="22.5" customHeight="1">
      <c r="A770" s="47">
        <v>50819.0</v>
      </c>
      <c r="B770" s="48" t="str">
        <f t="shared" si="1"/>
        <v>2039-02</v>
      </c>
      <c r="C770" s="49">
        <f>SUMIF(despesas_recorrentes!C:C, "&gt;="&amp;A770,despesas_recorrentes!B:B) 
+SUMIF(despesas_recorrentes!C:C, "",despesas_recorrentes!B:B)
-despesas_recorrentes!$B$12
+IF(SUMIF(gasto_cartao!E:E,saldo!B770,gasto_cartao!B:B)&gt;despesas_recorrentes!$B$12, SUMIF(gasto_cartao!E:E,saldo!B770,gasto_cartao!B:B),despesas_recorrentes!$B$12)</f>
        <v>34013</v>
      </c>
      <c r="D770" s="51">
        <f>SUM(receitas_recorrentes!B:B)+SUMIF(receitas_pontuais!E:E,B770,receitas_pontuais!B:B)</f>
        <v>56919</v>
      </c>
      <c r="E770" s="51">
        <f t="shared" si="2"/>
        <v>22906</v>
      </c>
      <c r="F770" s="53">
        <f>IFERROR(SUMIF(contas!G:G, B770, contas!B:B),0)</f>
        <v>0</v>
      </c>
      <c r="G770" s="51">
        <f>SUMIFS(previsoes!D:D, previsoes!E:E, "&lt;=" &amp; EOMONTH(DATEVALUE(B770&amp;"-01"),0), previsoes!F:F, "&gt;=" &amp; DATEVALUE(B770&amp;"-01"))</f>
        <v>0</v>
      </c>
      <c r="H770" s="52">
        <f t="shared" si="5"/>
        <v>160491.8958</v>
      </c>
      <c r="I770" s="49">
        <f t="shared" si="3"/>
        <v>22906</v>
      </c>
      <c r="J770" s="52">
        <f>IF(A770&lt;&gt;"",SUMIFS(metas!N:N, metas!E:E, "&gt;=" &amp; DATEVALUE(B770&amp;"-01"),metas!D:D, "&lt;=" &amp; DATEVALUE(B770&amp;"-01")),"")</f>
        <v>3182.813937</v>
      </c>
      <c r="K770" s="49">
        <f t="shared" si="4"/>
        <v>19723.18606</v>
      </c>
      <c r="L770" s="49">
        <f t="shared" si="6"/>
        <v>14531013.43</v>
      </c>
      <c r="M770" s="49">
        <f>IF(A770&lt;&gt;"",IF(COUNTIF(investimento!F:F, B770) &gt; 0, SUM(investimento!B:B)+I770, M769+I770),"")</f>
        <v>17397372.68</v>
      </c>
    </row>
    <row r="771" ht="22.5" customHeight="1">
      <c r="A771" s="47">
        <v>50820.0</v>
      </c>
      <c r="B771" s="48" t="str">
        <f t="shared" si="1"/>
        <v>2039-02</v>
      </c>
      <c r="C771" s="49">
        <f>SUMIF(despesas_recorrentes!C:C, "&gt;="&amp;A771,despesas_recorrentes!B:B) 
+SUMIF(despesas_recorrentes!C:C, "",despesas_recorrentes!B:B)
-despesas_recorrentes!$B$12
+IF(SUMIF(gasto_cartao!E:E,saldo!B771,gasto_cartao!B:B)&gt;despesas_recorrentes!$B$12, SUMIF(gasto_cartao!E:E,saldo!B771,gasto_cartao!B:B),despesas_recorrentes!$B$12)</f>
        <v>34013</v>
      </c>
      <c r="D771" s="51">
        <f>SUM(receitas_recorrentes!B:B)+SUMIF(receitas_pontuais!E:E,B771,receitas_pontuais!B:B)</f>
        <v>56919</v>
      </c>
      <c r="E771" s="51">
        <f t="shared" si="2"/>
        <v>22906</v>
      </c>
      <c r="F771" s="53">
        <f>IFERROR(SUMIF(contas!G:G, B771, contas!B:B),0)</f>
        <v>0</v>
      </c>
      <c r="G771" s="51">
        <f>SUMIFS(previsoes!D:D, previsoes!E:E, "&lt;=" &amp; EOMONTH(DATEVALUE(B771&amp;"-01"),0), previsoes!F:F, "&gt;=" &amp; DATEVALUE(B771&amp;"-01"))</f>
        <v>0</v>
      </c>
      <c r="H771" s="52">
        <f t="shared" si="5"/>
        <v>160491.8958</v>
      </c>
      <c r="I771" s="49">
        <f t="shared" si="3"/>
        <v>22906</v>
      </c>
      <c r="J771" s="52">
        <f>IF(A771&lt;&gt;"",SUMIFS(metas!N:N, metas!E:E, "&gt;=" &amp; DATEVALUE(B771&amp;"-01"),metas!D:D, "&lt;=" &amp; DATEVALUE(B771&amp;"-01")),"")</f>
        <v>3182.813937</v>
      </c>
      <c r="K771" s="49">
        <f t="shared" si="4"/>
        <v>19723.18606</v>
      </c>
      <c r="L771" s="49">
        <f t="shared" si="6"/>
        <v>14550736.61</v>
      </c>
      <c r="M771" s="49">
        <f>IF(A771&lt;&gt;"",IF(COUNTIF(investimento!F:F, B771) &gt; 0, SUM(investimento!B:B)+I771, M770+I771),"")</f>
        <v>17420278.68</v>
      </c>
    </row>
    <row r="772" ht="22.5" customHeight="1">
      <c r="A772" s="47">
        <v>50821.0</v>
      </c>
      <c r="B772" s="48" t="str">
        <f t="shared" si="1"/>
        <v>2039-02</v>
      </c>
      <c r="C772" s="49">
        <f>SUMIF(despesas_recorrentes!C:C, "&gt;="&amp;A772,despesas_recorrentes!B:B) 
+SUMIF(despesas_recorrentes!C:C, "",despesas_recorrentes!B:B)
-despesas_recorrentes!$B$12
+IF(SUMIF(gasto_cartao!E:E,saldo!B772,gasto_cartao!B:B)&gt;despesas_recorrentes!$B$12, SUMIF(gasto_cartao!E:E,saldo!B772,gasto_cartao!B:B),despesas_recorrentes!$B$12)</f>
        <v>34013</v>
      </c>
      <c r="D772" s="51">
        <f>SUM(receitas_recorrentes!B:B)+SUMIF(receitas_pontuais!E:E,B772,receitas_pontuais!B:B)</f>
        <v>56919</v>
      </c>
      <c r="E772" s="51">
        <f t="shared" si="2"/>
        <v>22906</v>
      </c>
      <c r="F772" s="53">
        <f>IFERROR(SUMIF(contas!G:G, B772, contas!B:B),0)</f>
        <v>0</v>
      </c>
      <c r="G772" s="51">
        <f>SUMIFS(previsoes!D:D, previsoes!E:E, "&lt;=" &amp; EOMONTH(DATEVALUE(B772&amp;"-01"),0), previsoes!F:F, "&gt;=" &amp; DATEVALUE(B772&amp;"-01"))</f>
        <v>0</v>
      </c>
      <c r="H772" s="52">
        <f t="shared" si="5"/>
        <v>160491.8958</v>
      </c>
      <c r="I772" s="49">
        <f t="shared" si="3"/>
        <v>22906</v>
      </c>
      <c r="J772" s="52">
        <f>IF(A772&lt;&gt;"",SUMIFS(metas!N:N, metas!E:E, "&gt;=" &amp; DATEVALUE(B772&amp;"-01"),metas!D:D, "&lt;=" &amp; DATEVALUE(B772&amp;"-01")),"")</f>
        <v>3182.813937</v>
      </c>
      <c r="K772" s="49">
        <f t="shared" si="4"/>
        <v>19723.18606</v>
      </c>
      <c r="L772" s="49">
        <f t="shared" si="6"/>
        <v>14570459.8</v>
      </c>
      <c r="M772" s="49">
        <f>IF(A772&lt;&gt;"",IF(COUNTIF(investimento!F:F, B772) &gt; 0, SUM(investimento!B:B)+I772, M771+I772),"")</f>
        <v>17443184.68</v>
      </c>
    </row>
    <row r="773" ht="22.5" customHeight="1">
      <c r="A773" s="47">
        <v>50822.0</v>
      </c>
      <c r="B773" s="48" t="str">
        <f t="shared" si="1"/>
        <v>2039-02</v>
      </c>
      <c r="C773" s="49">
        <f>SUMIF(despesas_recorrentes!C:C, "&gt;="&amp;A773,despesas_recorrentes!B:B) 
+SUMIF(despesas_recorrentes!C:C, "",despesas_recorrentes!B:B)
-despesas_recorrentes!$B$12
+IF(SUMIF(gasto_cartao!E:E,saldo!B773,gasto_cartao!B:B)&gt;despesas_recorrentes!$B$12, SUMIF(gasto_cartao!E:E,saldo!B773,gasto_cartao!B:B),despesas_recorrentes!$B$12)</f>
        <v>34013</v>
      </c>
      <c r="D773" s="51">
        <f>SUM(receitas_recorrentes!B:B)+SUMIF(receitas_pontuais!E:E,B773,receitas_pontuais!B:B)</f>
        <v>56919</v>
      </c>
      <c r="E773" s="51">
        <f t="shared" si="2"/>
        <v>22906</v>
      </c>
      <c r="F773" s="53">
        <f>IFERROR(SUMIF(contas!G:G, B773, contas!B:B),0)</f>
        <v>0</v>
      </c>
      <c r="G773" s="51">
        <f>SUMIFS(previsoes!D:D, previsoes!E:E, "&lt;=" &amp; EOMONTH(DATEVALUE(B773&amp;"-01"),0), previsoes!F:F, "&gt;=" &amp; DATEVALUE(B773&amp;"-01"))</f>
        <v>0</v>
      </c>
      <c r="H773" s="52">
        <f t="shared" si="5"/>
        <v>160491.8958</v>
      </c>
      <c r="I773" s="49">
        <f t="shared" si="3"/>
        <v>22906</v>
      </c>
      <c r="J773" s="52">
        <f>IF(A773&lt;&gt;"",SUMIFS(metas!N:N, metas!E:E, "&gt;=" &amp; DATEVALUE(B773&amp;"-01"),metas!D:D, "&lt;=" &amp; DATEVALUE(B773&amp;"-01")),"")</f>
        <v>3182.813937</v>
      </c>
      <c r="K773" s="49">
        <f t="shared" si="4"/>
        <v>19723.18606</v>
      </c>
      <c r="L773" s="49">
        <f t="shared" si="6"/>
        <v>14590182.98</v>
      </c>
      <c r="M773" s="49">
        <f>IF(A773&lt;&gt;"",IF(COUNTIF(investimento!F:F, B773) &gt; 0, SUM(investimento!B:B)+I773, M772+I773),"")</f>
        <v>17466090.68</v>
      </c>
    </row>
    <row r="774" ht="22.5" customHeight="1">
      <c r="A774" s="47">
        <v>50823.0</v>
      </c>
      <c r="B774" s="48" t="str">
        <f t="shared" si="1"/>
        <v>2039-02</v>
      </c>
      <c r="C774" s="49">
        <f>SUMIF(despesas_recorrentes!C:C, "&gt;="&amp;A774,despesas_recorrentes!B:B) 
+SUMIF(despesas_recorrentes!C:C, "",despesas_recorrentes!B:B)
-despesas_recorrentes!$B$12
+IF(SUMIF(gasto_cartao!E:E,saldo!B774,gasto_cartao!B:B)&gt;despesas_recorrentes!$B$12, SUMIF(gasto_cartao!E:E,saldo!B774,gasto_cartao!B:B),despesas_recorrentes!$B$12)</f>
        <v>34013</v>
      </c>
      <c r="D774" s="51">
        <f>SUM(receitas_recorrentes!B:B)+SUMIF(receitas_pontuais!E:E,B774,receitas_pontuais!B:B)</f>
        <v>56919</v>
      </c>
      <c r="E774" s="51">
        <f t="shared" si="2"/>
        <v>22906</v>
      </c>
      <c r="F774" s="53">
        <f>IFERROR(SUMIF(contas!G:G, B774, contas!B:B),0)</f>
        <v>0</v>
      </c>
      <c r="G774" s="51">
        <f>SUMIFS(previsoes!D:D, previsoes!E:E, "&lt;=" &amp; EOMONTH(DATEVALUE(B774&amp;"-01"),0), previsoes!F:F, "&gt;=" &amp; DATEVALUE(B774&amp;"-01"))</f>
        <v>0</v>
      </c>
      <c r="H774" s="52">
        <f t="shared" si="5"/>
        <v>160491.8958</v>
      </c>
      <c r="I774" s="49">
        <f t="shared" si="3"/>
        <v>22906</v>
      </c>
      <c r="J774" s="52">
        <f>IF(A774&lt;&gt;"",SUMIFS(metas!N:N, metas!E:E, "&gt;=" &amp; DATEVALUE(B774&amp;"-01"),metas!D:D, "&lt;=" &amp; DATEVALUE(B774&amp;"-01")),"")</f>
        <v>3182.813937</v>
      </c>
      <c r="K774" s="49">
        <f t="shared" si="4"/>
        <v>19723.18606</v>
      </c>
      <c r="L774" s="49">
        <f t="shared" si="6"/>
        <v>14609906.17</v>
      </c>
      <c r="M774" s="49">
        <f>IF(A774&lt;&gt;"",IF(COUNTIF(investimento!F:F, B774) &gt; 0, SUM(investimento!B:B)+I774, M773+I774),"")</f>
        <v>17488996.68</v>
      </c>
    </row>
    <row r="775" ht="22.5" customHeight="1">
      <c r="A775" s="47">
        <v>50824.0</v>
      </c>
      <c r="B775" s="48" t="str">
        <f t="shared" si="1"/>
        <v>2039-02</v>
      </c>
      <c r="C775" s="49">
        <f>SUMIF(despesas_recorrentes!C:C, "&gt;="&amp;A775,despesas_recorrentes!B:B) 
+SUMIF(despesas_recorrentes!C:C, "",despesas_recorrentes!B:B)
-despesas_recorrentes!$B$12
+IF(SUMIF(gasto_cartao!E:E,saldo!B775,gasto_cartao!B:B)&gt;despesas_recorrentes!$B$12, SUMIF(gasto_cartao!E:E,saldo!B775,gasto_cartao!B:B),despesas_recorrentes!$B$12)</f>
        <v>34013</v>
      </c>
      <c r="D775" s="51">
        <f>SUM(receitas_recorrentes!B:B)+SUMIF(receitas_pontuais!E:E,B775,receitas_pontuais!B:B)</f>
        <v>56919</v>
      </c>
      <c r="E775" s="51">
        <f t="shared" si="2"/>
        <v>22906</v>
      </c>
      <c r="F775" s="53">
        <f>IFERROR(SUMIF(contas!G:G, B775, contas!B:B),0)</f>
        <v>0</v>
      </c>
      <c r="G775" s="51">
        <f>SUMIFS(previsoes!D:D, previsoes!E:E, "&lt;=" &amp; EOMONTH(DATEVALUE(B775&amp;"-01"),0), previsoes!F:F, "&gt;=" &amp; DATEVALUE(B775&amp;"-01"))</f>
        <v>0</v>
      </c>
      <c r="H775" s="52">
        <f t="shared" si="5"/>
        <v>160491.8958</v>
      </c>
      <c r="I775" s="49">
        <f t="shared" si="3"/>
        <v>22906</v>
      </c>
      <c r="J775" s="52">
        <f>IF(A775&lt;&gt;"",SUMIFS(metas!N:N, metas!E:E, "&gt;=" &amp; DATEVALUE(B775&amp;"-01"),metas!D:D, "&lt;=" &amp; DATEVALUE(B775&amp;"-01")),"")</f>
        <v>3182.813937</v>
      </c>
      <c r="K775" s="49">
        <f t="shared" si="4"/>
        <v>19723.18606</v>
      </c>
      <c r="L775" s="49">
        <f t="shared" si="6"/>
        <v>14629629.36</v>
      </c>
      <c r="M775" s="49">
        <f>IF(A775&lt;&gt;"",IF(COUNTIF(investimento!F:F, B775) &gt; 0, SUM(investimento!B:B)+I775, M774+I775),"")</f>
        <v>17511902.68</v>
      </c>
    </row>
    <row r="776" ht="22.5" customHeight="1">
      <c r="A776" s="47">
        <v>50825.0</v>
      </c>
      <c r="B776" s="48" t="str">
        <f t="shared" si="1"/>
        <v>2039-02</v>
      </c>
      <c r="C776" s="49">
        <f>SUMIF(despesas_recorrentes!C:C, "&gt;="&amp;A776,despesas_recorrentes!B:B) 
+SUMIF(despesas_recorrentes!C:C, "",despesas_recorrentes!B:B)
-despesas_recorrentes!$B$12
+IF(SUMIF(gasto_cartao!E:E,saldo!B776,gasto_cartao!B:B)&gt;despesas_recorrentes!$B$12, SUMIF(gasto_cartao!E:E,saldo!B776,gasto_cartao!B:B),despesas_recorrentes!$B$12)</f>
        <v>34013</v>
      </c>
      <c r="D776" s="51">
        <f>SUM(receitas_recorrentes!B:B)+SUMIF(receitas_pontuais!E:E,B776,receitas_pontuais!B:B)</f>
        <v>56919</v>
      </c>
      <c r="E776" s="51">
        <f t="shared" si="2"/>
        <v>22906</v>
      </c>
      <c r="F776" s="53">
        <f>IFERROR(SUMIF(contas!G:G, B776, contas!B:B),0)</f>
        <v>0</v>
      </c>
      <c r="G776" s="51">
        <f>SUMIFS(previsoes!D:D, previsoes!E:E, "&lt;=" &amp; EOMONTH(DATEVALUE(B776&amp;"-01"),0), previsoes!F:F, "&gt;=" &amp; DATEVALUE(B776&amp;"-01"))</f>
        <v>0</v>
      </c>
      <c r="H776" s="52">
        <f t="shared" si="5"/>
        <v>160491.8958</v>
      </c>
      <c r="I776" s="49">
        <f t="shared" si="3"/>
        <v>22906</v>
      </c>
      <c r="J776" s="52">
        <f>IF(A776&lt;&gt;"",SUMIFS(metas!N:N, metas!E:E, "&gt;=" &amp; DATEVALUE(B776&amp;"-01"),metas!D:D, "&lt;=" &amp; DATEVALUE(B776&amp;"-01")),"")</f>
        <v>3182.813937</v>
      </c>
      <c r="K776" s="49">
        <f t="shared" si="4"/>
        <v>19723.18606</v>
      </c>
      <c r="L776" s="49">
        <f t="shared" si="6"/>
        <v>14649352.54</v>
      </c>
      <c r="M776" s="49">
        <f>IF(A776&lt;&gt;"",IF(COUNTIF(investimento!F:F, B776) &gt; 0, SUM(investimento!B:B)+I776, M775+I776),"")</f>
        <v>17534808.68</v>
      </c>
    </row>
    <row r="777" ht="22.5" customHeight="1">
      <c r="A777" s="47">
        <v>50826.0</v>
      </c>
      <c r="B777" s="48" t="str">
        <f t="shared" si="1"/>
        <v>2039-02</v>
      </c>
      <c r="C777" s="49">
        <f>SUMIF(despesas_recorrentes!C:C, "&gt;="&amp;A777,despesas_recorrentes!B:B) 
+SUMIF(despesas_recorrentes!C:C, "",despesas_recorrentes!B:B)
-despesas_recorrentes!$B$12
+IF(SUMIF(gasto_cartao!E:E,saldo!B777,gasto_cartao!B:B)&gt;despesas_recorrentes!$B$12, SUMIF(gasto_cartao!E:E,saldo!B777,gasto_cartao!B:B),despesas_recorrentes!$B$12)</f>
        <v>34013</v>
      </c>
      <c r="D777" s="51">
        <f>SUM(receitas_recorrentes!B:B)+SUMIF(receitas_pontuais!E:E,B777,receitas_pontuais!B:B)</f>
        <v>56919</v>
      </c>
      <c r="E777" s="51">
        <f t="shared" si="2"/>
        <v>22906</v>
      </c>
      <c r="F777" s="53">
        <f>IFERROR(SUMIF(contas!G:G, B777, contas!B:B),0)</f>
        <v>0</v>
      </c>
      <c r="G777" s="51">
        <f>SUMIFS(previsoes!D:D, previsoes!E:E, "&lt;=" &amp; EOMONTH(DATEVALUE(B777&amp;"-01"),0), previsoes!F:F, "&gt;=" &amp; DATEVALUE(B777&amp;"-01"))</f>
        <v>0</v>
      </c>
      <c r="H777" s="52">
        <f t="shared" si="5"/>
        <v>160491.8958</v>
      </c>
      <c r="I777" s="49">
        <f t="shared" si="3"/>
        <v>22906</v>
      </c>
      <c r="J777" s="52">
        <f>IF(A777&lt;&gt;"",SUMIFS(metas!N:N, metas!E:E, "&gt;=" &amp; DATEVALUE(B777&amp;"-01"),metas!D:D, "&lt;=" &amp; DATEVALUE(B777&amp;"-01")),"")</f>
        <v>3182.813937</v>
      </c>
      <c r="K777" s="49">
        <f t="shared" si="4"/>
        <v>19723.18606</v>
      </c>
      <c r="L777" s="49">
        <f t="shared" si="6"/>
        <v>14669075.73</v>
      </c>
      <c r="M777" s="49">
        <f>IF(A777&lt;&gt;"",IF(COUNTIF(investimento!F:F, B777) &gt; 0, SUM(investimento!B:B)+I777, M776+I777),"")</f>
        <v>17557714.68</v>
      </c>
    </row>
    <row r="778" ht="22.5" customHeight="1">
      <c r="A778" s="47">
        <v>50827.0</v>
      </c>
      <c r="B778" s="48" t="str">
        <f t="shared" si="1"/>
        <v>2039-02</v>
      </c>
      <c r="C778" s="49">
        <f>SUMIF(despesas_recorrentes!C:C, "&gt;="&amp;A778,despesas_recorrentes!B:B) 
+SUMIF(despesas_recorrentes!C:C, "",despesas_recorrentes!B:B)
-despesas_recorrentes!$B$12
+IF(SUMIF(gasto_cartao!E:E,saldo!B778,gasto_cartao!B:B)&gt;despesas_recorrentes!$B$12, SUMIF(gasto_cartao!E:E,saldo!B778,gasto_cartao!B:B),despesas_recorrentes!$B$12)</f>
        <v>34013</v>
      </c>
      <c r="D778" s="51">
        <f>SUM(receitas_recorrentes!B:B)+SUMIF(receitas_pontuais!E:E,B778,receitas_pontuais!B:B)</f>
        <v>56919</v>
      </c>
      <c r="E778" s="51">
        <f t="shared" si="2"/>
        <v>22906</v>
      </c>
      <c r="F778" s="53">
        <f>IFERROR(SUMIF(contas!G:G, B778, contas!B:B),0)</f>
        <v>0</v>
      </c>
      <c r="G778" s="51">
        <f>SUMIFS(previsoes!D:D, previsoes!E:E, "&lt;=" &amp; EOMONTH(DATEVALUE(B778&amp;"-01"),0), previsoes!F:F, "&gt;=" &amp; DATEVALUE(B778&amp;"-01"))</f>
        <v>0</v>
      </c>
      <c r="H778" s="52">
        <f t="shared" si="5"/>
        <v>160491.8958</v>
      </c>
      <c r="I778" s="49">
        <f t="shared" si="3"/>
        <v>22906</v>
      </c>
      <c r="J778" s="52">
        <f>IF(A778&lt;&gt;"",SUMIFS(metas!N:N, metas!E:E, "&gt;=" &amp; DATEVALUE(B778&amp;"-01"),metas!D:D, "&lt;=" &amp; DATEVALUE(B778&amp;"-01")),"")</f>
        <v>3182.813937</v>
      </c>
      <c r="K778" s="49">
        <f t="shared" si="4"/>
        <v>19723.18606</v>
      </c>
      <c r="L778" s="49">
        <f t="shared" si="6"/>
        <v>14688798.91</v>
      </c>
      <c r="M778" s="49">
        <f>IF(A778&lt;&gt;"",IF(COUNTIF(investimento!F:F, B778) &gt; 0, SUM(investimento!B:B)+I778, M777+I778),"")</f>
        <v>17580620.68</v>
      </c>
    </row>
    <row r="779" ht="22.5" customHeight="1">
      <c r="A779" s="47">
        <v>50828.0</v>
      </c>
      <c r="B779" s="48" t="str">
        <f t="shared" si="1"/>
        <v>2039-02</v>
      </c>
      <c r="C779" s="49">
        <f>SUMIF(despesas_recorrentes!C:C, "&gt;="&amp;A779,despesas_recorrentes!B:B) 
+SUMIF(despesas_recorrentes!C:C, "",despesas_recorrentes!B:B)
-despesas_recorrentes!$B$12
+IF(SUMIF(gasto_cartao!E:E,saldo!B779,gasto_cartao!B:B)&gt;despesas_recorrentes!$B$12, SUMIF(gasto_cartao!E:E,saldo!B779,gasto_cartao!B:B),despesas_recorrentes!$B$12)</f>
        <v>34013</v>
      </c>
      <c r="D779" s="51">
        <f>SUM(receitas_recorrentes!B:B)+SUMIF(receitas_pontuais!E:E,B779,receitas_pontuais!B:B)</f>
        <v>56919</v>
      </c>
      <c r="E779" s="51">
        <f t="shared" si="2"/>
        <v>22906</v>
      </c>
      <c r="F779" s="53">
        <f>IFERROR(SUMIF(contas!G:G, B779, contas!B:B),0)</f>
        <v>0</v>
      </c>
      <c r="G779" s="51">
        <f>SUMIFS(previsoes!D:D, previsoes!E:E, "&lt;=" &amp; EOMONTH(DATEVALUE(B779&amp;"-01"),0), previsoes!F:F, "&gt;=" &amp; DATEVALUE(B779&amp;"-01"))</f>
        <v>0</v>
      </c>
      <c r="H779" s="52">
        <f t="shared" si="5"/>
        <v>160491.8958</v>
      </c>
      <c r="I779" s="49">
        <f t="shared" si="3"/>
        <v>22906</v>
      </c>
      <c r="J779" s="52">
        <f>IF(A779&lt;&gt;"",SUMIFS(metas!N:N, metas!E:E, "&gt;=" &amp; DATEVALUE(B779&amp;"-01"),metas!D:D, "&lt;=" &amp; DATEVALUE(B779&amp;"-01")),"")</f>
        <v>3182.813937</v>
      </c>
      <c r="K779" s="49">
        <f t="shared" si="4"/>
        <v>19723.18606</v>
      </c>
      <c r="L779" s="49">
        <f t="shared" si="6"/>
        <v>14708522.1</v>
      </c>
      <c r="M779" s="49">
        <f>IF(A779&lt;&gt;"",IF(COUNTIF(investimento!F:F, B779) &gt; 0, SUM(investimento!B:B)+I779, M778+I779),"")</f>
        <v>17603526.68</v>
      </c>
    </row>
    <row r="780" ht="22.5" customHeight="1">
      <c r="A780" s="47">
        <v>50829.0</v>
      </c>
      <c r="B780" s="48" t="str">
        <f t="shared" si="1"/>
        <v>2039-02</v>
      </c>
      <c r="C780" s="49">
        <f>SUMIF(despesas_recorrentes!C:C, "&gt;="&amp;A780,despesas_recorrentes!B:B) 
+SUMIF(despesas_recorrentes!C:C, "",despesas_recorrentes!B:B)
-despesas_recorrentes!$B$12
+IF(SUMIF(gasto_cartao!E:E,saldo!B780,gasto_cartao!B:B)&gt;despesas_recorrentes!$B$12, SUMIF(gasto_cartao!E:E,saldo!B780,gasto_cartao!B:B),despesas_recorrentes!$B$12)</f>
        <v>34013</v>
      </c>
      <c r="D780" s="51">
        <f>SUM(receitas_recorrentes!B:B)+SUMIF(receitas_pontuais!E:E,B780,receitas_pontuais!B:B)</f>
        <v>56919</v>
      </c>
      <c r="E780" s="51">
        <f t="shared" si="2"/>
        <v>22906</v>
      </c>
      <c r="F780" s="53">
        <f>IFERROR(SUMIF(contas!G:G, B780, contas!B:B),0)</f>
        <v>0</v>
      </c>
      <c r="G780" s="51">
        <f>SUMIFS(previsoes!D:D, previsoes!E:E, "&lt;=" &amp; EOMONTH(DATEVALUE(B780&amp;"-01"),0), previsoes!F:F, "&gt;=" &amp; DATEVALUE(B780&amp;"-01"))</f>
        <v>0</v>
      </c>
      <c r="H780" s="52">
        <f t="shared" si="5"/>
        <v>160491.8958</v>
      </c>
      <c r="I780" s="49">
        <f t="shared" si="3"/>
        <v>22906</v>
      </c>
      <c r="J780" s="52">
        <f>IF(A780&lt;&gt;"",SUMIFS(metas!N:N, metas!E:E, "&gt;=" &amp; DATEVALUE(B780&amp;"-01"),metas!D:D, "&lt;=" &amp; DATEVALUE(B780&amp;"-01")),"")</f>
        <v>3182.813937</v>
      </c>
      <c r="K780" s="49">
        <f t="shared" si="4"/>
        <v>19723.18606</v>
      </c>
      <c r="L780" s="49">
        <f t="shared" si="6"/>
        <v>14728245.29</v>
      </c>
      <c r="M780" s="49">
        <f>IF(A780&lt;&gt;"",IF(COUNTIF(investimento!F:F, B780) &gt; 0, SUM(investimento!B:B)+I780, M779+I780),"")</f>
        <v>17626432.68</v>
      </c>
    </row>
    <row r="781" ht="22.5" customHeight="1">
      <c r="A781" s="47">
        <v>50830.0</v>
      </c>
      <c r="B781" s="48" t="str">
        <f t="shared" si="1"/>
        <v>2039-03</v>
      </c>
      <c r="C781" s="49">
        <f>SUMIF(despesas_recorrentes!C:C, "&gt;="&amp;A781,despesas_recorrentes!B:B) 
+SUMIF(despesas_recorrentes!C:C, "",despesas_recorrentes!B:B)
-despesas_recorrentes!$B$12
+IF(SUMIF(gasto_cartao!E:E,saldo!B781,gasto_cartao!B:B)&gt;despesas_recorrentes!$B$12, SUMIF(gasto_cartao!E:E,saldo!B781,gasto_cartao!B:B),despesas_recorrentes!$B$12)</f>
        <v>34013</v>
      </c>
      <c r="D781" s="51">
        <f>SUM(receitas_recorrentes!B:B)+SUMIF(receitas_pontuais!E:E,B781,receitas_pontuais!B:B)</f>
        <v>56919</v>
      </c>
      <c r="E781" s="51">
        <f t="shared" si="2"/>
        <v>22906</v>
      </c>
      <c r="F781" s="53">
        <f>IFERROR(SUMIF(contas!G:G, B781, contas!B:B),0)</f>
        <v>0</v>
      </c>
      <c r="G781" s="51">
        <f>SUMIFS(previsoes!D:D, previsoes!E:E, "&lt;=" &amp; EOMONTH(DATEVALUE(B781&amp;"-01"),0), previsoes!F:F, "&gt;=" &amp; DATEVALUE(B781&amp;"-01"))</f>
        <v>0</v>
      </c>
      <c r="H781" s="52">
        <f t="shared" si="5"/>
        <v>160491.8958</v>
      </c>
      <c r="I781" s="49">
        <f t="shared" si="3"/>
        <v>22906</v>
      </c>
      <c r="J781" s="52">
        <f>IF(A781&lt;&gt;"",SUMIFS(metas!N:N, metas!E:E, "&gt;=" &amp; DATEVALUE(B781&amp;"-01"),metas!D:D, "&lt;=" &amp; DATEVALUE(B781&amp;"-01")),"")</f>
        <v>3182.813937</v>
      </c>
      <c r="K781" s="49">
        <f t="shared" si="4"/>
        <v>19723.18606</v>
      </c>
      <c r="L781" s="49">
        <f t="shared" si="6"/>
        <v>14747968.47</v>
      </c>
      <c r="M781" s="49">
        <f>IF(A781&lt;&gt;"",IF(COUNTIF(investimento!F:F, B781) &gt; 0, SUM(investimento!B:B)+I781, M780+I781),"")</f>
        <v>17649338.68</v>
      </c>
    </row>
    <row r="782" ht="22.5" customHeight="1">
      <c r="A782" s="47">
        <v>50831.0</v>
      </c>
      <c r="B782" s="48" t="str">
        <f t="shared" si="1"/>
        <v>2039-03</v>
      </c>
      <c r="C782" s="49">
        <f>SUMIF(despesas_recorrentes!C:C, "&gt;="&amp;A782,despesas_recorrentes!B:B) 
+SUMIF(despesas_recorrentes!C:C, "",despesas_recorrentes!B:B)
-despesas_recorrentes!$B$12
+IF(SUMIF(gasto_cartao!E:E,saldo!B782,gasto_cartao!B:B)&gt;despesas_recorrentes!$B$12, SUMIF(gasto_cartao!E:E,saldo!B782,gasto_cartao!B:B),despesas_recorrentes!$B$12)</f>
        <v>34013</v>
      </c>
      <c r="D782" s="51">
        <f>SUM(receitas_recorrentes!B:B)+SUMIF(receitas_pontuais!E:E,B782,receitas_pontuais!B:B)</f>
        <v>56919</v>
      </c>
      <c r="E782" s="51">
        <f t="shared" si="2"/>
        <v>22906</v>
      </c>
      <c r="F782" s="53">
        <f>IFERROR(SUMIF(contas!G:G, B782, contas!B:B),0)</f>
        <v>0</v>
      </c>
      <c r="G782" s="51">
        <f>SUMIFS(previsoes!D:D, previsoes!E:E, "&lt;=" &amp; EOMONTH(DATEVALUE(B782&amp;"-01"),0), previsoes!F:F, "&gt;=" &amp; DATEVALUE(B782&amp;"-01"))</f>
        <v>0</v>
      </c>
      <c r="H782" s="52">
        <f t="shared" si="5"/>
        <v>160491.8958</v>
      </c>
      <c r="I782" s="49">
        <f t="shared" si="3"/>
        <v>22906</v>
      </c>
      <c r="J782" s="52">
        <f>IF(A782&lt;&gt;"",SUMIFS(metas!N:N, metas!E:E, "&gt;=" &amp; DATEVALUE(B782&amp;"-01"),metas!D:D, "&lt;=" &amp; DATEVALUE(B782&amp;"-01")),"")</f>
        <v>3182.813937</v>
      </c>
      <c r="K782" s="49">
        <f t="shared" si="4"/>
        <v>19723.18606</v>
      </c>
      <c r="L782" s="49">
        <f t="shared" si="6"/>
        <v>14767691.66</v>
      </c>
      <c r="M782" s="49">
        <f>IF(A782&lt;&gt;"",IF(COUNTIF(investimento!F:F, B782) &gt; 0, SUM(investimento!B:B)+I782, M781+I782),"")</f>
        <v>17672244.68</v>
      </c>
    </row>
    <row r="783" ht="22.5" customHeight="1">
      <c r="A783" s="47">
        <v>50832.0</v>
      </c>
      <c r="B783" s="48" t="str">
        <f t="shared" si="1"/>
        <v>2039-03</v>
      </c>
      <c r="C783" s="49">
        <f>SUMIF(despesas_recorrentes!C:C, "&gt;="&amp;A783,despesas_recorrentes!B:B) 
+SUMIF(despesas_recorrentes!C:C, "",despesas_recorrentes!B:B)
-despesas_recorrentes!$B$12
+IF(SUMIF(gasto_cartao!E:E,saldo!B783,gasto_cartao!B:B)&gt;despesas_recorrentes!$B$12, SUMIF(gasto_cartao!E:E,saldo!B783,gasto_cartao!B:B),despesas_recorrentes!$B$12)</f>
        <v>34013</v>
      </c>
      <c r="D783" s="51">
        <f>SUM(receitas_recorrentes!B:B)+SUMIF(receitas_pontuais!E:E,B783,receitas_pontuais!B:B)</f>
        <v>56919</v>
      </c>
      <c r="E783" s="51">
        <f t="shared" si="2"/>
        <v>22906</v>
      </c>
      <c r="F783" s="53">
        <f>IFERROR(SUMIF(contas!G:G, B783, contas!B:B),0)</f>
        <v>0</v>
      </c>
      <c r="G783" s="51">
        <f>SUMIFS(previsoes!D:D, previsoes!E:E, "&lt;=" &amp; EOMONTH(DATEVALUE(B783&amp;"-01"),0), previsoes!F:F, "&gt;=" &amp; DATEVALUE(B783&amp;"-01"))</f>
        <v>0</v>
      </c>
      <c r="H783" s="52">
        <f t="shared" si="5"/>
        <v>160491.8958</v>
      </c>
      <c r="I783" s="49">
        <f t="shared" si="3"/>
        <v>22906</v>
      </c>
      <c r="J783" s="52">
        <f>IF(A783&lt;&gt;"",SUMIFS(metas!N:N, metas!E:E, "&gt;=" &amp; DATEVALUE(B783&amp;"-01"),metas!D:D, "&lt;=" &amp; DATEVALUE(B783&amp;"-01")),"")</f>
        <v>3182.813937</v>
      </c>
      <c r="K783" s="49">
        <f t="shared" si="4"/>
        <v>19723.18606</v>
      </c>
      <c r="L783" s="49">
        <f t="shared" si="6"/>
        <v>14787414.84</v>
      </c>
      <c r="M783" s="49">
        <f>IF(A783&lt;&gt;"",IF(COUNTIF(investimento!F:F, B783) &gt; 0, SUM(investimento!B:B)+I783, M782+I783),"")</f>
        <v>17695150.68</v>
      </c>
    </row>
    <row r="784" ht="22.5" customHeight="1">
      <c r="A784" s="47">
        <v>50833.0</v>
      </c>
      <c r="B784" s="48" t="str">
        <f t="shared" si="1"/>
        <v>2039-03</v>
      </c>
      <c r="C784" s="49">
        <f>SUMIF(despesas_recorrentes!C:C, "&gt;="&amp;A784,despesas_recorrentes!B:B) 
+SUMIF(despesas_recorrentes!C:C, "",despesas_recorrentes!B:B)
-despesas_recorrentes!$B$12
+IF(SUMIF(gasto_cartao!E:E,saldo!B784,gasto_cartao!B:B)&gt;despesas_recorrentes!$B$12, SUMIF(gasto_cartao!E:E,saldo!B784,gasto_cartao!B:B),despesas_recorrentes!$B$12)</f>
        <v>34013</v>
      </c>
      <c r="D784" s="51">
        <f>SUM(receitas_recorrentes!B:B)+SUMIF(receitas_pontuais!E:E,B784,receitas_pontuais!B:B)</f>
        <v>56919</v>
      </c>
      <c r="E784" s="51">
        <f t="shared" si="2"/>
        <v>22906</v>
      </c>
      <c r="F784" s="53">
        <f>IFERROR(SUMIF(contas!G:G, B784, contas!B:B),0)</f>
        <v>0</v>
      </c>
      <c r="G784" s="51">
        <f>SUMIFS(previsoes!D:D, previsoes!E:E, "&lt;=" &amp; EOMONTH(DATEVALUE(B784&amp;"-01"),0), previsoes!F:F, "&gt;=" &amp; DATEVALUE(B784&amp;"-01"))</f>
        <v>0</v>
      </c>
      <c r="H784" s="52">
        <f t="shared" si="5"/>
        <v>160491.8958</v>
      </c>
      <c r="I784" s="49">
        <f t="shared" si="3"/>
        <v>22906</v>
      </c>
      <c r="J784" s="52">
        <f>IF(A784&lt;&gt;"",SUMIFS(metas!N:N, metas!E:E, "&gt;=" &amp; DATEVALUE(B784&amp;"-01"),metas!D:D, "&lt;=" &amp; DATEVALUE(B784&amp;"-01")),"")</f>
        <v>3182.813937</v>
      </c>
      <c r="K784" s="49">
        <f t="shared" si="4"/>
        <v>19723.18606</v>
      </c>
      <c r="L784" s="49">
        <f t="shared" si="6"/>
        <v>14807138.03</v>
      </c>
      <c r="M784" s="49">
        <f>IF(A784&lt;&gt;"",IF(COUNTIF(investimento!F:F, B784) &gt; 0, SUM(investimento!B:B)+I784, M783+I784),"")</f>
        <v>17718056.68</v>
      </c>
    </row>
    <row r="785" ht="22.5" customHeight="1">
      <c r="A785" s="47">
        <v>50834.0</v>
      </c>
      <c r="B785" s="48" t="str">
        <f t="shared" si="1"/>
        <v>2039-03</v>
      </c>
      <c r="C785" s="49">
        <f>SUMIF(despesas_recorrentes!C:C, "&gt;="&amp;A785,despesas_recorrentes!B:B) 
+SUMIF(despesas_recorrentes!C:C, "",despesas_recorrentes!B:B)
-despesas_recorrentes!$B$12
+IF(SUMIF(gasto_cartao!E:E,saldo!B785,gasto_cartao!B:B)&gt;despesas_recorrentes!$B$12, SUMIF(gasto_cartao!E:E,saldo!B785,gasto_cartao!B:B),despesas_recorrentes!$B$12)</f>
        <v>34013</v>
      </c>
      <c r="D785" s="51">
        <f>SUM(receitas_recorrentes!B:B)+SUMIF(receitas_pontuais!E:E,B785,receitas_pontuais!B:B)</f>
        <v>56919</v>
      </c>
      <c r="E785" s="51">
        <f t="shared" si="2"/>
        <v>22906</v>
      </c>
      <c r="F785" s="53">
        <f>IFERROR(SUMIF(contas!G:G, B785, contas!B:B),0)</f>
        <v>0</v>
      </c>
      <c r="G785" s="51">
        <f>SUMIFS(previsoes!D:D, previsoes!E:E, "&lt;=" &amp; EOMONTH(DATEVALUE(B785&amp;"-01"),0), previsoes!F:F, "&gt;=" &amp; DATEVALUE(B785&amp;"-01"))</f>
        <v>0</v>
      </c>
      <c r="H785" s="52">
        <f t="shared" si="5"/>
        <v>160491.8958</v>
      </c>
      <c r="I785" s="49">
        <f t="shared" si="3"/>
        <v>22906</v>
      </c>
      <c r="J785" s="52">
        <f>IF(A785&lt;&gt;"",SUMIFS(metas!N:N, metas!E:E, "&gt;=" &amp; DATEVALUE(B785&amp;"-01"),metas!D:D, "&lt;=" &amp; DATEVALUE(B785&amp;"-01")),"")</f>
        <v>3182.813937</v>
      </c>
      <c r="K785" s="49">
        <f t="shared" si="4"/>
        <v>19723.18606</v>
      </c>
      <c r="L785" s="49">
        <f t="shared" si="6"/>
        <v>14826861.22</v>
      </c>
      <c r="M785" s="49">
        <f>IF(A785&lt;&gt;"",IF(COUNTIF(investimento!F:F, B785) &gt; 0, SUM(investimento!B:B)+I785, M784+I785),"")</f>
        <v>17740962.68</v>
      </c>
    </row>
    <row r="786" ht="22.5" customHeight="1">
      <c r="A786" s="47">
        <v>50835.0</v>
      </c>
      <c r="B786" s="48" t="str">
        <f t="shared" si="1"/>
        <v>2039-03</v>
      </c>
      <c r="C786" s="49">
        <f>SUMIF(despesas_recorrentes!C:C, "&gt;="&amp;A786,despesas_recorrentes!B:B) 
+SUMIF(despesas_recorrentes!C:C, "",despesas_recorrentes!B:B)
-despesas_recorrentes!$B$12
+IF(SUMIF(gasto_cartao!E:E,saldo!B786,gasto_cartao!B:B)&gt;despesas_recorrentes!$B$12, SUMIF(gasto_cartao!E:E,saldo!B786,gasto_cartao!B:B),despesas_recorrentes!$B$12)</f>
        <v>34013</v>
      </c>
      <c r="D786" s="51">
        <f>SUM(receitas_recorrentes!B:B)+SUMIF(receitas_pontuais!E:E,B786,receitas_pontuais!B:B)</f>
        <v>56919</v>
      </c>
      <c r="E786" s="51">
        <f t="shared" si="2"/>
        <v>22906</v>
      </c>
      <c r="F786" s="53">
        <f>IFERROR(SUMIF(contas!G:G, B786, contas!B:B),0)</f>
        <v>0</v>
      </c>
      <c r="G786" s="51">
        <f>SUMIFS(previsoes!D:D, previsoes!E:E, "&lt;=" &amp; EOMONTH(DATEVALUE(B786&amp;"-01"),0), previsoes!F:F, "&gt;=" &amp; DATEVALUE(B786&amp;"-01"))</f>
        <v>0</v>
      </c>
      <c r="H786" s="52">
        <f t="shared" si="5"/>
        <v>160491.8958</v>
      </c>
      <c r="I786" s="49">
        <f t="shared" si="3"/>
        <v>22906</v>
      </c>
      <c r="J786" s="52">
        <f>IF(A786&lt;&gt;"",SUMIFS(metas!N:N, metas!E:E, "&gt;=" &amp; DATEVALUE(B786&amp;"-01"),metas!D:D, "&lt;=" &amp; DATEVALUE(B786&amp;"-01")),"")</f>
        <v>3182.813937</v>
      </c>
      <c r="K786" s="49">
        <f t="shared" si="4"/>
        <v>19723.18606</v>
      </c>
      <c r="L786" s="49">
        <f t="shared" si="6"/>
        <v>14846584.4</v>
      </c>
      <c r="M786" s="49">
        <f>IF(A786&lt;&gt;"",IF(COUNTIF(investimento!F:F, B786) &gt; 0, SUM(investimento!B:B)+I786, M785+I786),"")</f>
        <v>17763868.68</v>
      </c>
    </row>
    <row r="787" ht="22.5" customHeight="1">
      <c r="A787" s="47">
        <v>50836.0</v>
      </c>
      <c r="B787" s="48" t="str">
        <f t="shared" si="1"/>
        <v>2039-03</v>
      </c>
      <c r="C787" s="49">
        <f>SUMIF(despesas_recorrentes!C:C, "&gt;="&amp;A787,despesas_recorrentes!B:B) 
+SUMIF(despesas_recorrentes!C:C, "",despesas_recorrentes!B:B)
-despesas_recorrentes!$B$12
+IF(SUMIF(gasto_cartao!E:E,saldo!B787,gasto_cartao!B:B)&gt;despesas_recorrentes!$B$12, SUMIF(gasto_cartao!E:E,saldo!B787,gasto_cartao!B:B),despesas_recorrentes!$B$12)</f>
        <v>34013</v>
      </c>
      <c r="D787" s="51">
        <f>SUM(receitas_recorrentes!B:B)+SUMIF(receitas_pontuais!E:E,B787,receitas_pontuais!B:B)</f>
        <v>56919</v>
      </c>
      <c r="E787" s="51">
        <f t="shared" si="2"/>
        <v>22906</v>
      </c>
      <c r="F787" s="53">
        <f>IFERROR(SUMIF(contas!G:G, B787, contas!B:B),0)</f>
        <v>0</v>
      </c>
      <c r="G787" s="51">
        <f>SUMIFS(previsoes!D:D, previsoes!E:E, "&lt;=" &amp; EOMONTH(DATEVALUE(B787&amp;"-01"),0), previsoes!F:F, "&gt;=" &amp; DATEVALUE(B787&amp;"-01"))</f>
        <v>0</v>
      </c>
      <c r="H787" s="52">
        <f t="shared" si="5"/>
        <v>160491.8958</v>
      </c>
      <c r="I787" s="49">
        <f t="shared" si="3"/>
        <v>22906</v>
      </c>
      <c r="J787" s="52">
        <f>IF(A787&lt;&gt;"",SUMIFS(metas!N:N, metas!E:E, "&gt;=" &amp; DATEVALUE(B787&amp;"-01"),metas!D:D, "&lt;=" &amp; DATEVALUE(B787&amp;"-01")),"")</f>
        <v>3182.813937</v>
      </c>
      <c r="K787" s="49">
        <f t="shared" si="4"/>
        <v>19723.18606</v>
      </c>
      <c r="L787" s="49">
        <f t="shared" si="6"/>
        <v>14866307.59</v>
      </c>
      <c r="M787" s="49">
        <f>IF(A787&lt;&gt;"",IF(COUNTIF(investimento!F:F, B787) &gt; 0, SUM(investimento!B:B)+I787, M786+I787),"")</f>
        <v>17786774.68</v>
      </c>
    </row>
    <row r="788" ht="22.5" customHeight="1">
      <c r="A788" s="47">
        <v>50837.0</v>
      </c>
      <c r="B788" s="48" t="str">
        <f t="shared" si="1"/>
        <v>2039-03</v>
      </c>
      <c r="C788" s="49">
        <f>SUMIF(despesas_recorrentes!C:C, "&gt;="&amp;A788,despesas_recorrentes!B:B) 
+SUMIF(despesas_recorrentes!C:C, "",despesas_recorrentes!B:B)
-despesas_recorrentes!$B$12
+IF(SUMIF(gasto_cartao!E:E,saldo!B788,gasto_cartao!B:B)&gt;despesas_recorrentes!$B$12, SUMIF(gasto_cartao!E:E,saldo!B788,gasto_cartao!B:B),despesas_recorrentes!$B$12)</f>
        <v>34013</v>
      </c>
      <c r="D788" s="51">
        <f>SUM(receitas_recorrentes!B:B)+SUMIF(receitas_pontuais!E:E,B788,receitas_pontuais!B:B)</f>
        <v>56919</v>
      </c>
      <c r="E788" s="51">
        <f t="shared" si="2"/>
        <v>22906</v>
      </c>
      <c r="F788" s="53">
        <f>IFERROR(SUMIF(contas!G:G, B788, contas!B:B),0)</f>
        <v>0</v>
      </c>
      <c r="G788" s="51">
        <f>SUMIFS(previsoes!D:D, previsoes!E:E, "&lt;=" &amp; EOMONTH(DATEVALUE(B788&amp;"-01"),0), previsoes!F:F, "&gt;=" &amp; DATEVALUE(B788&amp;"-01"))</f>
        <v>0</v>
      </c>
      <c r="H788" s="52">
        <f t="shared" si="5"/>
        <v>160491.8958</v>
      </c>
      <c r="I788" s="49">
        <f t="shared" si="3"/>
        <v>22906</v>
      </c>
      <c r="J788" s="52">
        <f>IF(A788&lt;&gt;"",SUMIFS(metas!N:N, metas!E:E, "&gt;=" &amp; DATEVALUE(B788&amp;"-01"),metas!D:D, "&lt;=" &amp; DATEVALUE(B788&amp;"-01")),"")</f>
        <v>3182.813937</v>
      </c>
      <c r="K788" s="49">
        <f t="shared" si="4"/>
        <v>19723.18606</v>
      </c>
      <c r="L788" s="49">
        <f t="shared" si="6"/>
        <v>14886030.77</v>
      </c>
      <c r="M788" s="49">
        <f>IF(A788&lt;&gt;"",IF(COUNTIF(investimento!F:F, B788) &gt; 0, SUM(investimento!B:B)+I788, M787+I788),"")</f>
        <v>17809680.68</v>
      </c>
    </row>
    <row r="789" ht="22.5" customHeight="1">
      <c r="A789" s="47">
        <v>50838.0</v>
      </c>
      <c r="B789" s="48" t="str">
        <f t="shared" si="1"/>
        <v>2039-03</v>
      </c>
      <c r="C789" s="49">
        <f>SUMIF(despesas_recorrentes!C:C, "&gt;="&amp;A789,despesas_recorrentes!B:B) 
+SUMIF(despesas_recorrentes!C:C, "",despesas_recorrentes!B:B)
-despesas_recorrentes!$B$12
+IF(SUMIF(gasto_cartao!E:E,saldo!B789,gasto_cartao!B:B)&gt;despesas_recorrentes!$B$12, SUMIF(gasto_cartao!E:E,saldo!B789,gasto_cartao!B:B),despesas_recorrentes!$B$12)</f>
        <v>34013</v>
      </c>
      <c r="D789" s="51">
        <f>SUM(receitas_recorrentes!B:B)+SUMIF(receitas_pontuais!E:E,B789,receitas_pontuais!B:B)</f>
        <v>56919</v>
      </c>
      <c r="E789" s="51">
        <f t="shared" si="2"/>
        <v>22906</v>
      </c>
      <c r="F789" s="53">
        <f>IFERROR(SUMIF(contas!G:G, B789, contas!B:B),0)</f>
        <v>0</v>
      </c>
      <c r="G789" s="51">
        <f>SUMIFS(previsoes!D:D, previsoes!E:E, "&lt;=" &amp; EOMONTH(DATEVALUE(B789&amp;"-01"),0), previsoes!F:F, "&gt;=" &amp; DATEVALUE(B789&amp;"-01"))</f>
        <v>0</v>
      </c>
      <c r="H789" s="52">
        <f t="shared" si="5"/>
        <v>160491.8958</v>
      </c>
      <c r="I789" s="49">
        <f t="shared" si="3"/>
        <v>22906</v>
      </c>
      <c r="J789" s="52">
        <f>IF(A789&lt;&gt;"",SUMIFS(metas!N:N, metas!E:E, "&gt;=" &amp; DATEVALUE(B789&amp;"-01"),metas!D:D, "&lt;=" &amp; DATEVALUE(B789&amp;"-01")),"")</f>
        <v>3182.813937</v>
      </c>
      <c r="K789" s="49">
        <f t="shared" si="4"/>
        <v>19723.18606</v>
      </c>
      <c r="L789" s="49">
        <f t="shared" si="6"/>
        <v>14905753.96</v>
      </c>
      <c r="M789" s="49">
        <f>IF(A789&lt;&gt;"",IF(COUNTIF(investimento!F:F, B789) &gt; 0, SUM(investimento!B:B)+I789, M788+I789),"")</f>
        <v>17832586.68</v>
      </c>
    </row>
    <row r="790" ht="22.5" customHeight="1">
      <c r="A790" s="47">
        <v>50839.0</v>
      </c>
      <c r="B790" s="48" t="str">
        <f t="shared" si="1"/>
        <v>2039-03</v>
      </c>
      <c r="C790" s="49">
        <f>SUMIF(despesas_recorrentes!C:C, "&gt;="&amp;A790,despesas_recorrentes!B:B) 
+SUMIF(despesas_recorrentes!C:C, "",despesas_recorrentes!B:B)
-despesas_recorrentes!$B$12
+IF(SUMIF(gasto_cartao!E:E,saldo!B790,gasto_cartao!B:B)&gt;despesas_recorrentes!$B$12, SUMIF(gasto_cartao!E:E,saldo!B790,gasto_cartao!B:B),despesas_recorrentes!$B$12)</f>
        <v>34013</v>
      </c>
      <c r="D790" s="51">
        <f>SUM(receitas_recorrentes!B:B)+SUMIF(receitas_pontuais!E:E,B790,receitas_pontuais!B:B)</f>
        <v>56919</v>
      </c>
      <c r="E790" s="51">
        <f t="shared" si="2"/>
        <v>22906</v>
      </c>
      <c r="F790" s="53">
        <f>IFERROR(SUMIF(contas!G:G, B790, contas!B:B),0)</f>
        <v>0</v>
      </c>
      <c r="G790" s="51">
        <f>SUMIFS(previsoes!D:D, previsoes!E:E, "&lt;=" &amp; EOMONTH(DATEVALUE(B790&amp;"-01"),0), previsoes!F:F, "&gt;=" &amp; DATEVALUE(B790&amp;"-01"))</f>
        <v>0</v>
      </c>
      <c r="H790" s="52">
        <f t="shared" si="5"/>
        <v>160491.8958</v>
      </c>
      <c r="I790" s="49">
        <f t="shared" si="3"/>
        <v>22906</v>
      </c>
      <c r="J790" s="52">
        <f>IF(A790&lt;&gt;"",SUMIFS(metas!N:N, metas!E:E, "&gt;=" &amp; DATEVALUE(B790&amp;"-01"),metas!D:D, "&lt;=" &amp; DATEVALUE(B790&amp;"-01")),"")</f>
        <v>3182.813937</v>
      </c>
      <c r="K790" s="49">
        <f t="shared" si="4"/>
        <v>19723.18606</v>
      </c>
      <c r="L790" s="49">
        <f t="shared" si="6"/>
        <v>14925477.15</v>
      </c>
      <c r="M790" s="49">
        <f>IF(A790&lt;&gt;"",IF(COUNTIF(investimento!F:F, B790) &gt; 0, SUM(investimento!B:B)+I790, M789+I790),"")</f>
        <v>17855492.68</v>
      </c>
    </row>
    <row r="791" ht="22.5" customHeight="1">
      <c r="A791" s="47">
        <v>50840.0</v>
      </c>
      <c r="B791" s="48" t="str">
        <f t="shared" si="1"/>
        <v>2039-03</v>
      </c>
      <c r="C791" s="49">
        <f>SUMIF(despesas_recorrentes!C:C, "&gt;="&amp;A791,despesas_recorrentes!B:B) 
+SUMIF(despesas_recorrentes!C:C, "",despesas_recorrentes!B:B)
-despesas_recorrentes!$B$12
+IF(SUMIF(gasto_cartao!E:E,saldo!B791,gasto_cartao!B:B)&gt;despesas_recorrentes!$B$12, SUMIF(gasto_cartao!E:E,saldo!B791,gasto_cartao!B:B),despesas_recorrentes!$B$12)</f>
        <v>34013</v>
      </c>
      <c r="D791" s="51">
        <f>SUM(receitas_recorrentes!B:B)+SUMIF(receitas_pontuais!E:E,B791,receitas_pontuais!B:B)</f>
        <v>56919</v>
      </c>
      <c r="E791" s="51">
        <f t="shared" si="2"/>
        <v>22906</v>
      </c>
      <c r="F791" s="53">
        <f>IFERROR(SUMIF(contas!G:G, B791, contas!B:B),0)</f>
        <v>0</v>
      </c>
      <c r="G791" s="51">
        <f>SUMIFS(previsoes!D:D, previsoes!E:E, "&lt;=" &amp; EOMONTH(DATEVALUE(B791&amp;"-01"),0), previsoes!F:F, "&gt;=" &amp; DATEVALUE(B791&amp;"-01"))</f>
        <v>0</v>
      </c>
      <c r="H791" s="52">
        <f t="shared" si="5"/>
        <v>160491.8958</v>
      </c>
      <c r="I791" s="49">
        <f t="shared" si="3"/>
        <v>22906</v>
      </c>
      <c r="J791" s="52">
        <f>IF(A791&lt;&gt;"",SUMIFS(metas!N:N, metas!E:E, "&gt;=" &amp; DATEVALUE(B791&amp;"-01"),metas!D:D, "&lt;=" &amp; DATEVALUE(B791&amp;"-01")),"")</f>
        <v>3182.813937</v>
      </c>
      <c r="K791" s="49">
        <f t="shared" si="4"/>
        <v>19723.18606</v>
      </c>
      <c r="L791" s="49">
        <f t="shared" si="6"/>
        <v>14945200.33</v>
      </c>
      <c r="M791" s="49">
        <f>IF(A791&lt;&gt;"",IF(COUNTIF(investimento!F:F, B791) &gt; 0, SUM(investimento!B:B)+I791, M790+I791),"")</f>
        <v>17878398.68</v>
      </c>
    </row>
    <row r="792" ht="22.5" customHeight="1">
      <c r="A792" s="47">
        <v>50841.0</v>
      </c>
      <c r="B792" s="48" t="str">
        <f t="shared" si="1"/>
        <v>2039-03</v>
      </c>
      <c r="C792" s="49">
        <f>SUMIF(despesas_recorrentes!C:C, "&gt;="&amp;A792,despesas_recorrentes!B:B) 
+SUMIF(despesas_recorrentes!C:C, "",despesas_recorrentes!B:B)
-despesas_recorrentes!$B$12
+IF(SUMIF(gasto_cartao!E:E,saldo!B792,gasto_cartao!B:B)&gt;despesas_recorrentes!$B$12, SUMIF(gasto_cartao!E:E,saldo!B792,gasto_cartao!B:B),despesas_recorrentes!$B$12)</f>
        <v>34013</v>
      </c>
      <c r="D792" s="51">
        <f>SUM(receitas_recorrentes!B:B)+SUMIF(receitas_pontuais!E:E,B792,receitas_pontuais!B:B)</f>
        <v>56919</v>
      </c>
      <c r="E792" s="51">
        <f t="shared" si="2"/>
        <v>22906</v>
      </c>
      <c r="F792" s="53">
        <f>IFERROR(SUMIF(contas!G:G, B792, contas!B:B),0)</f>
        <v>0</v>
      </c>
      <c r="G792" s="51">
        <f>SUMIFS(previsoes!D:D, previsoes!E:E, "&lt;=" &amp; EOMONTH(DATEVALUE(B792&amp;"-01"),0), previsoes!F:F, "&gt;=" &amp; DATEVALUE(B792&amp;"-01"))</f>
        <v>0</v>
      </c>
      <c r="H792" s="52">
        <f t="shared" si="5"/>
        <v>160491.8958</v>
      </c>
      <c r="I792" s="49">
        <f t="shared" si="3"/>
        <v>22906</v>
      </c>
      <c r="J792" s="52">
        <f>IF(A792&lt;&gt;"",SUMIFS(metas!N:N, metas!E:E, "&gt;=" &amp; DATEVALUE(B792&amp;"-01"),metas!D:D, "&lt;=" &amp; DATEVALUE(B792&amp;"-01")),"")</f>
        <v>3182.813937</v>
      </c>
      <c r="K792" s="49">
        <f t="shared" si="4"/>
        <v>19723.18606</v>
      </c>
      <c r="L792" s="49">
        <f t="shared" si="6"/>
        <v>14964923.52</v>
      </c>
      <c r="M792" s="49">
        <f>IF(A792&lt;&gt;"",IF(COUNTIF(investimento!F:F, B792) &gt; 0, SUM(investimento!B:B)+I792, M791+I792),"")</f>
        <v>17901304.68</v>
      </c>
    </row>
    <row r="793" ht="22.5" customHeight="1">
      <c r="A793" s="47">
        <v>50842.0</v>
      </c>
      <c r="B793" s="48" t="str">
        <f t="shared" si="1"/>
        <v>2039-03</v>
      </c>
      <c r="C793" s="49">
        <f>SUMIF(despesas_recorrentes!C:C, "&gt;="&amp;A793,despesas_recorrentes!B:B) 
+SUMIF(despesas_recorrentes!C:C, "",despesas_recorrentes!B:B)
-despesas_recorrentes!$B$12
+IF(SUMIF(gasto_cartao!E:E,saldo!B793,gasto_cartao!B:B)&gt;despesas_recorrentes!$B$12, SUMIF(gasto_cartao!E:E,saldo!B793,gasto_cartao!B:B),despesas_recorrentes!$B$12)</f>
        <v>34013</v>
      </c>
      <c r="D793" s="51">
        <f>SUM(receitas_recorrentes!B:B)+SUMIF(receitas_pontuais!E:E,B793,receitas_pontuais!B:B)</f>
        <v>56919</v>
      </c>
      <c r="E793" s="51">
        <f t="shared" si="2"/>
        <v>22906</v>
      </c>
      <c r="F793" s="53">
        <f>IFERROR(SUMIF(contas!G:G, B793, contas!B:B),0)</f>
        <v>0</v>
      </c>
      <c r="G793" s="51">
        <f>SUMIFS(previsoes!D:D, previsoes!E:E, "&lt;=" &amp; EOMONTH(DATEVALUE(B793&amp;"-01"),0), previsoes!F:F, "&gt;=" &amp; DATEVALUE(B793&amp;"-01"))</f>
        <v>0</v>
      </c>
      <c r="H793" s="52">
        <f t="shared" si="5"/>
        <v>160491.8958</v>
      </c>
      <c r="I793" s="49">
        <f t="shared" si="3"/>
        <v>22906</v>
      </c>
      <c r="J793" s="52">
        <f>IF(A793&lt;&gt;"",SUMIFS(metas!N:N, metas!E:E, "&gt;=" &amp; DATEVALUE(B793&amp;"-01"),metas!D:D, "&lt;=" &amp; DATEVALUE(B793&amp;"-01")),"")</f>
        <v>3182.813937</v>
      </c>
      <c r="K793" s="49">
        <f t="shared" si="4"/>
        <v>19723.18606</v>
      </c>
      <c r="L793" s="49">
        <f t="shared" si="6"/>
        <v>14984646.7</v>
      </c>
      <c r="M793" s="49">
        <f>IF(A793&lt;&gt;"",IF(COUNTIF(investimento!F:F, B793) &gt; 0, SUM(investimento!B:B)+I793, M792+I793),"")</f>
        <v>17924210.68</v>
      </c>
    </row>
    <row r="794" ht="22.5" customHeight="1">
      <c r="A794" s="47">
        <v>50843.0</v>
      </c>
      <c r="B794" s="48" t="str">
        <f t="shared" si="1"/>
        <v>2039-03</v>
      </c>
      <c r="C794" s="49">
        <f>SUMIF(despesas_recorrentes!C:C, "&gt;="&amp;A794,despesas_recorrentes!B:B) 
+SUMIF(despesas_recorrentes!C:C, "",despesas_recorrentes!B:B)
-despesas_recorrentes!$B$12
+IF(SUMIF(gasto_cartao!E:E,saldo!B794,gasto_cartao!B:B)&gt;despesas_recorrentes!$B$12, SUMIF(gasto_cartao!E:E,saldo!B794,gasto_cartao!B:B),despesas_recorrentes!$B$12)</f>
        <v>34013</v>
      </c>
      <c r="D794" s="51">
        <f>SUM(receitas_recorrentes!B:B)+SUMIF(receitas_pontuais!E:E,B794,receitas_pontuais!B:B)</f>
        <v>56919</v>
      </c>
      <c r="E794" s="51">
        <f t="shared" si="2"/>
        <v>22906</v>
      </c>
      <c r="F794" s="53">
        <f>IFERROR(SUMIF(contas!G:G, B794, contas!B:B),0)</f>
        <v>0</v>
      </c>
      <c r="G794" s="51">
        <f>SUMIFS(previsoes!D:D, previsoes!E:E, "&lt;=" &amp; EOMONTH(DATEVALUE(B794&amp;"-01"),0), previsoes!F:F, "&gt;=" &amp; DATEVALUE(B794&amp;"-01"))</f>
        <v>0</v>
      </c>
      <c r="H794" s="52">
        <f t="shared" si="5"/>
        <v>160491.8958</v>
      </c>
      <c r="I794" s="49">
        <f t="shared" si="3"/>
        <v>22906</v>
      </c>
      <c r="J794" s="52">
        <f>IF(A794&lt;&gt;"",SUMIFS(metas!N:N, metas!E:E, "&gt;=" &amp; DATEVALUE(B794&amp;"-01"),metas!D:D, "&lt;=" &amp; DATEVALUE(B794&amp;"-01")),"")</f>
        <v>3182.813937</v>
      </c>
      <c r="K794" s="49">
        <f t="shared" si="4"/>
        <v>19723.18606</v>
      </c>
      <c r="L794" s="49">
        <f t="shared" si="6"/>
        <v>15004369.89</v>
      </c>
      <c r="M794" s="49">
        <f>IF(A794&lt;&gt;"",IF(COUNTIF(investimento!F:F, B794) &gt; 0, SUM(investimento!B:B)+I794, M793+I794),"")</f>
        <v>17947116.68</v>
      </c>
    </row>
    <row r="795" ht="22.5" customHeight="1">
      <c r="A795" s="47">
        <v>50844.0</v>
      </c>
      <c r="B795" s="48" t="str">
        <f t="shared" si="1"/>
        <v>2039-03</v>
      </c>
      <c r="C795" s="49">
        <f>SUMIF(despesas_recorrentes!C:C, "&gt;="&amp;A795,despesas_recorrentes!B:B) 
+SUMIF(despesas_recorrentes!C:C, "",despesas_recorrentes!B:B)
-despesas_recorrentes!$B$12
+IF(SUMIF(gasto_cartao!E:E,saldo!B795,gasto_cartao!B:B)&gt;despesas_recorrentes!$B$12, SUMIF(gasto_cartao!E:E,saldo!B795,gasto_cartao!B:B),despesas_recorrentes!$B$12)</f>
        <v>34013</v>
      </c>
      <c r="D795" s="51">
        <f>SUM(receitas_recorrentes!B:B)+SUMIF(receitas_pontuais!E:E,B795,receitas_pontuais!B:B)</f>
        <v>56919</v>
      </c>
      <c r="E795" s="51">
        <f t="shared" si="2"/>
        <v>22906</v>
      </c>
      <c r="F795" s="53">
        <f>IFERROR(SUMIF(contas!G:G, B795, contas!B:B),0)</f>
        <v>0</v>
      </c>
      <c r="G795" s="51">
        <f>SUMIFS(previsoes!D:D, previsoes!E:E, "&lt;=" &amp; EOMONTH(DATEVALUE(B795&amp;"-01"),0), previsoes!F:F, "&gt;=" &amp; DATEVALUE(B795&amp;"-01"))</f>
        <v>0</v>
      </c>
      <c r="H795" s="52">
        <f t="shared" si="5"/>
        <v>160491.8958</v>
      </c>
      <c r="I795" s="49">
        <f t="shared" si="3"/>
        <v>22906</v>
      </c>
      <c r="J795" s="52">
        <f>IF(A795&lt;&gt;"",SUMIFS(metas!N:N, metas!E:E, "&gt;=" &amp; DATEVALUE(B795&amp;"-01"),metas!D:D, "&lt;=" &amp; DATEVALUE(B795&amp;"-01")),"")</f>
        <v>3182.813937</v>
      </c>
      <c r="K795" s="49">
        <f t="shared" si="4"/>
        <v>19723.18606</v>
      </c>
      <c r="L795" s="49">
        <f t="shared" si="6"/>
        <v>15024093.08</v>
      </c>
      <c r="M795" s="49">
        <f>IF(A795&lt;&gt;"",IF(COUNTIF(investimento!F:F, B795) &gt; 0, SUM(investimento!B:B)+I795, M794+I795),"")</f>
        <v>17970022.68</v>
      </c>
    </row>
    <row r="796" ht="22.5" customHeight="1">
      <c r="A796" s="47">
        <v>50845.0</v>
      </c>
      <c r="B796" s="48" t="str">
        <f t="shared" si="1"/>
        <v>2039-03</v>
      </c>
      <c r="C796" s="49">
        <f>SUMIF(despesas_recorrentes!C:C, "&gt;="&amp;A796,despesas_recorrentes!B:B) 
+SUMIF(despesas_recorrentes!C:C, "",despesas_recorrentes!B:B)
-despesas_recorrentes!$B$12
+IF(SUMIF(gasto_cartao!E:E,saldo!B796,gasto_cartao!B:B)&gt;despesas_recorrentes!$B$12, SUMIF(gasto_cartao!E:E,saldo!B796,gasto_cartao!B:B),despesas_recorrentes!$B$12)</f>
        <v>34013</v>
      </c>
      <c r="D796" s="51">
        <f>SUM(receitas_recorrentes!B:B)+SUMIF(receitas_pontuais!E:E,B796,receitas_pontuais!B:B)</f>
        <v>56919</v>
      </c>
      <c r="E796" s="51">
        <f t="shared" si="2"/>
        <v>22906</v>
      </c>
      <c r="F796" s="53">
        <f>IFERROR(SUMIF(contas!G:G, B796, contas!B:B),0)</f>
        <v>0</v>
      </c>
      <c r="G796" s="51">
        <f>SUMIFS(previsoes!D:D, previsoes!E:E, "&lt;=" &amp; EOMONTH(DATEVALUE(B796&amp;"-01"),0), previsoes!F:F, "&gt;=" &amp; DATEVALUE(B796&amp;"-01"))</f>
        <v>0</v>
      </c>
      <c r="H796" s="52">
        <f t="shared" si="5"/>
        <v>160491.8958</v>
      </c>
      <c r="I796" s="49">
        <f t="shared" si="3"/>
        <v>22906</v>
      </c>
      <c r="J796" s="52">
        <f>IF(A796&lt;&gt;"",SUMIFS(metas!N:N, metas!E:E, "&gt;=" &amp; DATEVALUE(B796&amp;"-01"),metas!D:D, "&lt;=" &amp; DATEVALUE(B796&amp;"-01")),"")</f>
        <v>3182.813937</v>
      </c>
      <c r="K796" s="49">
        <f t="shared" si="4"/>
        <v>19723.18606</v>
      </c>
      <c r="L796" s="49">
        <f t="shared" si="6"/>
        <v>15043816.26</v>
      </c>
      <c r="M796" s="49">
        <f>IF(A796&lt;&gt;"",IF(COUNTIF(investimento!F:F, B796) &gt; 0, SUM(investimento!B:B)+I796, M795+I796),"")</f>
        <v>17992928.68</v>
      </c>
    </row>
    <row r="797" ht="22.5" customHeight="1">
      <c r="A797" s="47">
        <v>50846.0</v>
      </c>
      <c r="B797" s="48" t="str">
        <f t="shared" si="1"/>
        <v>2039-03</v>
      </c>
      <c r="C797" s="49">
        <f>SUMIF(despesas_recorrentes!C:C, "&gt;="&amp;A797,despesas_recorrentes!B:B) 
+SUMIF(despesas_recorrentes!C:C, "",despesas_recorrentes!B:B)
-despesas_recorrentes!$B$12
+IF(SUMIF(gasto_cartao!E:E,saldo!B797,gasto_cartao!B:B)&gt;despesas_recorrentes!$B$12, SUMIF(gasto_cartao!E:E,saldo!B797,gasto_cartao!B:B),despesas_recorrentes!$B$12)</f>
        <v>34013</v>
      </c>
      <c r="D797" s="51">
        <f>SUM(receitas_recorrentes!B:B)+SUMIF(receitas_pontuais!E:E,B797,receitas_pontuais!B:B)</f>
        <v>56919</v>
      </c>
      <c r="E797" s="51">
        <f t="shared" si="2"/>
        <v>22906</v>
      </c>
      <c r="F797" s="53">
        <f>IFERROR(SUMIF(contas!G:G, B797, contas!B:B),0)</f>
        <v>0</v>
      </c>
      <c r="G797" s="51">
        <f>SUMIFS(previsoes!D:D, previsoes!E:E, "&lt;=" &amp; EOMONTH(DATEVALUE(B797&amp;"-01"),0), previsoes!F:F, "&gt;=" &amp; DATEVALUE(B797&amp;"-01"))</f>
        <v>0</v>
      </c>
      <c r="H797" s="52">
        <f t="shared" si="5"/>
        <v>160491.8958</v>
      </c>
      <c r="I797" s="49">
        <f t="shared" si="3"/>
        <v>22906</v>
      </c>
      <c r="J797" s="52">
        <f>IF(A797&lt;&gt;"",SUMIFS(metas!N:N, metas!E:E, "&gt;=" &amp; DATEVALUE(B797&amp;"-01"),metas!D:D, "&lt;=" &amp; DATEVALUE(B797&amp;"-01")),"")</f>
        <v>3182.813937</v>
      </c>
      <c r="K797" s="49">
        <f t="shared" si="4"/>
        <v>19723.18606</v>
      </c>
      <c r="L797" s="49">
        <f t="shared" si="6"/>
        <v>15063539.45</v>
      </c>
      <c r="M797" s="49">
        <f>IF(A797&lt;&gt;"",IF(COUNTIF(investimento!F:F, B797) &gt; 0, SUM(investimento!B:B)+I797, M796+I797),"")</f>
        <v>18015834.68</v>
      </c>
    </row>
    <row r="798" ht="22.5" customHeight="1">
      <c r="A798" s="47">
        <v>50847.0</v>
      </c>
      <c r="B798" s="48" t="str">
        <f t="shared" si="1"/>
        <v>2039-03</v>
      </c>
      <c r="C798" s="49">
        <f>SUMIF(despesas_recorrentes!C:C, "&gt;="&amp;A798,despesas_recorrentes!B:B) 
+SUMIF(despesas_recorrentes!C:C, "",despesas_recorrentes!B:B)
-despesas_recorrentes!$B$12
+IF(SUMIF(gasto_cartao!E:E,saldo!B798,gasto_cartao!B:B)&gt;despesas_recorrentes!$B$12, SUMIF(gasto_cartao!E:E,saldo!B798,gasto_cartao!B:B),despesas_recorrentes!$B$12)</f>
        <v>34013</v>
      </c>
      <c r="D798" s="51">
        <f>SUM(receitas_recorrentes!B:B)+SUMIF(receitas_pontuais!E:E,B798,receitas_pontuais!B:B)</f>
        <v>56919</v>
      </c>
      <c r="E798" s="51">
        <f t="shared" si="2"/>
        <v>22906</v>
      </c>
      <c r="F798" s="53">
        <f>IFERROR(SUMIF(contas!G:G, B798, contas!B:B),0)</f>
        <v>0</v>
      </c>
      <c r="G798" s="51">
        <f>SUMIFS(previsoes!D:D, previsoes!E:E, "&lt;=" &amp; EOMONTH(DATEVALUE(B798&amp;"-01"),0), previsoes!F:F, "&gt;=" &amp; DATEVALUE(B798&amp;"-01"))</f>
        <v>0</v>
      </c>
      <c r="H798" s="52">
        <f t="shared" si="5"/>
        <v>160491.8958</v>
      </c>
      <c r="I798" s="49">
        <f t="shared" si="3"/>
        <v>22906</v>
      </c>
      <c r="J798" s="52">
        <f>IF(A798&lt;&gt;"",SUMIFS(metas!N:N, metas!E:E, "&gt;=" &amp; DATEVALUE(B798&amp;"-01"),metas!D:D, "&lt;=" &amp; DATEVALUE(B798&amp;"-01")),"")</f>
        <v>3182.813937</v>
      </c>
      <c r="K798" s="49">
        <f t="shared" si="4"/>
        <v>19723.18606</v>
      </c>
      <c r="L798" s="49">
        <f t="shared" si="6"/>
        <v>15083262.63</v>
      </c>
      <c r="M798" s="49">
        <f>IF(A798&lt;&gt;"",IF(COUNTIF(investimento!F:F, B798) &gt; 0, SUM(investimento!B:B)+I798, M797+I798),"")</f>
        <v>18038740.68</v>
      </c>
    </row>
    <row r="799" ht="22.5" customHeight="1">
      <c r="A799" s="47">
        <v>50848.0</v>
      </c>
      <c r="B799" s="48" t="str">
        <f t="shared" si="1"/>
        <v>2039-03</v>
      </c>
      <c r="C799" s="49">
        <f>SUMIF(despesas_recorrentes!C:C, "&gt;="&amp;A799,despesas_recorrentes!B:B) 
+SUMIF(despesas_recorrentes!C:C, "",despesas_recorrentes!B:B)
-despesas_recorrentes!$B$12
+IF(SUMIF(gasto_cartao!E:E,saldo!B799,gasto_cartao!B:B)&gt;despesas_recorrentes!$B$12, SUMIF(gasto_cartao!E:E,saldo!B799,gasto_cartao!B:B),despesas_recorrentes!$B$12)</f>
        <v>34013</v>
      </c>
      <c r="D799" s="51">
        <f>SUM(receitas_recorrentes!B:B)+SUMIF(receitas_pontuais!E:E,B799,receitas_pontuais!B:B)</f>
        <v>56919</v>
      </c>
      <c r="E799" s="51">
        <f t="shared" si="2"/>
        <v>22906</v>
      </c>
      <c r="F799" s="53">
        <f>IFERROR(SUMIF(contas!G:G, B799, contas!B:B),0)</f>
        <v>0</v>
      </c>
      <c r="G799" s="51">
        <f>SUMIFS(previsoes!D:D, previsoes!E:E, "&lt;=" &amp; EOMONTH(DATEVALUE(B799&amp;"-01"),0), previsoes!F:F, "&gt;=" &amp; DATEVALUE(B799&amp;"-01"))</f>
        <v>0</v>
      </c>
      <c r="H799" s="52">
        <f t="shared" si="5"/>
        <v>160491.8958</v>
      </c>
      <c r="I799" s="49">
        <f t="shared" si="3"/>
        <v>22906</v>
      </c>
      <c r="J799" s="52">
        <f>IF(A799&lt;&gt;"",SUMIFS(metas!N:N, metas!E:E, "&gt;=" &amp; DATEVALUE(B799&amp;"-01"),metas!D:D, "&lt;=" &amp; DATEVALUE(B799&amp;"-01")),"")</f>
        <v>3182.813937</v>
      </c>
      <c r="K799" s="49">
        <f t="shared" si="4"/>
        <v>19723.18606</v>
      </c>
      <c r="L799" s="49">
        <f t="shared" si="6"/>
        <v>15102985.82</v>
      </c>
      <c r="M799" s="49">
        <f>IF(A799&lt;&gt;"",IF(COUNTIF(investimento!F:F, B799) &gt; 0, SUM(investimento!B:B)+I799, M798+I799),"")</f>
        <v>18061646.68</v>
      </c>
    </row>
    <row r="800" ht="22.5" customHeight="1">
      <c r="A800" s="47">
        <v>50849.0</v>
      </c>
      <c r="B800" s="48" t="str">
        <f t="shared" si="1"/>
        <v>2039-03</v>
      </c>
      <c r="C800" s="49">
        <f>SUMIF(despesas_recorrentes!C:C, "&gt;="&amp;A800,despesas_recorrentes!B:B) 
+SUMIF(despesas_recorrentes!C:C, "",despesas_recorrentes!B:B)
-despesas_recorrentes!$B$12
+IF(SUMIF(gasto_cartao!E:E,saldo!B800,gasto_cartao!B:B)&gt;despesas_recorrentes!$B$12, SUMIF(gasto_cartao!E:E,saldo!B800,gasto_cartao!B:B),despesas_recorrentes!$B$12)</f>
        <v>34013</v>
      </c>
      <c r="D800" s="51">
        <f>SUM(receitas_recorrentes!B:B)+SUMIF(receitas_pontuais!E:E,B800,receitas_pontuais!B:B)</f>
        <v>56919</v>
      </c>
      <c r="E800" s="51">
        <f t="shared" si="2"/>
        <v>22906</v>
      </c>
      <c r="F800" s="53">
        <f>IFERROR(SUMIF(contas!G:G, B800, contas!B:B),0)</f>
        <v>0</v>
      </c>
      <c r="G800" s="51">
        <f>SUMIFS(previsoes!D:D, previsoes!E:E, "&lt;=" &amp; EOMONTH(DATEVALUE(B800&amp;"-01"),0), previsoes!F:F, "&gt;=" &amp; DATEVALUE(B800&amp;"-01"))</f>
        <v>0</v>
      </c>
      <c r="H800" s="52">
        <f t="shared" si="5"/>
        <v>160491.8958</v>
      </c>
      <c r="I800" s="49">
        <f t="shared" si="3"/>
        <v>22906</v>
      </c>
      <c r="J800" s="52">
        <f>IF(A800&lt;&gt;"",SUMIFS(metas!N:N, metas!E:E, "&gt;=" &amp; DATEVALUE(B800&amp;"-01"),metas!D:D, "&lt;=" &amp; DATEVALUE(B800&amp;"-01")),"")</f>
        <v>3182.813937</v>
      </c>
      <c r="K800" s="49">
        <f t="shared" si="4"/>
        <v>19723.18606</v>
      </c>
      <c r="L800" s="49">
        <f t="shared" si="6"/>
        <v>15122709.01</v>
      </c>
      <c r="M800" s="49">
        <f>IF(A800&lt;&gt;"",IF(COUNTIF(investimento!F:F, B800) &gt; 0, SUM(investimento!B:B)+I800, M799+I800),"")</f>
        <v>18084552.68</v>
      </c>
    </row>
    <row r="801" ht="22.5" customHeight="1">
      <c r="A801" s="47">
        <v>50850.0</v>
      </c>
      <c r="B801" s="48" t="str">
        <f t="shared" si="1"/>
        <v>2039-03</v>
      </c>
      <c r="C801" s="49">
        <f>SUMIF(despesas_recorrentes!C:C, "&gt;="&amp;A801,despesas_recorrentes!B:B) 
+SUMIF(despesas_recorrentes!C:C, "",despesas_recorrentes!B:B)
-despesas_recorrentes!$B$12
+IF(SUMIF(gasto_cartao!E:E,saldo!B801,gasto_cartao!B:B)&gt;despesas_recorrentes!$B$12, SUMIF(gasto_cartao!E:E,saldo!B801,gasto_cartao!B:B),despesas_recorrentes!$B$12)</f>
        <v>34013</v>
      </c>
      <c r="D801" s="51">
        <f>SUM(receitas_recorrentes!B:B)+SUMIF(receitas_pontuais!E:E,B801,receitas_pontuais!B:B)</f>
        <v>56919</v>
      </c>
      <c r="E801" s="51">
        <f t="shared" si="2"/>
        <v>22906</v>
      </c>
      <c r="F801" s="53">
        <f>IFERROR(SUMIF(contas!G:G, B801, contas!B:B),0)</f>
        <v>0</v>
      </c>
      <c r="G801" s="51">
        <f>SUMIFS(previsoes!D:D, previsoes!E:E, "&lt;=" &amp; EOMONTH(DATEVALUE(B801&amp;"-01"),0), previsoes!F:F, "&gt;=" &amp; DATEVALUE(B801&amp;"-01"))</f>
        <v>0</v>
      </c>
      <c r="H801" s="52">
        <f t="shared" si="5"/>
        <v>160491.8958</v>
      </c>
      <c r="I801" s="49">
        <f t="shared" si="3"/>
        <v>22906</v>
      </c>
      <c r="J801" s="52">
        <f>IF(A801&lt;&gt;"",SUMIFS(metas!N:N, metas!E:E, "&gt;=" &amp; DATEVALUE(B801&amp;"-01"),metas!D:D, "&lt;=" &amp; DATEVALUE(B801&amp;"-01")),"")</f>
        <v>3182.813937</v>
      </c>
      <c r="K801" s="49">
        <f t="shared" si="4"/>
        <v>19723.18606</v>
      </c>
      <c r="L801" s="49">
        <f t="shared" si="6"/>
        <v>15142432.19</v>
      </c>
      <c r="M801" s="49">
        <f>IF(A801&lt;&gt;"",IF(COUNTIF(investimento!F:F, B801) &gt; 0, SUM(investimento!B:B)+I801, M800+I801),"")</f>
        <v>18107458.68</v>
      </c>
    </row>
    <row r="802" ht="22.5" customHeight="1">
      <c r="A802" s="47">
        <v>50851.0</v>
      </c>
      <c r="B802" s="48" t="str">
        <f t="shared" si="1"/>
        <v>2039-03</v>
      </c>
      <c r="C802" s="49">
        <f>SUMIF(despesas_recorrentes!C:C, "&gt;="&amp;A802,despesas_recorrentes!B:B) 
+SUMIF(despesas_recorrentes!C:C, "",despesas_recorrentes!B:B)
-despesas_recorrentes!$B$12
+IF(SUMIF(gasto_cartao!E:E,saldo!B802,gasto_cartao!B:B)&gt;despesas_recorrentes!$B$12, SUMIF(gasto_cartao!E:E,saldo!B802,gasto_cartao!B:B),despesas_recorrentes!$B$12)</f>
        <v>34013</v>
      </c>
      <c r="D802" s="51">
        <f>SUM(receitas_recorrentes!B:B)+SUMIF(receitas_pontuais!E:E,B802,receitas_pontuais!B:B)</f>
        <v>56919</v>
      </c>
      <c r="E802" s="51">
        <f t="shared" si="2"/>
        <v>22906</v>
      </c>
      <c r="F802" s="53">
        <f>IFERROR(SUMIF(contas!G:G, B802, contas!B:B),0)</f>
        <v>0</v>
      </c>
      <c r="G802" s="51">
        <f>SUMIFS(previsoes!D:D, previsoes!E:E, "&lt;=" &amp; EOMONTH(DATEVALUE(B802&amp;"-01"),0), previsoes!F:F, "&gt;=" &amp; DATEVALUE(B802&amp;"-01"))</f>
        <v>0</v>
      </c>
      <c r="H802" s="52">
        <f t="shared" si="5"/>
        <v>160491.8958</v>
      </c>
      <c r="I802" s="49">
        <f t="shared" si="3"/>
        <v>22906</v>
      </c>
      <c r="J802" s="52">
        <f>IF(A802&lt;&gt;"",SUMIFS(metas!N:N, metas!E:E, "&gt;=" &amp; DATEVALUE(B802&amp;"-01"),metas!D:D, "&lt;=" &amp; DATEVALUE(B802&amp;"-01")),"")</f>
        <v>3182.813937</v>
      </c>
      <c r="K802" s="49">
        <f t="shared" si="4"/>
        <v>19723.18606</v>
      </c>
      <c r="L802" s="49">
        <f t="shared" si="6"/>
        <v>15162155.38</v>
      </c>
      <c r="M802" s="49">
        <f>IF(A802&lt;&gt;"",IF(COUNTIF(investimento!F:F, B802) &gt; 0, SUM(investimento!B:B)+I802, M801+I802),"")</f>
        <v>18130364.68</v>
      </c>
    </row>
    <row r="803" ht="22.5" customHeight="1">
      <c r="A803" s="47">
        <v>50852.0</v>
      </c>
      <c r="B803" s="48" t="str">
        <f t="shared" si="1"/>
        <v>2039-03</v>
      </c>
      <c r="C803" s="49">
        <f>SUMIF(despesas_recorrentes!C:C, "&gt;="&amp;A803,despesas_recorrentes!B:B) 
+SUMIF(despesas_recorrentes!C:C, "",despesas_recorrentes!B:B)
-despesas_recorrentes!$B$12
+IF(SUMIF(gasto_cartao!E:E,saldo!B803,gasto_cartao!B:B)&gt;despesas_recorrentes!$B$12, SUMIF(gasto_cartao!E:E,saldo!B803,gasto_cartao!B:B),despesas_recorrentes!$B$12)</f>
        <v>34013</v>
      </c>
      <c r="D803" s="51">
        <f>SUM(receitas_recorrentes!B:B)+SUMIF(receitas_pontuais!E:E,B803,receitas_pontuais!B:B)</f>
        <v>56919</v>
      </c>
      <c r="E803" s="51">
        <f t="shared" si="2"/>
        <v>22906</v>
      </c>
      <c r="F803" s="53">
        <f>IFERROR(SUMIF(contas!G:G, B803, contas!B:B),0)</f>
        <v>0</v>
      </c>
      <c r="G803" s="51">
        <f>SUMIFS(previsoes!D:D, previsoes!E:E, "&lt;=" &amp; EOMONTH(DATEVALUE(B803&amp;"-01"),0), previsoes!F:F, "&gt;=" &amp; DATEVALUE(B803&amp;"-01"))</f>
        <v>0</v>
      </c>
      <c r="H803" s="52">
        <f t="shared" si="5"/>
        <v>160491.8958</v>
      </c>
      <c r="I803" s="49">
        <f t="shared" si="3"/>
        <v>22906</v>
      </c>
      <c r="J803" s="52">
        <f>IF(A803&lt;&gt;"",SUMIFS(metas!N:N, metas!E:E, "&gt;=" &amp; DATEVALUE(B803&amp;"-01"),metas!D:D, "&lt;=" &amp; DATEVALUE(B803&amp;"-01")),"")</f>
        <v>3182.813937</v>
      </c>
      <c r="K803" s="49">
        <f t="shared" si="4"/>
        <v>19723.18606</v>
      </c>
      <c r="L803" s="49">
        <f t="shared" si="6"/>
        <v>15181878.57</v>
      </c>
      <c r="M803" s="49">
        <f>IF(A803&lt;&gt;"",IF(COUNTIF(investimento!F:F, B803) &gt; 0, SUM(investimento!B:B)+I803, M802+I803),"")</f>
        <v>18153270.68</v>
      </c>
    </row>
    <row r="804" ht="22.5" customHeight="1">
      <c r="A804" s="47">
        <v>50853.0</v>
      </c>
      <c r="B804" s="48" t="str">
        <f t="shared" si="1"/>
        <v>2039-03</v>
      </c>
      <c r="C804" s="49">
        <f>SUMIF(despesas_recorrentes!C:C, "&gt;="&amp;A804,despesas_recorrentes!B:B) 
+SUMIF(despesas_recorrentes!C:C, "",despesas_recorrentes!B:B)
-despesas_recorrentes!$B$12
+IF(SUMIF(gasto_cartao!E:E,saldo!B804,gasto_cartao!B:B)&gt;despesas_recorrentes!$B$12, SUMIF(gasto_cartao!E:E,saldo!B804,gasto_cartao!B:B),despesas_recorrentes!$B$12)</f>
        <v>34013</v>
      </c>
      <c r="D804" s="51">
        <f>SUM(receitas_recorrentes!B:B)+SUMIF(receitas_pontuais!E:E,B804,receitas_pontuais!B:B)</f>
        <v>56919</v>
      </c>
      <c r="E804" s="51">
        <f t="shared" si="2"/>
        <v>22906</v>
      </c>
      <c r="F804" s="53">
        <f>IFERROR(SUMIF(contas!G:G, B804, contas!B:B),0)</f>
        <v>0</v>
      </c>
      <c r="G804" s="51">
        <f>SUMIFS(previsoes!D:D, previsoes!E:E, "&lt;=" &amp; EOMONTH(DATEVALUE(B804&amp;"-01"),0), previsoes!F:F, "&gt;=" &amp; DATEVALUE(B804&amp;"-01"))</f>
        <v>0</v>
      </c>
      <c r="H804" s="52">
        <f t="shared" si="5"/>
        <v>160491.8958</v>
      </c>
      <c r="I804" s="49">
        <f t="shared" si="3"/>
        <v>22906</v>
      </c>
      <c r="J804" s="52">
        <f>IF(A804&lt;&gt;"",SUMIFS(metas!N:N, metas!E:E, "&gt;=" &amp; DATEVALUE(B804&amp;"-01"),metas!D:D, "&lt;=" &amp; DATEVALUE(B804&amp;"-01")),"")</f>
        <v>3182.813937</v>
      </c>
      <c r="K804" s="49">
        <f t="shared" si="4"/>
        <v>19723.18606</v>
      </c>
      <c r="L804" s="49">
        <f t="shared" si="6"/>
        <v>15201601.75</v>
      </c>
      <c r="M804" s="49">
        <f>IF(A804&lt;&gt;"",IF(COUNTIF(investimento!F:F, B804) &gt; 0, SUM(investimento!B:B)+I804, M803+I804),"")</f>
        <v>18176176.68</v>
      </c>
    </row>
    <row r="805" ht="22.5" customHeight="1">
      <c r="A805" s="47">
        <v>50854.0</v>
      </c>
      <c r="B805" s="48" t="str">
        <f t="shared" si="1"/>
        <v>2039-03</v>
      </c>
      <c r="C805" s="49">
        <f>SUMIF(despesas_recorrentes!C:C, "&gt;="&amp;A805,despesas_recorrentes!B:B) 
+SUMIF(despesas_recorrentes!C:C, "",despesas_recorrentes!B:B)
-despesas_recorrentes!$B$12
+IF(SUMIF(gasto_cartao!E:E,saldo!B805,gasto_cartao!B:B)&gt;despesas_recorrentes!$B$12, SUMIF(gasto_cartao!E:E,saldo!B805,gasto_cartao!B:B),despesas_recorrentes!$B$12)</f>
        <v>34013</v>
      </c>
      <c r="D805" s="51">
        <f>SUM(receitas_recorrentes!B:B)+SUMIF(receitas_pontuais!E:E,B805,receitas_pontuais!B:B)</f>
        <v>56919</v>
      </c>
      <c r="E805" s="51">
        <f t="shared" si="2"/>
        <v>22906</v>
      </c>
      <c r="F805" s="53">
        <f>IFERROR(SUMIF(contas!G:G, B805, contas!B:B),0)</f>
        <v>0</v>
      </c>
      <c r="G805" s="51">
        <f>SUMIFS(previsoes!D:D, previsoes!E:E, "&lt;=" &amp; EOMONTH(DATEVALUE(B805&amp;"-01"),0), previsoes!F:F, "&gt;=" &amp; DATEVALUE(B805&amp;"-01"))</f>
        <v>0</v>
      </c>
      <c r="H805" s="52">
        <f t="shared" si="5"/>
        <v>160491.8958</v>
      </c>
      <c r="I805" s="49">
        <f t="shared" si="3"/>
        <v>22906</v>
      </c>
      <c r="J805" s="52">
        <f>IF(A805&lt;&gt;"",SUMIFS(metas!N:N, metas!E:E, "&gt;=" &amp; DATEVALUE(B805&amp;"-01"),metas!D:D, "&lt;=" &amp; DATEVALUE(B805&amp;"-01")),"")</f>
        <v>3182.813937</v>
      </c>
      <c r="K805" s="49">
        <f t="shared" si="4"/>
        <v>19723.18606</v>
      </c>
      <c r="L805" s="49">
        <f t="shared" si="6"/>
        <v>15221324.94</v>
      </c>
      <c r="M805" s="49">
        <f>IF(A805&lt;&gt;"",IF(COUNTIF(investimento!F:F, B805) &gt; 0, SUM(investimento!B:B)+I805, M804+I805),"")</f>
        <v>18199082.68</v>
      </c>
    </row>
    <row r="806" ht="22.5" customHeight="1">
      <c r="A806" s="47">
        <v>50855.0</v>
      </c>
      <c r="B806" s="48" t="str">
        <f t="shared" si="1"/>
        <v>2039-03</v>
      </c>
      <c r="C806" s="49">
        <f>SUMIF(despesas_recorrentes!C:C, "&gt;="&amp;A806,despesas_recorrentes!B:B) 
+SUMIF(despesas_recorrentes!C:C, "",despesas_recorrentes!B:B)
-despesas_recorrentes!$B$12
+IF(SUMIF(gasto_cartao!E:E,saldo!B806,gasto_cartao!B:B)&gt;despesas_recorrentes!$B$12, SUMIF(gasto_cartao!E:E,saldo!B806,gasto_cartao!B:B),despesas_recorrentes!$B$12)</f>
        <v>34013</v>
      </c>
      <c r="D806" s="51">
        <f>SUM(receitas_recorrentes!B:B)+SUMIF(receitas_pontuais!E:E,B806,receitas_pontuais!B:B)</f>
        <v>56919</v>
      </c>
      <c r="E806" s="51">
        <f t="shared" si="2"/>
        <v>22906</v>
      </c>
      <c r="F806" s="53">
        <f>IFERROR(SUMIF(contas!G:G, B806, contas!B:B),0)</f>
        <v>0</v>
      </c>
      <c r="G806" s="51">
        <f>SUMIFS(previsoes!D:D, previsoes!E:E, "&lt;=" &amp; EOMONTH(DATEVALUE(B806&amp;"-01"),0), previsoes!F:F, "&gt;=" &amp; DATEVALUE(B806&amp;"-01"))</f>
        <v>0</v>
      </c>
      <c r="H806" s="52">
        <f t="shared" si="5"/>
        <v>160491.8958</v>
      </c>
      <c r="I806" s="49">
        <f t="shared" si="3"/>
        <v>22906</v>
      </c>
      <c r="J806" s="52">
        <f>IF(A806&lt;&gt;"",SUMIFS(metas!N:N, metas!E:E, "&gt;=" &amp; DATEVALUE(B806&amp;"-01"),metas!D:D, "&lt;=" &amp; DATEVALUE(B806&amp;"-01")),"")</f>
        <v>3182.813937</v>
      </c>
      <c r="K806" s="49">
        <f t="shared" si="4"/>
        <v>19723.18606</v>
      </c>
      <c r="L806" s="49">
        <f t="shared" si="6"/>
        <v>15241048.12</v>
      </c>
      <c r="M806" s="49">
        <f>IF(A806&lt;&gt;"",IF(COUNTIF(investimento!F:F, B806) &gt; 0, SUM(investimento!B:B)+I806, M805+I806),"")</f>
        <v>18221988.68</v>
      </c>
    </row>
    <row r="807" ht="22.5" customHeight="1">
      <c r="A807" s="47">
        <v>50856.0</v>
      </c>
      <c r="B807" s="48" t="str">
        <f t="shared" si="1"/>
        <v>2039-03</v>
      </c>
      <c r="C807" s="49">
        <f>SUMIF(despesas_recorrentes!C:C, "&gt;="&amp;A807,despesas_recorrentes!B:B) 
+SUMIF(despesas_recorrentes!C:C, "",despesas_recorrentes!B:B)
-despesas_recorrentes!$B$12
+IF(SUMIF(gasto_cartao!E:E,saldo!B807,gasto_cartao!B:B)&gt;despesas_recorrentes!$B$12, SUMIF(gasto_cartao!E:E,saldo!B807,gasto_cartao!B:B),despesas_recorrentes!$B$12)</f>
        <v>34013</v>
      </c>
      <c r="D807" s="51">
        <f>SUM(receitas_recorrentes!B:B)+SUMIF(receitas_pontuais!E:E,B807,receitas_pontuais!B:B)</f>
        <v>56919</v>
      </c>
      <c r="E807" s="51">
        <f t="shared" si="2"/>
        <v>22906</v>
      </c>
      <c r="F807" s="53">
        <f>IFERROR(SUMIF(contas!G:G, B807, contas!B:B),0)</f>
        <v>0</v>
      </c>
      <c r="G807" s="51">
        <f>SUMIFS(previsoes!D:D, previsoes!E:E, "&lt;=" &amp; EOMONTH(DATEVALUE(B807&amp;"-01"),0), previsoes!F:F, "&gt;=" &amp; DATEVALUE(B807&amp;"-01"))</f>
        <v>0</v>
      </c>
      <c r="H807" s="52">
        <f t="shared" si="5"/>
        <v>160491.8958</v>
      </c>
      <c r="I807" s="49">
        <f t="shared" si="3"/>
        <v>22906</v>
      </c>
      <c r="J807" s="52">
        <f>IF(A807&lt;&gt;"",SUMIFS(metas!N:N, metas!E:E, "&gt;=" &amp; DATEVALUE(B807&amp;"-01"),metas!D:D, "&lt;=" &amp; DATEVALUE(B807&amp;"-01")),"")</f>
        <v>3182.813937</v>
      </c>
      <c r="K807" s="49">
        <f t="shared" si="4"/>
        <v>19723.18606</v>
      </c>
      <c r="L807" s="49">
        <f t="shared" si="6"/>
        <v>15260771.31</v>
      </c>
      <c r="M807" s="49">
        <f>IF(A807&lt;&gt;"",IF(COUNTIF(investimento!F:F, B807) &gt; 0, SUM(investimento!B:B)+I807, M806+I807),"")</f>
        <v>18244894.68</v>
      </c>
    </row>
    <row r="808" ht="22.5" customHeight="1">
      <c r="A808" s="47">
        <v>50857.0</v>
      </c>
      <c r="B808" s="48" t="str">
        <f t="shared" si="1"/>
        <v>2039-03</v>
      </c>
      <c r="C808" s="49">
        <f>SUMIF(despesas_recorrentes!C:C, "&gt;="&amp;A808,despesas_recorrentes!B:B) 
+SUMIF(despesas_recorrentes!C:C, "",despesas_recorrentes!B:B)
-despesas_recorrentes!$B$12
+IF(SUMIF(gasto_cartao!E:E,saldo!B808,gasto_cartao!B:B)&gt;despesas_recorrentes!$B$12, SUMIF(gasto_cartao!E:E,saldo!B808,gasto_cartao!B:B),despesas_recorrentes!$B$12)</f>
        <v>34013</v>
      </c>
      <c r="D808" s="51">
        <f>SUM(receitas_recorrentes!B:B)+SUMIF(receitas_pontuais!E:E,B808,receitas_pontuais!B:B)</f>
        <v>56919</v>
      </c>
      <c r="E808" s="51">
        <f t="shared" si="2"/>
        <v>22906</v>
      </c>
      <c r="F808" s="53">
        <f>IFERROR(SUMIF(contas!G:G, B808, contas!B:B),0)</f>
        <v>0</v>
      </c>
      <c r="G808" s="51">
        <f>SUMIFS(previsoes!D:D, previsoes!E:E, "&lt;=" &amp; EOMONTH(DATEVALUE(B808&amp;"-01"),0), previsoes!F:F, "&gt;=" &amp; DATEVALUE(B808&amp;"-01"))</f>
        <v>0</v>
      </c>
      <c r="H808" s="52">
        <f t="shared" si="5"/>
        <v>160491.8958</v>
      </c>
      <c r="I808" s="49">
        <f t="shared" si="3"/>
        <v>22906</v>
      </c>
      <c r="J808" s="52">
        <f>IF(A808&lt;&gt;"",SUMIFS(metas!N:N, metas!E:E, "&gt;=" &amp; DATEVALUE(B808&amp;"-01"),metas!D:D, "&lt;=" &amp; DATEVALUE(B808&amp;"-01")),"")</f>
        <v>3182.813937</v>
      </c>
      <c r="K808" s="49">
        <f t="shared" si="4"/>
        <v>19723.18606</v>
      </c>
      <c r="L808" s="49">
        <f t="shared" si="6"/>
        <v>15280494.5</v>
      </c>
      <c r="M808" s="49">
        <f>IF(A808&lt;&gt;"",IF(COUNTIF(investimento!F:F, B808) &gt; 0, SUM(investimento!B:B)+I808, M807+I808),"")</f>
        <v>18267800.68</v>
      </c>
    </row>
    <row r="809" ht="22.5" customHeight="1">
      <c r="A809" s="47">
        <v>50858.0</v>
      </c>
      <c r="B809" s="48" t="str">
        <f t="shared" si="1"/>
        <v>2039-03</v>
      </c>
      <c r="C809" s="49">
        <f>SUMIF(despesas_recorrentes!C:C, "&gt;="&amp;A809,despesas_recorrentes!B:B) 
+SUMIF(despesas_recorrentes!C:C, "",despesas_recorrentes!B:B)
-despesas_recorrentes!$B$12
+IF(SUMIF(gasto_cartao!E:E,saldo!B809,gasto_cartao!B:B)&gt;despesas_recorrentes!$B$12, SUMIF(gasto_cartao!E:E,saldo!B809,gasto_cartao!B:B),despesas_recorrentes!$B$12)</f>
        <v>34013</v>
      </c>
      <c r="D809" s="51">
        <f>SUM(receitas_recorrentes!B:B)+SUMIF(receitas_pontuais!E:E,B809,receitas_pontuais!B:B)</f>
        <v>56919</v>
      </c>
      <c r="E809" s="51">
        <f t="shared" si="2"/>
        <v>22906</v>
      </c>
      <c r="F809" s="53">
        <f>IFERROR(SUMIF(contas!G:G, B809, contas!B:B),0)</f>
        <v>0</v>
      </c>
      <c r="G809" s="51">
        <f>SUMIFS(previsoes!D:D, previsoes!E:E, "&lt;=" &amp; EOMONTH(DATEVALUE(B809&amp;"-01"),0), previsoes!F:F, "&gt;=" &amp; DATEVALUE(B809&amp;"-01"))</f>
        <v>0</v>
      </c>
      <c r="H809" s="52">
        <f t="shared" si="5"/>
        <v>160491.8958</v>
      </c>
      <c r="I809" s="49">
        <f t="shared" si="3"/>
        <v>22906</v>
      </c>
      <c r="J809" s="52">
        <f>IF(A809&lt;&gt;"",SUMIFS(metas!N:N, metas!E:E, "&gt;=" &amp; DATEVALUE(B809&amp;"-01"),metas!D:D, "&lt;=" &amp; DATEVALUE(B809&amp;"-01")),"")</f>
        <v>3182.813937</v>
      </c>
      <c r="K809" s="49">
        <f t="shared" si="4"/>
        <v>19723.18606</v>
      </c>
      <c r="L809" s="49">
        <f t="shared" si="6"/>
        <v>15300217.68</v>
      </c>
      <c r="M809" s="49">
        <f>IF(A809&lt;&gt;"",IF(COUNTIF(investimento!F:F, B809) &gt; 0, SUM(investimento!B:B)+I809, M808+I809),"")</f>
        <v>18290706.68</v>
      </c>
    </row>
    <row r="810" ht="22.5" customHeight="1">
      <c r="A810" s="47">
        <v>50859.0</v>
      </c>
      <c r="B810" s="48" t="str">
        <f t="shared" si="1"/>
        <v>2039-03</v>
      </c>
      <c r="C810" s="49">
        <f>SUMIF(despesas_recorrentes!C:C, "&gt;="&amp;A810,despesas_recorrentes!B:B) 
+SUMIF(despesas_recorrentes!C:C, "",despesas_recorrentes!B:B)
-despesas_recorrentes!$B$12
+IF(SUMIF(gasto_cartao!E:E,saldo!B810,gasto_cartao!B:B)&gt;despesas_recorrentes!$B$12, SUMIF(gasto_cartao!E:E,saldo!B810,gasto_cartao!B:B),despesas_recorrentes!$B$12)</f>
        <v>34013</v>
      </c>
      <c r="D810" s="51">
        <f>SUM(receitas_recorrentes!B:B)+SUMIF(receitas_pontuais!E:E,B810,receitas_pontuais!B:B)</f>
        <v>56919</v>
      </c>
      <c r="E810" s="51">
        <f t="shared" si="2"/>
        <v>22906</v>
      </c>
      <c r="F810" s="53">
        <f>IFERROR(SUMIF(contas!G:G, B810, contas!B:B),0)</f>
        <v>0</v>
      </c>
      <c r="G810" s="51">
        <f>SUMIFS(previsoes!D:D, previsoes!E:E, "&lt;=" &amp; EOMONTH(DATEVALUE(B810&amp;"-01"),0), previsoes!F:F, "&gt;=" &amp; DATEVALUE(B810&amp;"-01"))</f>
        <v>0</v>
      </c>
      <c r="H810" s="52">
        <f t="shared" si="5"/>
        <v>160491.8958</v>
      </c>
      <c r="I810" s="49">
        <f t="shared" si="3"/>
        <v>22906</v>
      </c>
      <c r="J810" s="52">
        <f>IF(A810&lt;&gt;"",SUMIFS(metas!N:N, metas!E:E, "&gt;=" &amp; DATEVALUE(B810&amp;"-01"),metas!D:D, "&lt;=" &amp; DATEVALUE(B810&amp;"-01")),"")</f>
        <v>3182.813937</v>
      </c>
      <c r="K810" s="49">
        <f t="shared" si="4"/>
        <v>19723.18606</v>
      </c>
      <c r="L810" s="49">
        <f t="shared" si="6"/>
        <v>15319940.87</v>
      </c>
      <c r="M810" s="49">
        <f>IF(A810&lt;&gt;"",IF(COUNTIF(investimento!F:F, B810) &gt; 0, SUM(investimento!B:B)+I810, M809+I810),"")</f>
        <v>18313612.68</v>
      </c>
    </row>
    <row r="811" ht="22.5" customHeight="1">
      <c r="A811" s="47">
        <v>50860.0</v>
      </c>
      <c r="B811" s="48" t="str">
        <f t="shared" si="1"/>
        <v>2039-03</v>
      </c>
      <c r="C811" s="49">
        <f>SUMIF(despesas_recorrentes!C:C, "&gt;="&amp;A811,despesas_recorrentes!B:B) 
+SUMIF(despesas_recorrentes!C:C, "",despesas_recorrentes!B:B)
-despesas_recorrentes!$B$12
+IF(SUMIF(gasto_cartao!E:E,saldo!B811,gasto_cartao!B:B)&gt;despesas_recorrentes!$B$12, SUMIF(gasto_cartao!E:E,saldo!B811,gasto_cartao!B:B),despesas_recorrentes!$B$12)</f>
        <v>34013</v>
      </c>
      <c r="D811" s="51">
        <f>SUM(receitas_recorrentes!B:B)+SUMIF(receitas_pontuais!E:E,B811,receitas_pontuais!B:B)</f>
        <v>56919</v>
      </c>
      <c r="E811" s="51">
        <f t="shared" si="2"/>
        <v>22906</v>
      </c>
      <c r="F811" s="53">
        <f>IFERROR(SUMIF(contas!G:G, B811, contas!B:B),0)</f>
        <v>0</v>
      </c>
      <c r="G811" s="51">
        <f>SUMIFS(previsoes!D:D, previsoes!E:E, "&lt;=" &amp; EOMONTH(DATEVALUE(B811&amp;"-01"),0), previsoes!F:F, "&gt;=" &amp; DATEVALUE(B811&amp;"-01"))</f>
        <v>0</v>
      </c>
      <c r="H811" s="52">
        <f t="shared" si="5"/>
        <v>160491.8958</v>
      </c>
      <c r="I811" s="49">
        <f t="shared" si="3"/>
        <v>22906</v>
      </c>
      <c r="J811" s="52">
        <f>IF(A811&lt;&gt;"",SUMIFS(metas!N:N, metas!E:E, "&gt;=" &amp; DATEVALUE(B811&amp;"-01"),metas!D:D, "&lt;=" &amp; DATEVALUE(B811&amp;"-01")),"")</f>
        <v>3182.813937</v>
      </c>
      <c r="K811" s="49">
        <f t="shared" si="4"/>
        <v>19723.18606</v>
      </c>
      <c r="L811" s="49">
        <f t="shared" si="6"/>
        <v>15339664.05</v>
      </c>
      <c r="M811" s="49">
        <f>IF(A811&lt;&gt;"",IF(COUNTIF(investimento!F:F, B811) &gt; 0, SUM(investimento!B:B)+I811, M810+I811),"")</f>
        <v>18336518.68</v>
      </c>
    </row>
    <row r="812" ht="22.5" customHeight="1">
      <c r="A812" s="47">
        <v>50861.0</v>
      </c>
      <c r="B812" s="48" t="str">
        <f t="shared" si="1"/>
        <v>2039-04</v>
      </c>
      <c r="C812" s="49">
        <f>SUMIF(despesas_recorrentes!C:C, "&gt;="&amp;A812,despesas_recorrentes!B:B) 
+SUMIF(despesas_recorrentes!C:C, "",despesas_recorrentes!B:B)
-despesas_recorrentes!$B$12
+IF(SUMIF(gasto_cartao!E:E,saldo!B812,gasto_cartao!B:B)&gt;despesas_recorrentes!$B$12, SUMIF(gasto_cartao!E:E,saldo!B812,gasto_cartao!B:B),despesas_recorrentes!$B$12)</f>
        <v>34013</v>
      </c>
      <c r="D812" s="51">
        <f>SUM(receitas_recorrentes!B:B)+SUMIF(receitas_pontuais!E:E,B812,receitas_pontuais!B:B)</f>
        <v>56919</v>
      </c>
      <c r="E812" s="51">
        <f t="shared" si="2"/>
        <v>22906</v>
      </c>
      <c r="F812" s="53">
        <f>IFERROR(SUMIF(contas!G:G, B812, contas!B:B),0)</f>
        <v>0</v>
      </c>
      <c r="G812" s="51">
        <f>SUMIFS(previsoes!D:D, previsoes!E:E, "&lt;=" &amp; EOMONTH(DATEVALUE(B812&amp;"-01"),0), previsoes!F:F, "&gt;=" &amp; DATEVALUE(B812&amp;"-01"))</f>
        <v>0</v>
      </c>
      <c r="H812" s="52">
        <f t="shared" si="5"/>
        <v>160491.8958</v>
      </c>
      <c r="I812" s="49">
        <f t="shared" si="3"/>
        <v>22906</v>
      </c>
      <c r="J812" s="52">
        <f>IF(A812&lt;&gt;"",SUMIFS(metas!N:N, metas!E:E, "&gt;=" &amp; DATEVALUE(B812&amp;"-01"),metas!D:D, "&lt;=" &amp; DATEVALUE(B812&amp;"-01")),"")</f>
        <v>3182.813937</v>
      </c>
      <c r="K812" s="49">
        <f t="shared" si="4"/>
        <v>19723.18606</v>
      </c>
      <c r="L812" s="49">
        <f t="shared" si="6"/>
        <v>15359387.24</v>
      </c>
      <c r="M812" s="49">
        <f>IF(A812&lt;&gt;"",IF(COUNTIF(investimento!F:F, B812) &gt; 0, SUM(investimento!B:B)+I812, M811+I812),"")</f>
        <v>18359424.68</v>
      </c>
    </row>
    <row r="813" ht="22.5" customHeight="1">
      <c r="A813" s="47">
        <v>50862.0</v>
      </c>
      <c r="B813" s="48" t="str">
        <f t="shared" si="1"/>
        <v>2039-04</v>
      </c>
      <c r="C813" s="49">
        <f>SUMIF(despesas_recorrentes!C:C, "&gt;="&amp;A813,despesas_recorrentes!B:B) 
+SUMIF(despesas_recorrentes!C:C, "",despesas_recorrentes!B:B)
-despesas_recorrentes!$B$12
+IF(SUMIF(gasto_cartao!E:E,saldo!B813,gasto_cartao!B:B)&gt;despesas_recorrentes!$B$12, SUMIF(gasto_cartao!E:E,saldo!B813,gasto_cartao!B:B),despesas_recorrentes!$B$12)</f>
        <v>34013</v>
      </c>
      <c r="D813" s="51">
        <f>SUM(receitas_recorrentes!B:B)+SUMIF(receitas_pontuais!E:E,B813,receitas_pontuais!B:B)</f>
        <v>56919</v>
      </c>
      <c r="E813" s="51">
        <f t="shared" si="2"/>
        <v>22906</v>
      </c>
      <c r="F813" s="53">
        <f>IFERROR(SUMIF(contas!G:G, B813, contas!B:B),0)</f>
        <v>0</v>
      </c>
      <c r="G813" s="51">
        <f>SUMIFS(previsoes!D:D, previsoes!E:E, "&lt;=" &amp; EOMONTH(DATEVALUE(B813&amp;"-01"),0), previsoes!F:F, "&gt;=" &amp; DATEVALUE(B813&amp;"-01"))</f>
        <v>0</v>
      </c>
      <c r="H813" s="52">
        <f t="shared" si="5"/>
        <v>160491.8958</v>
      </c>
      <c r="I813" s="49">
        <f t="shared" si="3"/>
        <v>22906</v>
      </c>
      <c r="J813" s="52">
        <f>IF(A813&lt;&gt;"",SUMIFS(metas!N:N, metas!E:E, "&gt;=" &amp; DATEVALUE(B813&amp;"-01"),metas!D:D, "&lt;=" &amp; DATEVALUE(B813&amp;"-01")),"")</f>
        <v>3182.813937</v>
      </c>
      <c r="K813" s="49">
        <f t="shared" si="4"/>
        <v>19723.18606</v>
      </c>
      <c r="L813" s="49">
        <f t="shared" si="6"/>
        <v>15379110.43</v>
      </c>
      <c r="M813" s="49">
        <f>IF(A813&lt;&gt;"",IF(COUNTIF(investimento!F:F, B813) &gt; 0, SUM(investimento!B:B)+I813, M812+I813),"")</f>
        <v>18382330.68</v>
      </c>
    </row>
    <row r="814" ht="22.5" customHeight="1">
      <c r="A814" s="47">
        <v>50863.0</v>
      </c>
      <c r="B814" s="48" t="str">
        <f t="shared" si="1"/>
        <v>2039-04</v>
      </c>
      <c r="C814" s="49">
        <f>SUMIF(despesas_recorrentes!C:C, "&gt;="&amp;A814,despesas_recorrentes!B:B) 
+SUMIF(despesas_recorrentes!C:C, "",despesas_recorrentes!B:B)
-despesas_recorrentes!$B$12
+IF(SUMIF(gasto_cartao!E:E,saldo!B814,gasto_cartao!B:B)&gt;despesas_recorrentes!$B$12, SUMIF(gasto_cartao!E:E,saldo!B814,gasto_cartao!B:B),despesas_recorrentes!$B$12)</f>
        <v>34013</v>
      </c>
      <c r="D814" s="51">
        <f>SUM(receitas_recorrentes!B:B)+SUMIF(receitas_pontuais!E:E,B814,receitas_pontuais!B:B)</f>
        <v>56919</v>
      </c>
      <c r="E814" s="51">
        <f t="shared" si="2"/>
        <v>22906</v>
      </c>
      <c r="F814" s="53">
        <f>IFERROR(SUMIF(contas!G:G, B814, contas!B:B),0)</f>
        <v>0</v>
      </c>
      <c r="G814" s="51">
        <f>SUMIFS(previsoes!D:D, previsoes!E:E, "&lt;=" &amp; EOMONTH(DATEVALUE(B814&amp;"-01"),0), previsoes!F:F, "&gt;=" &amp; DATEVALUE(B814&amp;"-01"))</f>
        <v>0</v>
      </c>
      <c r="H814" s="52">
        <f t="shared" si="5"/>
        <v>160491.8958</v>
      </c>
      <c r="I814" s="49">
        <f t="shared" si="3"/>
        <v>22906</v>
      </c>
      <c r="J814" s="52">
        <f>IF(A814&lt;&gt;"",SUMIFS(metas!N:N, metas!E:E, "&gt;=" &amp; DATEVALUE(B814&amp;"-01"),metas!D:D, "&lt;=" &amp; DATEVALUE(B814&amp;"-01")),"")</f>
        <v>3182.813937</v>
      </c>
      <c r="K814" s="49">
        <f t="shared" si="4"/>
        <v>19723.18606</v>
      </c>
      <c r="L814" s="49">
        <f t="shared" si="6"/>
        <v>15398833.61</v>
      </c>
      <c r="M814" s="49">
        <f>IF(A814&lt;&gt;"",IF(COUNTIF(investimento!F:F, B814) &gt; 0, SUM(investimento!B:B)+I814, M813+I814),"")</f>
        <v>18405236.68</v>
      </c>
    </row>
    <row r="815" ht="22.5" customHeight="1">
      <c r="A815" s="47">
        <v>50864.0</v>
      </c>
      <c r="B815" s="48" t="str">
        <f t="shared" si="1"/>
        <v>2039-04</v>
      </c>
      <c r="C815" s="49">
        <f>SUMIF(despesas_recorrentes!C:C, "&gt;="&amp;A815,despesas_recorrentes!B:B) 
+SUMIF(despesas_recorrentes!C:C, "",despesas_recorrentes!B:B)
-despesas_recorrentes!$B$12
+IF(SUMIF(gasto_cartao!E:E,saldo!B815,gasto_cartao!B:B)&gt;despesas_recorrentes!$B$12, SUMIF(gasto_cartao!E:E,saldo!B815,gasto_cartao!B:B),despesas_recorrentes!$B$12)</f>
        <v>34013</v>
      </c>
      <c r="D815" s="51">
        <f>SUM(receitas_recorrentes!B:B)+SUMIF(receitas_pontuais!E:E,B815,receitas_pontuais!B:B)</f>
        <v>56919</v>
      </c>
      <c r="E815" s="51">
        <f t="shared" si="2"/>
        <v>22906</v>
      </c>
      <c r="F815" s="53">
        <f>IFERROR(SUMIF(contas!G:G, B815, contas!B:B),0)</f>
        <v>0</v>
      </c>
      <c r="G815" s="51">
        <f>SUMIFS(previsoes!D:D, previsoes!E:E, "&lt;=" &amp; EOMONTH(DATEVALUE(B815&amp;"-01"),0), previsoes!F:F, "&gt;=" &amp; DATEVALUE(B815&amp;"-01"))</f>
        <v>0</v>
      </c>
      <c r="H815" s="52">
        <f t="shared" si="5"/>
        <v>160491.8958</v>
      </c>
      <c r="I815" s="49">
        <f t="shared" si="3"/>
        <v>22906</v>
      </c>
      <c r="J815" s="52">
        <f>IF(A815&lt;&gt;"",SUMIFS(metas!N:N, metas!E:E, "&gt;=" &amp; DATEVALUE(B815&amp;"-01"),metas!D:D, "&lt;=" &amp; DATEVALUE(B815&amp;"-01")),"")</f>
        <v>3182.813937</v>
      </c>
      <c r="K815" s="49">
        <f t="shared" si="4"/>
        <v>19723.18606</v>
      </c>
      <c r="L815" s="49">
        <f t="shared" si="6"/>
        <v>15418556.8</v>
      </c>
      <c r="M815" s="49">
        <f>IF(A815&lt;&gt;"",IF(COUNTIF(investimento!F:F, B815) &gt; 0, SUM(investimento!B:B)+I815, M814+I815),"")</f>
        <v>18428142.68</v>
      </c>
    </row>
    <row r="816" ht="22.5" customHeight="1">
      <c r="A816" s="47">
        <v>50865.0</v>
      </c>
      <c r="B816" s="48" t="str">
        <f t="shared" si="1"/>
        <v>2039-04</v>
      </c>
      <c r="C816" s="49">
        <f>SUMIF(despesas_recorrentes!C:C, "&gt;="&amp;A816,despesas_recorrentes!B:B) 
+SUMIF(despesas_recorrentes!C:C, "",despesas_recorrentes!B:B)
-despesas_recorrentes!$B$12
+IF(SUMIF(gasto_cartao!E:E,saldo!B816,gasto_cartao!B:B)&gt;despesas_recorrentes!$B$12, SUMIF(gasto_cartao!E:E,saldo!B816,gasto_cartao!B:B),despesas_recorrentes!$B$12)</f>
        <v>34013</v>
      </c>
      <c r="D816" s="51">
        <f>SUM(receitas_recorrentes!B:B)+SUMIF(receitas_pontuais!E:E,B816,receitas_pontuais!B:B)</f>
        <v>56919</v>
      </c>
      <c r="E816" s="51">
        <f t="shared" si="2"/>
        <v>22906</v>
      </c>
      <c r="F816" s="53">
        <f>IFERROR(SUMIF(contas!G:G, B816, contas!B:B),0)</f>
        <v>0</v>
      </c>
      <c r="G816" s="51">
        <f>SUMIFS(previsoes!D:D, previsoes!E:E, "&lt;=" &amp; EOMONTH(DATEVALUE(B816&amp;"-01"),0), previsoes!F:F, "&gt;=" &amp; DATEVALUE(B816&amp;"-01"))</f>
        <v>0</v>
      </c>
      <c r="H816" s="52">
        <f t="shared" si="5"/>
        <v>160491.8958</v>
      </c>
      <c r="I816" s="49">
        <f t="shared" si="3"/>
        <v>22906</v>
      </c>
      <c r="J816" s="52">
        <f>IF(A816&lt;&gt;"",SUMIFS(metas!N:N, metas!E:E, "&gt;=" &amp; DATEVALUE(B816&amp;"-01"),metas!D:D, "&lt;=" &amp; DATEVALUE(B816&amp;"-01")),"")</f>
        <v>3182.813937</v>
      </c>
      <c r="K816" s="49">
        <f t="shared" si="4"/>
        <v>19723.18606</v>
      </c>
      <c r="L816" s="49">
        <f t="shared" si="6"/>
        <v>15438279.98</v>
      </c>
      <c r="M816" s="49">
        <f>IF(A816&lt;&gt;"",IF(COUNTIF(investimento!F:F, B816) &gt; 0, SUM(investimento!B:B)+I816, M815+I816),"")</f>
        <v>18451048.68</v>
      </c>
    </row>
    <row r="817" ht="22.5" customHeight="1">
      <c r="A817" s="47">
        <v>50866.0</v>
      </c>
      <c r="B817" s="48" t="str">
        <f t="shared" si="1"/>
        <v>2039-04</v>
      </c>
      <c r="C817" s="49">
        <f>SUMIF(despesas_recorrentes!C:C, "&gt;="&amp;A817,despesas_recorrentes!B:B) 
+SUMIF(despesas_recorrentes!C:C, "",despesas_recorrentes!B:B)
-despesas_recorrentes!$B$12
+IF(SUMIF(gasto_cartao!E:E,saldo!B817,gasto_cartao!B:B)&gt;despesas_recorrentes!$B$12, SUMIF(gasto_cartao!E:E,saldo!B817,gasto_cartao!B:B),despesas_recorrentes!$B$12)</f>
        <v>34013</v>
      </c>
      <c r="D817" s="51">
        <f>SUM(receitas_recorrentes!B:B)+SUMIF(receitas_pontuais!E:E,B817,receitas_pontuais!B:B)</f>
        <v>56919</v>
      </c>
      <c r="E817" s="51">
        <f t="shared" si="2"/>
        <v>22906</v>
      </c>
      <c r="F817" s="53">
        <f>IFERROR(SUMIF(contas!G:G, B817, contas!B:B),0)</f>
        <v>0</v>
      </c>
      <c r="G817" s="51">
        <f>SUMIFS(previsoes!D:D, previsoes!E:E, "&lt;=" &amp; EOMONTH(DATEVALUE(B817&amp;"-01"),0), previsoes!F:F, "&gt;=" &amp; DATEVALUE(B817&amp;"-01"))</f>
        <v>0</v>
      </c>
      <c r="H817" s="52">
        <f t="shared" si="5"/>
        <v>160491.8958</v>
      </c>
      <c r="I817" s="49">
        <f t="shared" si="3"/>
        <v>22906</v>
      </c>
      <c r="J817" s="52">
        <f>IF(A817&lt;&gt;"",SUMIFS(metas!N:N, metas!E:E, "&gt;=" &amp; DATEVALUE(B817&amp;"-01"),metas!D:D, "&lt;=" &amp; DATEVALUE(B817&amp;"-01")),"")</f>
        <v>3182.813937</v>
      </c>
      <c r="K817" s="49">
        <f t="shared" si="4"/>
        <v>19723.18606</v>
      </c>
      <c r="L817" s="49">
        <f t="shared" si="6"/>
        <v>15458003.17</v>
      </c>
      <c r="M817" s="49">
        <f>IF(A817&lt;&gt;"",IF(COUNTIF(investimento!F:F, B817) &gt; 0, SUM(investimento!B:B)+I817, M816+I817),"")</f>
        <v>18473954.68</v>
      </c>
    </row>
    <row r="818" ht="22.5" customHeight="1">
      <c r="A818" s="47">
        <v>50867.0</v>
      </c>
      <c r="B818" s="48" t="str">
        <f t="shared" si="1"/>
        <v>2039-04</v>
      </c>
      <c r="C818" s="49">
        <f>SUMIF(despesas_recorrentes!C:C, "&gt;="&amp;A818,despesas_recorrentes!B:B) 
+SUMIF(despesas_recorrentes!C:C, "",despesas_recorrentes!B:B)
-despesas_recorrentes!$B$12
+IF(SUMIF(gasto_cartao!E:E,saldo!B818,gasto_cartao!B:B)&gt;despesas_recorrentes!$B$12, SUMIF(gasto_cartao!E:E,saldo!B818,gasto_cartao!B:B),despesas_recorrentes!$B$12)</f>
        <v>34013</v>
      </c>
      <c r="D818" s="51">
        <f>SUM(receitas_recorrentes!B:B)+SUMIF(receitas_pontuais!E:E,B818,receitas_pontuais!B:B)</f>
        <v>56919</v>
      </c>
      <c r="E818" s="51">
        <f t="shared" si="2"/>
        <v>22906</v>
      </c>
      <c r="F818" s="53">
        <f>IFERROR(SUMIF(contas!G:G, B818, contas!B:B),0)</f>
        <v>0</v>
      </c>
      <c r="G818" s="51">
        <f>SUMIFS(previsoes!D:D, previsoes!E:E, "&lt;=" &amp; EOMONTH(DATEVALUE(B818&amp;"-01"),0), previsoes!F:F, "&gt;=" &amp; DATEVALUE(B818&amp;"-01"))</f>
        <v>0</v>
      </c>
      <c r="H818" s="52">
        <f t="shared" si="5"/>
        <v>160491.8958</v>
      </c>
      <c r="I818" s="49">
        <f t="shared" si="3"/>
        <v>22906</v>
      </c>
      <c r="J818" s="52">
        <f>IF(A818&lt;&gt;"",SUMIFS(metas!N:N, metas!E:E, "&gt;=" &amp; DATEVALUE(B818&amp;"-01"),metas!D:D, "&lt;=" &amp; DATEVALUE(B818&amp;"-01")),"")</f>
        <v>3182.813937</v>
      </c>
      <c r="K818" s="49">
        <f t="shared" si="4"/>
        <v>19723.18606</v>
      </c>
      <c r="L818" s="49">
        <f t="shared" si="6"/>
        <v>15477726.36</v>
      </c>
      <c r="M818" s="49">
        <f>IF(A818&lt;&gt;"",IF(COUNTIF(investimento!F:F, B818) &gt; 0, SUM(investimento!B:B)+I818, M817+I818),"")</f>
        <v>18496860.68</v>
      </c>
    </row>
    <row r="819" ht="22.5" customHeight="1">
      <c r="A819" s="47">
        <v>50868.0</v>
      </c>
      <c r="B819" s="48" t="str">
        <f t="shared" si="1"/>
        <v>2039-04</v>
      </c>
      <c r="C819" s="49">
        <f>SUMIF(despesas_recorrentes!C:C, "&gt;="&amp;A819,despesas_recorrentes!B:B) 
+SUMIF(despesas_recorrentes!C:C, "",despesas_recorrentes!B:B)
-despesas_recorrentes!$B$12
+IF(SUMIF(gasto_cartao!E:E,saldo!B819,gasto_cartao!B:B)&gt;despesas_recorrentes!$B$12, SUMIF(gasto_cartao!E:E,saldo!B819,gasto_cartao!B:B),despesas_recorrentes!$B$12)</f>
        <v>34013</v>
      </c>
      <c r="D819" s="51">
        <f>SUM(receitas_recorrentes!B:B)+SUMIF(receitas_pontuais!E:E,B819,receitas_pontuais!B:B)</f>
        <v>56919</v>
      </c>
      <c r="E819" s="51">
        <f t="shared" si="2"/>
        <v>22906</v>
      </c>
      <c r="F819" s="53">
        <f>IFERROR(SUMIF(contas!G:G, B819, contas!B:B),0)</f>
        <v>0</v>
      </c>
      <c r="G819" s="51">
        <f>SUMIFS(previsoes!D:D, previsoes!E:E, "&lt;=" &amp; EOMONTH(DATEVALUE(B819&amp;"-01"),0), previsoes!F:F, "&gt;=" &amp; DATEVALUE(B819&amp;"-01"))</f>
        <v>0</v>
      </c>
      <c r="H819" s="52">
        <f t="shared" si="5"/>
        <v>160491.8958</v>
      </c>
      <c r="I819" s="49">
        <f t="shared" si="3"/>
        <v>22906</v>
      </c>
      <c r="J819" s="52">
        <f>IF(A819&lt;&gt;"",SUMIFS(metas!N:N, metas!E:E, "&gt;=" &amp; DATEVALUE(B819&amp;"-01"),metas!D:D, "&lt;=" &amp; DATEVALUE(B819&amp;"-01")),"")</f>
        <v>3182.813937</v>
      </c>
      <c r="K819" s="49">
        <f t="shared" si="4"/>
        <v>19723.18606</v>
      </c>
      <c r="L819" s="49">
        <f t="shared" si="6"/>
        <v>15497449.54</v>
      </c>
      <c r="M819" s="49">
        <f>IF(A819&lt;&gt;"",IF(COUNTIF(investimento!F:F, B819) &gt; 0, SUM(investimento!B:B)+I819, M818+I819),"")</f>
        <v>18519766.68</v>
      </c>
    </row>
    <row r="820" ht="22.5" customHeight="1">
      <c r="A820" s="47">
        <v>50869.0</v>
      </c>
      <c r="B820" s="48" t="str">
        <f t="shared" si="1"/>
        <v>2039-04</v>
      </c>
      <c r="C820" s="49">
        <f>SUMIF(despesas_recorrentes!C:C, "&gt;="&amp;A820,despesas_recorrentes!B:B) 
+SUMIF(despesas_recorrentes!C:C, "",despesas_recorrentes!B:B)
-despesas_recorrentes!$B$12
+IF(SUMIF(gasto_cartao!E:E,saldo!B820,gasto_cartao!B:B)&gt;despesas_recorrentes!$B$12, SUMIF(gasto_cartao!E:E,saldo!B820,gasto_cartao!B:B),despesas_recorrentes!$B$12)</f>
        <v>34013</v>
      </c>
      <c r="D820" s="51">
        <f>SUM(receitas_recorrentes!B:B)+SUMIF(receitas_pontuais!E:E,B820,receitas_pontuais!B:B)</f>
        <v>56919</v>
      </c>
      <c r="E820" s="51">
        <f t="shared" si="2"/>
        <v>22906</v>
      </c>
      <c r="F820" s="53">
        <f>IFERROR(SUMIF(contas!G:G, B820, contas!B:B),0)</f>
        <v>0</v>
      </c>
      <c r="G820" s="51">
        <f>SUMIFS(previsoes!D:D, previsoes!E:E, "&lt;=" &amp; EOMONTH(DATEVALUE(B820&amp;"-01"),0), previsoes!F:F, "&gt;=" &amp; DATEVALUE(B820&amp;"-01"))</f>
        <v>0</v>
      </c>
      <c r="H820" s="52">
        <f t="shared" si="5"/>
        <v>160491.8958</v>
      </c>
      <c r="I820" s="49">
        <f t="shared" si="3"/>
        <v>22906</v>
      </c>
      <c r="J820" s="52">
        <f>IF(A820&lt;&gt;"",SUMIFS(metas!N:N, metas!E:E, "&gt;=" &amp; DATEVALUE(B820&amp;"-01"),metas!D:D, "&lt;=" &amp; DATEVALUE(B820&amp;"-01")),"")</f>
        <v>3182.813937</v>
      </c>
      <c r="K820" s="49">
        <f t="shared" si="4"/>
        <v>19723.18606</v>
      </c>
      <c r="L820" s="49">
        <f t="shared" si="6"/>
        <v>15517172.73</v>
      </c>
      <c r="M820" s="49">
        <f>IF(A820&lt;&gt;"",IF(COUNTIF(investimento!F:F, B820) &gt; 0, SUM(investimento!B:B)+I820, M819+I820),"")</f>
        <v>18542672.68</v>
      </c>
    </row>
    <row r="821" ht="22.5" customHeight="1">
      <c r="A821" s="47">
        <v>50870.0</v>
      </c>
      <c r="B821" s="48" t="str">
        <f t="shared" si="1"/>
        <v>2039-04</v>
      </c>
      <c r="C821" s="49">
        <f>SUMIF(despesas_recorrentes!C:C, "&gt;="&amp;A821,despesas_recorrentes!B:B) 
+SUMIF(despesas_recorrentes!C:C, "",despesas_recorrentes!B:B)
-despesas_recorrentes!$B$12
+IF(SUMIF(gasto_cartao!E:E,saldo!B821,gasto_cartao!B:B)&gt;despesas_recorrentes!$B$12, SUMIF(gasto_cartao!E:E,saldo!B821,gasto_cartao!B:B),despesas_recorrentes!$B$12)</f>
        <v>34013</v>
      </c>
      <c r="D821" s="51">
        <f>SUM(receitas_recorrentes!B:B)+SUMIF(receitas_pontuais!E:E,B821,receitas_pontuais!B:B)</f>
        <v>56919</v>
      </c>
      <c r="E821" s="51">
        <f t="shared" si="2"/>
        <v>22906</v>
      </c>
      <c r="F821" s="53">
        <f>IFERROR(SUMIF(contas!G:G, B821, contas!B:B),0)</f>
        <v>0</v>
      </c>
      <c r="G821" s="51">
        <f>SUMIFS(previsoes!D:D, previsoes!E:E, "&lt;=" &amp; EOMONTH(DATEVALUE(B821&amp;"-01"),0), previsoes!F:F, "&gt;=" &amp; DATEVALUE(B821&amp;"-01"))</f>
        <v>0</v>
      </c>
      <c r="H821" s="52">
        <f t="shared" si="5"/>
        <v>160491.8958</v>
      </c>
      <c r="I821" s="49">
        <f t="shared" si="3"/>
        <v>22906</v>
      </c>
      <c r="J821" s="52">
        <f>IF(A821&lt;&gt;"",SUMIFS(metas!N:N, metas!E:E, "&gt;=" &amp; DATEVALUE(B821&amp;"-01"),metas!D:D, "&lt;=" &amp; DATEVALUE(B821&amp;"-01")),"")</f>
        <v>3182.813937</v>
      </c>
      <c r="K821" s="49">
        <f t="shared" si="4"/>
        <v>19723.18606</v>
      </c>
      <c r="L821" s="49">
        <f t="shared" si="6"/>
        <v>15536895.91</v>
      </c>
      <c r="M821" s="49">
        <f>IF(A821&lt;&gt;"",IF(COUNTIF(investimento!F:F, B821) &gt; 0, SUM(investimento!B:B)+I821, M820+I821),"")</f>
        <v>18565578.68</v>
      </c>
    </row>
    <row r="822" ht="22.5" customHeight="1">
      <c r="A822" s="47">
        <v>50871.0</v>
      </c>
      <c r="B822" s="48" t="str">
        <f t="shared" si="1"/>
        <v>2039-04</v>
      </c>
      <c r="C822" s="49">
        <f>SUMIF(despesas_recorrentes!C:C, "&gt;="&amp;A822,despesas_recorrentes!B:B) 
+SUMIF(despesas_recorrentes!C:C, "",despesas_recorrentes!B:B)
-despesas_recorrentes!$B$12
+IF(SUMIF(gasto_cartao!E:E,saldo!B822,gasto_cartao!B:B)&gt;despesas_recorrentes!$B$12, SUMIF(gasto_cartao!E:E,saldo!B822,gasto_cartao!B:B),despesas_recorrentes!$B$12)</f>
        <v>34013</v>
      </c>
      <c r="D822" s="51">
        <f>SUM(receitas_recorrentes!B:B)+SUMIF(receitas_pontuais!E:E,B822,receitas_pontuais!B:B)</f>
        <v>56919</v>
      </c>
      <c r="E822" s="51">
        <f t="shared" si="2"/>
        <v>22906</v>
      </c>
      <c r="F822" s="53">
        <f>IFERROR(SUMIF(contas!G:G, B822, contas!B:B),0)</f>
        <v>0</v>
      </c>
      <c r="G822" s="51">
        <f>SUMIFS(previsoes!D:D, previsoes!E:E, "&lt;=" &amp; EOMONTH(DATEVALUE(B822&amp;"-01"),0), previsoes!F:F, "&gt;=" &amp; DATEVALUE(B822&amp;"-01"))</f>
        <v>0</v>
      </c>
      <c r="H822" s="52">
        <f t="shared" si="5"/>
        <v>160491.8958</v>
      </c>
      <c r="I822" s="49">
        <f t="shared" si="3"/>
        <v>22906</v>
      </c>
      <c r="J822" s="52">
        <f>IF(A822&lt;&gt;"",SUMIFS(metas!N:N, metas!E:E, "&gt;=" &amp; DATEVALUE(B822&amp;"-01"),metas!D:D, "&lt;=" &amp; DATEVALUE(B822&amp;"-01")),"")</f>
        <v>3182.813937</v>
      </c>
      <c r="K822" s="49">
        <f t="shared" si="4"/>
        <v>19723.18606</v>
      </c>
      <c r="L822" s="49">
        <f t="shared" si="6"/>
        <v>15556619.1</v>
      </c>
      <c r="M822" s="49">
        <f>IF(A822&lt;&gt;"",IF(COUNTIF(investimento!F:F, B822) &gt; 0, SUM(investimento!B:B)+I822, M821+I822),"")</f>
        <v>18588484.68</v>
      </c>
    </row>
    <row r="823" ht="22.5" customHeight="1">
      <c r="A823" s="47">
        <v>50872.0</v>
      </c>
      <c r="B823" s="48" t="str">
        <f t="shared" si="1"/>
        <v>2039-04</v>
      </c>
      <c r="C823" s="49">
        <f>SUMIF(despesas_recorrentes!C:C, "&gt;="&amp;A823,despesas_recorrentes!B:B) 
+SUMIF(despesas_recorrentes!C:C, "",despesas_recorrentes!B:B)
-despesas_recorrentes!$B$12
+IF(SUMIF(gasto_cartao!E:E,saldo!B823,gasto_cartao!B:B)&gt;despesas_recorrentes!$B$12, SUMIF(gasto_cartao!E:E,saldo!B823,gasto_cartao!B:B),despesas_recorrentes!$B$12)</f>
        <v>34013</v>
      </c>
      <c r="D823" s="51">
        <f>SUM(receitas_recorrentes!B:B)+SUMIF(receitas_pontuais!E:E,B823,receitas_pontuais!B:B)</f>
        <v>56919</v>
      </c>
      <c r="E823" s="51">
        <f t="shared" si="2"/>
        <v>22906</v>
      </c>
      <c r="F823" s="53">
        <f>IFERROR(SUMIF(contas!G:G, B823, contas!B:B),0)</f>
        <v>0</v>
      </c>
      <c r="G823" s="51">
        <f>SUMIFS(previsoes!D:D, previsoes!E:E, "&lt;=" &amp; EOMONTH(DATEVALUE(B823&amp;"-01"),0), previsoes!F:F, "&gt;=" &amp; DATEVALUE(B823&amp;"-01"))</f>
        <v>0</v>
      </c>
      <c r="H823" s="52">
        <f t="shared" si="5"/>
        <v>160491.8958</v>
      </c>
      <c r="I823" s="49">
        <f t="shared" si="3"/>
        <v>22906</v>
      </c>
      <c r="J823" s="52">
        <f>IF(A823&lt;&gt;"",SUMIFS(metas!N:N, metas!E:E, "&gt;=" &amp; DATEVALUE(B823&amp;"-01"),metas!D:D, "&lt;=" &amp; DATEVALUE(B823&amp;"-01")),"")</f>
        <v>3182.813937</v>
      </c>
      <c r="K823" s="49">
        <f t="shared" si="4"/>
        <v>19723.18606</v>
      </c>
      <c r="L823" s="49">
        <f t="shared" si="6"/>
        <v>15576342.29</v>
      </c>
      <c r="M823" s="49">
        <f>IF(A823&lt;&gt;"",IF(COUNTIF(investimento!F:F, B823) &gt; 0, SUM(investimento!B:B)+I823, M822+I823),"")</f>
        <v>18611390.68</v>
      </c>
    </row>
    <row r="824" ht="22.5" customHeight="1">
      <c r="A824" s="47">
        <v>50873.0</v>
      </c>
      <c r="B824" s="48" t="str">
        <f t="shared" si="1"/>
        <v>2039-04</v>
      </c>
      <c r="C824" s="49">
        <f>SUMIF(despesas_recorrentes!C:C, "&gt;="&amp;A824,despesas_recorrentes!B:B) 
+SUMIF(despesas_recorrentes!C:C, "",despesas_recorrentes!B:B)
-despesas_recorrentes!$B$12
+IF(SUMIF(gasto_cartao!E:E,saldo!B824,gasto_cartao!B:B)&gt;despesas_recorrentes!$B$12, SUMIF(gasto_cartao!E:E,saldo!B824,gasto_cartao!B:B),despesas_recorrentes!$B$12)</f>
        <v>34013</v>
      </c>
      <c r="D824" s="51">
        <f>SUM(receitas_recorrentes!B:B)+SUMIF(receitas_pontuais!E:E,B824,receitas_pontuais!B:B)</f>
        <v>56919</v>
      </c>
      <c r="E824" s="51">
        <f t="shared" si="2"/>
        <v>22906</v>
      </c>
      <c r="F824" s="53">
        <f>IFERROR(SUMIF(contas!G:G, B824, contas!B:B),0)</f>
        <v>0</v>
      </c>
      <c r="G824" s="51">
        <f>SUMIFS(previsoes!D:D, previsoes!E:E, "&lt;=" &amp; EOMONTH(DATEVALUE(B824&amp;"-01"),0), previsoes!F:F, "&gt;=" &amp; DATEVALUE(B824&amp;"-01"))</f>
        <v>0</v>
      </c>
      <c r="H824" s="52">
        <f t="shared" si="5"/>
        <v>160491.8958</v>
      </c>
      <c r="I824" s="49">
        <f t="shared" si="3"/>
        <v>22906</v>
      </c>
      <c r="J824" s="52">
        <f>IF(A824&lt;&gt;"",SUMIFS(metas!N:N, metas!E:E, "&gt;=" &amp; DATEVALUE(B824&amp;"-01"),metas!D:D, "&lt;=" &amp; DATEVALUE(B824&amp;"-01")),"")</f>
        <v>3182.813937</v>
      </c>
      <c r="K824" s="49">
        <f t="shared" si="4"/>
        <v>19723.18606</v>
      </c>
      <c r="L824" s="49">
        <f t="shared" si="6"/>
        <v>15596065.47</v>
      </c>
      <c r="M824" s="49">
        <f>IF(A824&lt;&gt;"",IF(COUNTIF(investimento!F:F, B824) &gt; 0, SUM(investimento!B:B)+I824, M823+I824),"")</f>
        <v>18634296.68</v>
      </c>
    </row>
    <row r="825" ht="22.5" customHeight="1">
      <c r="A825" s="47">
        <v>50874.0</v>
      </c>
      <c r="B825" s="48" t="str">
        <f t="shared" si="1"/>
        <v>2039-04</v>
      </c>
      <c r="C825" s="49">
        <f>SUMIF(despesas_recorrentes!C:C, "&gt;="&amp;A825,despesas_recorrentes!B:B) 
+SUMIF(despesas_recorrentes!C:C, "",despesas_recorrentes!B:B)
-despesas_recorrentes!$B$12
+IF(SUMIF(gasto_cartao!E:E,saldo!B825,gasto_cartao!B:B)&gt;despesas_recorrentes!$B$12, SUMIF(gasto_cartao!E:E,saldo!B825,gasto_cartao!B:B),despesas_recorrentes!$B$12)</f>
        <v>34013</v>
      </c>
      <c r="D825" s="51">
        <f>SUM(receitas_recorrentes!B:B)+SUMIF(receitas_pontuais!E:E,B825,receitas_pontuais!B:B)</f>
        <v>56919</v>
      </c>
      <c r="E825" s="51">
        <f t="shared" si="2"/>
        <v>22906</v>
      </c>
      <c r="F825" s="53">
        <f>IFERROR(SUMIF(contas!G:G, B825, contas!B:B),0)</f>
        <v>0</v>
      </c>
      <c r="G825" s="51">
        <f>SUMIFS(previsoes!D:D, previsoes!E:E, "&lt;=" &amp; EOMONTH(DATEVALUE(B825&amp;"-01"),0), previsoes!F:F, "&gt;=" &amp; DATEVALUE(B825&amp;"-01"))</f>
        <v>0</v>
      </c>
      <c r="H825" s="52">
        <f t="shared" si="5"/>
        <v>160491.8958</v>
      </c>
      <c r="I825" s="49">
        <f t="shared" si="3"/>
        <v>22906</v>
      </c>
      <c r="J825" s="52">
        <f>IF(A825&lt;&gt;"",SUMIFS(metas!N:N, metas!E:E, "&gt;=" &amp; DATEVALUE(B825&amp;"-01"),metas!D:D, "&lt;=" &amp; DATEVALUE(B825&amp;"-01")),"")</f>
        <v>3182.813937</v>
      </c>
      <c r="K825" s="49">
        <f t="shared" si="4"/>
        <v>19723.18606</v>
      </c>
      <c r="L825" s="49">
        <f t="shared" si="6"/>
        <v>15615788.66</v>
      </c>
      <c r="M825" s="49">
        <f>IF(A825&lt;&gt;"",IF(COUNTIF(investimento!F:F, B825) &gt; 0, SUM(investimento!B:B)+I825, M824+I825),"")</f>
        <v>18657202.68</v>
      </c>
    </row>
    <row r="826" ht="22.5" customHeight="1">
      <c r="A826" s="47">
        <v>50875.0</v>
      </c>
      <c r="B826" s="48" t="str">
        <f t="shared" si="1"/>
        <v>2039-04</v>
      </c>
      <c r="C826" s="49">
        <f>SUMIF(despesas_recorrentes!C:C, "&gt;="&amp;A826,despesas_recorrentes!B:B) 
+SUMIF(despesas_recorrentes!C:C, "",despesas_recorrentes!B:B)
-despesas_recorrentes!$B$12
+IF(SUMIF(gasto_cartao!E:E,saldo!B826,gasto_cartao!B:B)&gt;despesas_recorrentes!$B$12, SUMIF(gasto_cartao!E:E,saldo!B826,gasto_cartao!B:B),despesas_recorrentes!$B$12)</f>
        <v>34013</v>
      </c>
      <c r="D826" s="51">
        <f>SUM(receitas_recorrentes!B:B)+SUMIF(receitas_pontuais!E:E,B826,receitas_pontuais!B:B)</f>
        <v>56919</v>
      </c>
      <c r="E826" s="51">
        <f t="shared" si="2"/>
        <v>22906</v>
      </c>
      <c r="F826" s="53">
        <f>IFERROR(SUMIF(contas!G:G, B826, contas!B:B),0)</f>
        <v>0</v>
      </c>
      <c r="G826" s="51">
        <f>SUMIFS(previsoes!D:D, previsoes!E:E, "&lt;=" &amp; EOMONTH(DATEVALUE(B826&amp;"-01"),0), previsoes!F:F, "&gt;=" &amp; DATEVALUE(B826&amp;"-01"))</f>
        <v>0</v>
      </c>
      <c r="H826" s="52">
        <f t="shared" si="5"/>
        <v>160491.8958</v>
      </c>
      <c r="I826" s="49">
        <f t="shared" si="3"/>
        <v>22906</v>
      </c>
      <c r="J826" s="52">
        <f>IF(A826&lt;&gt;"",SUMIFS(metas!N:N, metas!E:E, "&gt;=" &amp; DATEVALUE(B826&amp;"-01"),metas!D:D, "&lt;=" &amp; DATEVALUE(B826&amp;"-01")),"")</f>
        <v>3182.813937</v>
      </c>
      <c r="K826" s="49">
        <f t="shared" si="4"/>
        <v>19723.18606</v>
      </c>
      <c r="L826" s="49">
        <f t="shared" si="6"/>
        <v>15635511.84</v>
      </c>
      <c r="M826" s="49">
        <f>IF(A826&lt;&gt;"",IF(COUNTIF(investimento!F:F, B826) &gt; 0, SUM(investimento!B:B)+I826, M825+I826),"")</f>
        <v>18680108.68</v>
      </c>
    </row>
    <row r="827" ht="22.5" customHeight="1">
      <c r="A827" s="47">
        <v>50876.0</v>
      </c>
      <c r="B827" s="48" t="str">
        <f t="shared" si="1"/>
        <v>2039-04</v>
      </c>
      <c r="C827" s="49">
        <f>SUMIF(despesas_recorrentes!C:C, "&gt;="&amp;A827,despesas_recorrentes!B:B) 
+SUMIF(despesas_recorrentes!C:C, "",despesas_recorrentes!B:B)
-despesas_recorrentes!$B$12
+IF(SUMIF(gasto_cartao!E:E,saldo!B827,gasto_cartao!B:B)&gt;despesas_recorrentes!$B$12, SUMIF(gasto_cartao!E:E,saldo!B827,gasto_cartao!B:B),despesas_recorrentes!$B$12)</f>
        <v>34013</v>
      </c>
      <c r="D827" s="51">
        <f>SUM(receitas_recorrentes!B:B)+SUMIF(receitas_pontuais!E:E,B827,receitas_pontuais!B:B)</f>
        <v>56919</v>
      </c>
      <c r="E827" s="51">
        <f t="shared" si="2"/>
        <v>22906</v>
      </c>
      <c r="F827" s="53">
        <f>IFERROR(SUMIF(contas!G:G, B827, contas!B:B),0)</f>
        <v>0</v>
      </c>
      <c r="G827" s="51">
        <f>SUMIFS(previsoes!D:D, previsoes!E:E, "&lt;=" &amp; EOMONTH(DATEVALUE(B827&amp;"-01"),0), previsoes!F:F, "&gt;=" &amp; DATEVALUE(B827&amp;"-01"))</f>
        <v>0</v>
      </c>
      <c r="H827" s="52">
        <f t="shared" si="5"/>
        <v>160491.8958</v>
      </c>
      <c r="I827" s="49">
        <f t="shared" si="3"/>
        <v>22906</v>
      </c>
      <c r="J827" s="52">
        <f>IF(A827&lt;&gt;"",SUMIFS(metas!N:N, metas!E:E, "&gt;=" &amp; DATEVALUE(B827&amp;"-01"),metas!D:D, "&lt;=" &amp; DATEVALUE(B827&amp;"-01")),"")</f>
        <v>3182.813937</v>
      </c>
      <c r="K827" s="49">
        <f t="shared" si="4"/>
        <v>19723.18606</v>
      </c>
      <c r="L827" s="49">
        <f t="shared" si="6"/>
        <v>15655235.03</v>
      </c>
      <c r="M827" s="49">
        <f>IF(A827&lt;&gt;"",IF(COUNTIF(investimento!F:F, B827) &gt; 0, SUM(investimento!B:B)+I827, M826+I827),"")</f>
        <v>18703014.68</v>
      </c>
    </row>
    <row r="828" ht="22.5" customHeight="1">
      <c r="A828" s="47">
        <v>50877.0</v>
      </c>
      <c r="B828" s="48" t="str">
        <f t="shared" si="1"/>
        <v>2039-04</v>
      </c>
      <c r="C828" s="49">
        <f>SUMIF(despesas_recorrentes!C:C, "&gt;="&amp;A828,despesas_recorrentes!B:B) 
+SUMIF(despesas_recorrentes!C:C, "",despesas_recorrentes!B:B)
-despesas_recorrentes!$B$12
+IF(SUMIF(gasto_cartao!E:E,saldo!B828,gasto_cartao!B:B)&gt;despesas_recorrentes!$B$12, SUMIF(gasto_cartao!E:E,saldo!B828,gasto_cartao!B:B),despesas_recorrentes!$B$12)</f>
        <v>34013</v>
      </c>
      <c r="D828" s="51">
        <f>SUM(receitas_recorrentes!B:B)+SUMIF(receitas_pontuais!E:E,B828,receitas_pontuais!B:B)</f>
        <v>56919</v>
      </c>
      <c r="E828" s="51">
        <f t="shared" si="2"/>
        <v>22906</v>
      </c>
      <c r="F828" s="53">
        <f>IFERROR(SUMIF(contas!G:G, B828, contas!B:B),0)</f>
        <v>0</v>
      </c>
      <c r="G828" s="51">
        <f>SUMIFS(previsoes!D:D, previsoes!E:E, "&lt;=" &amp; EOMONTH(DATEVALUE(B828&amp;"-01"),0), previsoes!F:F, "&gt;=" &amp; DATEVALUE(B828&amp;"-01"))</f>
        <v>0</v>
      </c>
      <c r="H828" s="52">
        <f t="shared" si="5"/>
        <v>160491.8958</v>
      </c>
      <c r="I828" s="49">
        <f t="shared" si="3"/>
        <v>22906</v>
      </c>
      <c r="J828" s="52">
        <f>IF(A828&lt;&gt;"",SUMIFS(metas!N:N, metas!E:E, "&gt;=" &amp; DATEVALUE(B828&amp;"-01"),metas!D:D, "&lt;=" &amp; DATEVALUE(B828&amp;"-01")),"")</f>
        <v>3182.813937</v>
      </c>
      <c r="K828" s="49">
        <f t="shared" si="4"/>
        <v>19723.18606</v>
      </c>
      <c r="L828" s="49">
        <f t="shared" si="6"/>
        <v>15674958.22</v>
      </c>
      <c r="M828" s="49">
        <f>IF(A828&lt;&gt;"",IF(COUNTIF(investimento!F:F, B828) &gt; 0, SUM(investimento!B:B)+I828, M827+I828),"")</f>
        <v>18725920.68</v>
      </c>
    </row>
    <row r="829" ht="22.5" customHeight="1">
      <c r="A829" s="47">
        <v>50878.0</v>
      </c>
      <c r="B829" s="48" t="str">
        <f t="shared" si="1"/>
        <v>2039-04</v>
      </c>
      <c r="C829" s="49">
        <f>SUMIF(despesas_recorrentes!C:C, "&gt;="&amp;A829,despesas_recorrentes!B:B) 
+SUMIF(despesas_recorrentes!C:C, "",despesas_recorrentes!B:B)
-despesas_recorrentes!$B$12
+IF(SUMIF(gasto_cartao!E:E,saldo!B829,gasto_cartao!B:B)&gt;despesas_recorrentes!$B$12, SUMIF(gasto_cartao!E:E,saldo!B829,gasto_cartao!B:B),despesas_recorrentes!$B$12)</f>
        <v>34013</v>
      </c>
      <c r="D829" s="51">
        <f>SUM(receitas_recorrentes!B:B)+SUMIF(receitas_pontuais!E:E,B829,receitas_pontuais!B:B)</f>
        <v>56919</v>
      </c>
      <c r="E829" s="51">
        <f t="shared" si="2"/>
        <v>22906</v>
      </c>
      <c r="F829" s="53">
        <f>IFERROR(SUMIF(contas!G:G, B829, contas!B:B),0)</f>
        <v>0</v>
      </c>
      <c r="G829" s="51">
        <f>SUMIFS(previsoes!D:D, previsoes!E:E, "&lt;=" &amp; EOMONTH(DATEVALUE(B829&amp;"-01"),0), previsoes!F:F, "&gt;=" &amp; DATEVALUE(B829&amp;"-01"))</f>
        <v>0</v>
      </c>
      <c r="H829" s="52">
        <f t="shared" si="5"/>
        <v>160491.8958</v>
      </c>
      <c r="I829" s="49">
        <f t="shared" si="3"/>
        <v>22906</v>
      </c>
      <c r="J829" s="52">
        <f>IF(A829&lt;&gt;"",SUMIFS(metas!N:N, metas!E:E, "&gt;=" &amp; DATEVALUE(B829&amp;"-01"),metas!D:D, "&lt;=" &amp; DATEVALUE(B829&amp;"-01")),"")</f>
        <v>3182.813937</v>
      </c>
      <c r="K829" s="49">
        <f t="shared" si="4"/>
        <v>19723.18606</v>
      </c>
      <c r="L829" s="49">
        <f t="shared" si="6"/>
        <v>15694681.4</v>
      </c>
      <c r="M829" s="49">
        <f>IF(A829&lt;&gt;"",IF(COUNTIF(investimento!F:F, B829) &gt; 0, SUM(investimento!B:B)+I829, M828+I829),"")</f>
        <v>18748826.68</v>
      </c>
    </row>
    <row r="830" ht="22.5" customHeight="1">
      <c r="A830" s="47">
        <v>50879.0</v>
      </c>
      <c r="B830" s="48" t="str">
        <f t="shared" si="1"/>
        <v>2039-04</v>
      </c>
      <c r="C830" s="49">
        <f>SUMIF(despesas_recorrentes!C:C, "&gt;="&amp;A830,despesas_recorrentes!B:B) 
+SUMIF(despesas_recorrentes!C:C, "",despesas_recorrentes!B:B)
-despesas_recorrentes!$B$12
+IF(SUMIF(gasto_cartao!E:E,saldo!B830,gasto_cartao!B:B)&gt;despesas_recorrentes!$B$12, SUMIF(gasto_cartao!E:E,saldo!B830,gasto_cartao!B:B),despesas_recorrentes!$B$12)</f>
        <v>34013</v>
      </c>
      <c r="D830" s="51">
        <f>SUM(receitas_recorrentes!B:B)+SUMIF(receitas_pontuais!E:E,B830,receitas_pontuais!B:B)</f>
        <v>56919</v>
      </c>
      <c r="E830" s="51">
        <f t="shared" si="2"/>
        <v>22906</v>
      </c>
      <c r="F830" s="53">
        <f>IFERROR(SUMIF(contas!G:G, B830, contas!B:B),0)</f>
        <v>0</v>
      </c>
      <c r="G830" s="51">
        <f>SUMIFS(previsoes!D:D, previsoes!E:E, "&lt;=" &amp; EOMONTH(DATEVALUE(B830&amp;"-01"),0), previsoes!F:F, "&gt;=" &amp; DATEVALUE(B830&amp;"-01"))</f>
        <v>0</v>
      </c>
      <c r="H830" s="52">
        <f t="shared" si="5"/>
        <v>160491.8958</v>
      </c>
      <c r="I830" s="49">
        <f t="shared" si="3"/>
        <v>22906</v>
      </c>
      <c r="J830" s="52">
        <f>IF(A830&lt;&gt;"",SUMIFS(metas!N:N, metas!E:E, "&gt;=" &amp; DATEVALUE(B830&amp;"-01"),metas!D:D, "&lt;=" &amp; DATEVALUE(B830&amp;"-01")),"")</f>
        <v>3182.813937</v>
      </c>
      <c r="K830" s="49">
        <f t="shared" si="4"/>
        <v>19723.18606</v>
      </c>
      <c r="L830" s="49">
        <f t="shared" si="6"/>
        <v>15714404.59</v>
      </c>
      <c r="M830" s="49">
        <f>IF(A830&lt;&gt;"",IF(COUNTIF(investimento!F:F, B830) &gt; 0, SUM(investimento!B:B)+I830, M829+I830),"")</f>
        <v>18771732.68</v>
      </c>
    </row>
    <row r="831" ht="22.5" customHeight="1">
      <c r="A831" s="47">
        <v>50880.0</v>
      </c>
      <c r="B831" s="48" t="str">
        <f t="shared" si="1"/>
        <v>2039-04</v>
      </c>
      <c r="C831" s="49">
        <f>SUMIF(despesas_recorrentes!C:C, "&gt;="&amp;A831,despesas_recorrentes!B:B) 
+SUMIF(despesas_recorrentes!C:C, "",despesas_recorrentes!B:B)
-despesas_recorrentes!$B$12
+IF(SUMIF(gasto_cartao!E:E,saldo!B831,gasto_cartao!B:B)&gt;despesas_recorrentes!$B$12, SUMIF(gasto_cartao!E:E,saldo!B831,gasto_cartao!B:B),despesas_recorrentes!$B$12)</f>
        <v>34013</v>
      </c>
      <c r="D831" s="51">
        <f>SUM(receitas_recorrentes!B:B)+SUMIF(receitas_pontuais!E:E,B831,receitas_pontuais!B:B)</f>
        <v>56919</v>
      </c>
      <c r="E831" s="51">
        <f t="shared" si="2"/>
        <v>22906</v>
      </c>
      <c r="F831" s="53">
        <f>IFERROR(SUMIF(contas!G:G, B831, contas!B:B),0)</f>
        <v>0</v>
      </c>
      <c r="G831" s="51">
        <f>SUMIFS(previsoes!D:D, previsoes!E:E, "&lt;=" &amp; EOMONTH(DATEVALUE(B831&amp;"-01"),0), previsoes!F:F, "&gt;=" &amp; DATEVALUE(B831&amp;"-01"))</f>
        <v>0</v>
      </c>
      <c r="H831" s="52">
        <f t="shared" si="5"/>
        <v>160491.8958</v>
      </c>
      <c r="I831" s="49">
        <f t="shared" si="3"/>
        <v>22906</v>
      </c>
      <c r="J831" s="52">
        <f>IF(A831&lt;&gt;"",SUMIFS(metas!N:N, metas!E:E, "&gt;=" &amp; DATEVALUE(B831&amp;"-01"),metas!D:D, "&lt;=" &amp; DATEVALUE(B831&amp;"-01")),"")</f>
        <v>3182.813937</v>
      </c>
      <c r="K831" s="49">
        <f t="shared" si="4"/>
        <v>19723.18606</v>
      </c>
      <c r="L831" s="49">
        <f t="shared" si="6"/>
        <v>15734127.78</v>
      </c>
      <c r="M831" s="49">
        <f>IF(A831&lt;&gt;"",IF(COUNTIF(investimento!F:F, B831) &gt; 0, SUM(investimento!B:B)+I831, M830+I831),"")</f>
        <v>18794638.68</v>
      </c>
    </row>
    <row r="832" ht="22.5" customHeight="1">
      <c r="A832" s="47">
        <v>50881.0</v>
      </c>
      <c r="B832" s="48" t="str">
        <f t="shared" si="1"/>
        <v>2039-04</v>
      </c>
      <c r="C832" s="49">
        <f>SUMIF(despesas_recorrentes!C:C, "&gt;="&amp;A832,despesas_recorrentes!B:B) 
+SUMIF(despesas_recorrentes!C:C, "",despesas_recorrentes!B:B)
-despesas_recorrentes!$B$12
+IF(SUMIF(gasto_cartao!E:E,saldo!B832,gasto_cartao!B:B)&gt;despesas_recorrentes!$B$12, SUMIF(gasto_cartao!E:E,saldo!B832,gasto_cartao!B:B),despesas_recorrentes!$B$12)</f>
        <v>34013</v>
      </c>
      <c r="D832" s="51">
        <f>SUM(receitas_recorrentes!B:B)+SUMIF(receitas_pontuais!E:E,B832,receitas_pontuais!B:B)</f>
        <v>56919</v>
      </c>
      <c r="E832" s="51">
        <f t="shared" si="2"/>
        <v>22906</v>
      </c>
      <c r="F832" s="53">
        <f>IFERROR(SUMIF(contas!G:G, B832, contas!B:B),0)</f>
        <v>0</v>
      </c>
      <c r="G832" s="51">
        <f>SUMIFS(previsoes!D:D, previsoes!E:E, "&lt;=" &amp; EOMONTH(DATEVALUE(B832&amp;"-01"),0), previsoes!F:F, "&gt;=" &amp; DATEVALUE(B832&amp;"-01"))</f>
        <v>0</v>
      </c>
      <c r="H832" s="52">
        <f t="shared" si="5"/>
        <v>160491.8958</v>
      </c>
      <c r="I832" s="49">
        <f t="shared" si="3"/>
        <v>22906</v>
      </c>
      <c r="J832" s="52">
        <f>IF(A832&lt;&gt;"",SUMIFS(metas!N:N, metas!E:E, "&gt;=" &amp; DATEVALUE(B832&amp;"-01"),metas!D:D, "&lt;=" &amp; DATEVALUE(B832&amp;"-01")),"")</f>
        <v>3182.813937</v>
      </c>
      <c r="K832" s="49">
        <f t="shared" si="4"/>
        <v>19723.18606</v>
      </c>
      <c r="L832" s="49">
        <f t="shared" si="6"/>
        <v>15753850.96</v>
      </c>
      <c r="M832" s="49">
        <f>IF(A832&lt;&gt;"",IF(COUNTIF(investimento!F:F, B832) &gt; 0, SUM(investimento!B:B)+I832, M831+I832),"")</f>
        <v>18817544.68</v>
      </c>
    </row>
    <row r="833" ht="22.5" customHeight="1">
      <c r="A833" s="47">
        <v>50882.0</v>
      </c>
      <c r="B833" s="48" t="str">
        <f t="shared" si="1"/>
        <v>2039-04</v>
      </c>
      <c r="C833" s="49">
        <f>SUMIF(despesas_recorrentes!C:C, "&gt;="&amp;A833,despesas_recorrentes!B:B) 
+SUMIF(despesas_recorrentes!C:C, "",despesas_recorrentes!B:B)
-despesas_recorrentes!$B$12
+IF(SUMIF(gasto_cartao!E:E,saldo!B833,gasto_cartao!B:B)&gt;despesas_recorrentes!$B$12, SUMIF(gasto_cartao!E:E,saldo!B833,gasto_cartao!B:B),despesas_recorrentes!$B$12)</f>
        <v>34013</v>
      </c>
      <c r="D833" s="51">
        <f>SUM(receitas_recorrentes!B:B)+SUMIF(receitas_pontuais!E:E,B833,receitas_pontuais!B:B)</f>
        <v>56919</v>
      </c>
      <c r="E833" s="51">
        <f t="shared" si="2"/>
        <v>22906</v>
      </c>
      <c r="F833" s="53">
        <f>IFERROR(SUMIF(contas!G:G, B833, contas!B:B),0)</f>
        <v>0</v>
      </c>
      <c r="G833" s="51">
        <f>SUMIFS(previsoes!D:D, previsoes!E:E, "&lt;=" &amp; EOMONTH(DATEVALUE(B833&amp;"-01"),0), previsoes!F:F, "&gt;=" &amp; DATEVALUE(B833&amp;"-01"))</f>
        <v>0</v>
      </c>
      <c r="H833" s="52">
        <f t="shared" si="5"/>
        <v>160491.8958</v>
      </c>
      <c r="I833" s="49">
        <f t="shared" si="3"/>
        <v>22906</v>
      </c>
      <c r="J833" s="52">
        <f>IF(A833&lt;&gt;"",SUMIFS(metas!N:N, metas!E:E, "&gt;=" &amp; DATEVALUE(B833&amp;"-01"),metas!D:D, "&lt;=" &amp; DATEVALUE(B833&amp;"-01")),"")</f>
        <v>3182.813937</v>
      </c>
      <c r="K833" s="49">
        <f t="shared" si="4"/>
        <v>19723.18606</v>
      </c>
      <c r="L833" s="49">
        <f t="shared" si="6"/>
        <v>15773574.15</v>
      </c>
      <c r="M833" s="49">
        <f>IF(A833&lt;&gt;"",IF(COUNTIF(investimento!F:F, B833) &gt; 0, SUM(investimento!B:B)+I833, M832+I833),"")</f>
        <v>18840450.68</v>
      </c>
    </row>
    <row r="834" ht="22.5" customHeight="1">
      <c r="A834" s="47">
        <v>50883.0</v>
      </c>
      <c r="B834" s="48" t="str">
        <f t="shared" si="1"/>
        <v>2039-04</v>
      </c>
      <c r="C834" s="49">
        <f>SUMIF(despesas_recorrentes!C:C, "&gt;="&amp;A834,despesas_recorrentes!B:B) 
+SUMIF(despesas_recorrentes!C:C, "",despesas_recorrentes!B:B)
-despesas_recorrentes!$B$12
+IF(SUMIF(gasto_cartao!E:E,saldo!B834,gasto_cartao!B:B)&gt;despesas_recorrentes!$B$12, SUMIF(gasto_cartao!E:E,saldo!B834,gasto_cartao!B:B),despesas_recorrentes!$B$12)</f>
        <v>34013</v>
      </c>
      <c r="D834" s="51">
        <f>SUM(receitas_recorrentes!B:B)+SUMIF(receitas_pontuais!E:E,B834,receitas_pontuais!B:B)</f>
        <v>56919</v>
      </c>
      <c r="E834" s="51">
        <f t="shared" si="2"/>
        <v>22906</v>
      </c>
      <c r="F834" s="53">
        <f>IFERROR(SUMIF(contas!G:G, B834, contas!B:B),0)</f>
        <v>0</v>
      </c>
      <c r="G834" s="51">
        <f>SUMIFS(previsoes!D:D, previsoes!E:E, "&lt;=" &amp; EOMONTH(DATEVALUE(B834&amp;"-01"),0), previsoes!F:F, "&gt;=" &amp; DATEVALUE(B834&amp;"-01"))</f>
        <v>0</v>
      </c>
      <c r="H834" s="52">
        <f t="shared" si="5"/>
        <v>160491.8958</v>
      </c>
      <c r="I834" s="49">
        <f t="shared" si="3"/>
        <v>22906</v>
      </c>
      <c r="J834" s="52">
        <f>IF(A834&lt;&gt;"",SUMIFS(metas!N:N, metas!E:E, "&gt;=" &amp; DATEVALUE(B834&amp;"-01"),metas!D:D, "&lt;=" &amp; DATEVALUE(B834&amp;"-01")),"")</f>
        <v>3182.813937</v>
      </c>
      <c r="K834" s="49">
        <f t="shared" si="4"/>
        <v>19723.18606</v>
      </c>
      <c r="L834" s="49">
        <f t="shared" si="6"/>
        <v>15793297.33</v>
      </c>
      <c r="M834" s="49">
        <f>IF(A834&lt;&gt;"",IF(COUNTIF(investimento!F:F, B834) &gt; 0, SUM(investimento!B:B)+I834, M833+I834),"")</f>
        <v>18863356.68</v>
      </c>
    </row>
    <row r="835" ht="22.5" customHeight="1">
      <c r="A835" s="47">
        <v>50884.0</v>
      </c>
      <c r="B835" s="48" t="str">
        <f t="shared" si="1"/>
        <v>2039-04</v>
      </c>
      <c r="C835" s="49">
        <f>SUMIF(despesas_recorrentes!C:C, "&gt;="&amp;A835,despesas_recorrentes!B:B) 
+SUMIF(despesas_recorrentes!C:C, "",despesas_recorrentes!B:B)
-despesas_recorrentes!$B$12
+IF(SUMIF(gasto_cartao!E:E,saldo!B835,gasto_cartao!B:B)&gt;despesas_recorrentes!$B$12, SUMIF(gasto_cartao!E:E,saldo!B835,gasto_cartao!B:B),despesas_recorrentes!$B$12)</f>
        <v>34013</v>
      </c>
      <c r="D835" s="51">
        <f>SUM(receitas_recorrentes!B:B)+SUMIF(receitas_pontuais!E:E,B835,receitas_pontuais!B:B)</f>
        <v>56919</v>
      </c>
      <c r="E835" s="51">
        <f t="shared" si="2"/>
        <v>22906</v>
      </c>
      <c r="F835" s="53">
        <f>IFERROR(SUMIF(contas!G:G, B835, contas!B:B),0)</f>
        <v>0</v>
      </c>
      <c r="G835" s="51">
        <f>SUMIFS(previsoes!D:D, previsoes!E:E, "&lt;=" &amp; EOMONTH(DATEVALUE(B835&amp;"-01"),0), previsoes!F:F, "&gt;=" &amp; DATEVALUE(B835&amp;"-01"))</f>
        <v>0</v>
      </c>
      <c r="H835" s="52">
        <f t="shared" si="5"/>
        <v>160491.8958</v>
      </c>
      <c r="I835" s="49">
        <f t="shared" si="3"/>
        <v>22906</v>
      </c>
      <c r="J835" s="52">
        <f>IF(A835&lt;&gt;"",SUMIFS(metas!N:N, metas!E:E, "&gt;=" &amp; DATEVALUE(B835&amp;"-01"),metas!D:D, "&lt;=" &amp; DATEVALUE(B835&amp;"-01")),"")</f>
        <v>3182.813937</v>
      </c>
      <c r="K835" s="49">
        <f t="shared" si="4"/>
        <v>19723.18606</v>
      </c>
      <c r="L835" s="49">
        <f t="shared" si="6"/>
        <v>15813020.52</v>
      </c>
      <c r="M835" s="49">
        <f>IF(A835&lt;&gt;"",IF(COUNTIF(investimento!F:F, B835) &gt; 0, SUM(investimento!B:B)+I835, M834+I835),"")</f>
        <v>18886262.68</v>
      </c>
    </row>
    <row r="836" ht="22.5" customHeight="1">
      <c r="A836" s="47">
        <v>50885.0</v>
      </c>
      <c r="B836" s="48" t="str">
        <f t="shared" si="1"/>
        <v>2039-04</v>
      </c>
      <c r="C836" s="49">
        <f>SUMIF(despesas_recorrentes!C:C, "&gt;="&amp;A836,despesas_recorrentes!B:B) 
+SUMIF(despesas_recorrentes!C:C, "",despesas_recorrentes!B:B)
-despesas_recorrentes!$B$12
+IF(SUMIF(gasto_cartao!E:E,saldo!B836,gasto_cartao!B:B)&gt;despesas_recorrentes!$B$12, SUMIF(gasto_cartao!E:E,saldo!B836,gasto_cartao!B:B),despesas_recorrentes!$B$12)</f>
        <v>34013</v>
      </c>
      <c r="D836" s="51">
        <f>SUM(receitas_recorrentes!B:B)+SUMIF(receitas_pontuais!E:E,B836,receitas_pontuais!B:B)</f>
        <v>56919</v>
      </c>
      <c r="E836" s="51">
        <f t="shared" si="2"/>
        <v>22906</v>
      </c>
      <c r="F836" s="53">
        <f>IFERROR(SUMIF(contas!G:G, B836, contas!B:B),0)</f>
        <v>0</v>
      </c>
      <c r="G836" s="51">
        <f>SUMIFS(previsoes!D:D, previsoes!E:E, "&lt;=" &amp; EOMONTH(DATEVALUE(B836&amp;"-01"),0), previsoes!F:F, "&gt;=" &amp; DATEVALUE(B836&amp;"-01"))</f>
        <v>0</v>
      </c>
      <c r="H836" s="52">
        <f t="shared" si="5"/>
        <v>160491.8958</v>
      </c>
      <c r="I836" s="49">
        <f t="shared" si="3"/>
        <v>22906</v>
      </c>
      <c r="J836" s="52">
        <f>IF(A836&lt;&gt;"",SUMIFS(metas!N:N, metas!E:E, "&gt;=" &amp; DATEVALUE(B836&amp;"-01"),metas!D:D, "&lt;=" &amp; DATEVALUE(B836&amp;"-01")),"")</f>
        <v>3182.813937</v>
      </c>
      <c r="K836" s="49">
        <f t="shared" si="4"/>
        <v>19723.18606</v>
      </c>
      <c r="L836" s="49">
        <f t="shared" si="6"/>
        <v>15832743.71</v>
      </c>
      <c r="M836" s="49">
        <f>IF(A836&lt;&gt;"",IF(COUNTIF(investimento!F:F, B836) &gt; 0, SUM(investimento!B:B)+I836, M835+I836),"")</f>
        <v>18909168.68</v>
      </c>
    </row>
    <row r="837" ht="22.5" customHeight="1">
      <c r="A837" s="47">
        <v>50886.0</v>
      </c>
      <c r="B837" s="48" t="str">
        <f t="shared" si="1"/>
        <v>2039-04</v>
      </c>
      <c r="C837" s="49">
        <f>SUMIF(despesas_recorrentes!C:C, "&gt;="&amp;A837,despesas_recorrentes!B:B) 
+SUMIF(despesas_recorrentes!C:C, "",despesas_recorrentes!B:B)
-despesas_recorrentes!$B$12
+IF(SUMIF(gasto_cartao!E:E,saldo!B837,gasto_cartao!B:B)&gt;despesas_recorrentes!$B$12, SUMIF(gasto_cartao!E:E,saldo!B837,gasto_cartao!B:B),despesas_recorrentes!$B$12)</f>
        <v>34013</v>
      </c>
      <c r="D837" s="51">
        <f>SUM(receitas_recorrentes!B:B)+SUMIF(receitas_pontuais!E:E,B837,receitas_pontuais!B:B)</f>
        <v>56919</v>
      </c>
      <c r="E837" s="51">
        <f t="shared" si="2"/>
        <v>22906</v>
      </c>
      <c r="F837" s="53">
        <f>IFERROR(SUMIF(contas!G:G, B837, contas!B:B),0)</f>
        <v>0</v>
      </c>
      <c r="G837" s="51">
        <f>SUMIFS(previsoes!D:D, previsoes!E:E, "&lt;=" &amp; EOMONTH(DATEVALUE(B837&amp;"-01"),0), previsoes!F:F, "&gt;=" &amp; DATEVALUE(B837&amp;"-01"))</f>
        <v>0</v>
      </c>
      <c r="H837" s="52">
        <f t="shared" si="5"/>
        <v>160491.8958</v>
      </c>
      <c r="I837" s="49">
        <f t="shared" si="3"/>
        <v>22906</v>
      </c>
      <c r="J837" s="52">
        <f>IF(A837&lt;&gt;"",SUMIFS(metas!N:N, metas!E:E, "&gt;=" &amp; DATEVALUE(B837&amp;"-01"),metas!D:D, "&lt;=" &amp; DATEVALUE(B837&amp;"-01")),"")</f>
        <v>3182.813937</v>
      </c>
      <c r="K837" s="49">
        <f t="shared" si="4"/>
        <v>19723.18606</v>
      </c>
      <c r="L837" s="49">
        <f t="shared" si="6"/>
        <v>15852466.89</v>
      </c>
      <c r="M837" s="49">
        <f>IF(A837&lt;&gt;"",IF(COUNTIF(investimento!F:F, B837) &gt; 0, SUM(investimento!B:B)+I837, M836+I837),"")</f>
        <v>18932074.68</v>
      </c>
    </row>
    <row r="838" ht="22.5" customHeight="1">
      <c r="A838" s="47">
        <v>50887.0</v>
      </c>
      <c r="B838" s="48" t="str">
        <f t="shared" si="1"/>
        <v>2039-04</v>
      </c>
      <c r="C838" s="49">
        <f>SUMIF(despesas_recorrentes!C:C, "&gt;="&amp;A838,despesas_recorrentes!B:B) 
+SUMIF(despesas_recorrentes!C:C, "",despesas_recorrentes!B:B)
-despesas_recorrentes!$B$12
+IF(SUMIF(gasto_cartao!E:E,saldo!B838,gasto_cartao!B:B)&gt;despesas_recorrentes!$B$12, SUMIF(gasto_cartao!E:E,saldo!B838,gasto_cartao!B:B),despesas_recorrentes!$B$12)</f>
        <v>34013</v>
      </c>
      <c r="D838" s="51">
        <f>SUM(receitas_recorrentes!B:B)+SUMIF(receitas_pontuais!E:E,B838,receitas_pontuais!B:B)</f>
        <v>56919</v>
      </c>
      <c r="E838" s="51">
        <f t="shared" si="2"/>
        <v>22906</v>
      </c>
      <c r="F838" s="53">
        <f>IFERROR(SUMIF(contas!G:G, B838, contas!B:B),0)</f>
        <v>0</v>
      </c>
      <c r="G838" s="51">
        <f>SUMIFS(previsoes!D:D, previsoes!E:E, "&lt;=" &amp; EOMONTH(DATEVALUE(B838&amp;"-01"),0), previsoes!F:F, "&gt;=" &amp; DATEVALUE(B838&amp;"-01"))</f>
        <v>0</v>
      </c>
      <c r="H838" s="52">
        <f t="shared" si="5"/>
        <v>160491.8958</v>
      </c>
      <c r="I838" s="49">
        <f t="shared" si="3"/>
        <v>22906</v>
      </c>
      <c r="J838" s="52">
        <f>IF(A838&lt;&gt;"",SUMIFS(metas!N:N, metas!E:E, "&gt;=" &amp; DATEVALUE(B838&amp;"-01"),metas!D:D, "&lt;=" &amp; DATEVALUE(B838&amp;"-01")),"")</f>
        <v>3182.813937</v>
      </c>
      <c r="K838" s="49">
        <f t="shared" si="4"/>
        <v>19723.18606</v>
      </c>
      <c r="L838" s="49">
        <f t="shared" si="6"/>
        <v>15872190.08</v>
      </c>
      <c r="M838" s="49">
        <f>IF(A838&lt;&gt;"",IF(COUNTIF(investimento!F:F, B838) &gt; 0, SUM(investimento!B:B)+I838, M837+I838),"")</f>
        <v>18954980.68</v>
      </c>
    </row>
    <row r="839" ht="22.5" customHeight="1">
      <c r="A839" s="47">
        <v>50888.0</v>
      </c>
      <c r="B839" s="48" t="str">
        <f t="shared" si="1"/>
        <v>2039-04</v>
      </c>
      <c r="C839" s="49">
        <f>SUMIF(despesas_recorrentes!C:C, "&gt;="&amp;A839,despesas_recorrentes!B:B) 
+SUMIF(despesas_recorrentes!C:C, "",despesas_recorrentes!B:B)
-despesas_recorrentes!$B$12
+IF(SUMIF(gasto_cartao!E:E,saldo!B839,gasto_cartao!B:B)&gt;despesas_recorrentes!$B$12, SUMIF(gasto_cartao!E:E,saldo!B839,gasto_cartao!B:B),despesas_recorrentes!$B$12)</f>
        <v>34013</v>
      </c>
      <c r="D839" s="51">
        <f>SUM(receitas_recorrentes!B:B)+SUMIF(receitas_pontuais!E:E,B839,receitas_pontuais!B:B)</f>
        <v>56919</v>
      </c>
      <c r="E839" s="51">
        <f t="shared" si="2"/>
        <v>22906</v>
      </c>
      <c r="F839" s="53">
        <f>IFERROR(SUMIF(contas!G:G, B839, contas!B:B),0)</f>
        <v>0</v>
      </c>
      <c r="G839" s="51">
        <f>SUMIFS(previsoes!D:D, previsoes!E:E, "&lt;=" &amp; EOMONTH(DATEVALUE(B839&amp;"-01"),0), previsoes!F:F, "&gt;=" &amp; DATEVALUE(B839&amp;"-01"))</f>
        <v>0</v>
      </c>
      <c r="H839" s="52">
        <f t="shared" si="5"/>
        <v>160491.8958</v>
      </c>
      <c r="I839" s="49">
        <f t="shared" si="3"/>
        <v>22906</v>
      </c>
      <c r="J839" s="52">
        <f>IF(A839&lt;&gt;"",SUMIFS(metas!N:N, metas!E:E, "&gt;=" &amp; DATEVALUE(B839&amp;"-01"),metas!D:D, "&lt;=" &amp; DATEVALUE(B839&amp;"-01")),"")</f>
        <v>3182.813937</v>
      </c>
      <c r="K839" s="49">
        <f t="shared" si="4"/>
        <v>19723.18606</v>
      </c>
      <c r="L839" s="49">
        <f t="shared" si="6"/>
        <v>15891913.26</v>
      </c>
      <c r="M839" s="49">
        <f>IF(A839&lt;&gt;"",IF(COUNTIF(investimento!F:F, B839) &gt; 0, SUM(investimento!B:B)+I839, M838+I839),"")</f>
        <v>18977886.68</v>
      </c>
    </row>
    <row r="840" ht="22.5" customHeight="1">
      <c r="A840" s="47">
        <v>50889.0</v>
      </c>
      <c r="B840" s="48" t="str">
        <f t="shared" si="1"/>
        <v>2039-04</v>
      </c>
      <c r="C840" s="49">
        <f>SUMIF(despesas_recorrentes!C:C, "&gt;="&amp;A840,despesas_recorrentes!B:B) 
+SUMIF(despesas_recorrentes!C:C, "",despesas_recorrentes!B:B)
-despesas_recorrentes!$B$12
+IF(SUMIF(gasto_cartao!E:E,saldo!B840,gasto_cartao!B:B)&gt;despesas_recorrentes!$B$12, SUMIF(gasto_cartao!E:E,saldo!B840,gasto_cartao!B:B),despesas_recorrentes!$B$12)</f>
        <v>34013</v>
      </c>
      <c r="D840" s="51">
        <f>SUM(receitas_recorrentes!B:B)+SUMIF(receitas_pontuais!E:E,B840,receitas_pontuais!B:B)</f>
        <v>56919</v>
      </c>
      <c r="E840" s="51">
        <f t="shared" si="2"/>
        <v>22906</v>
      </c>
      <c r="F840" s="53">
        <f>IFERROR(SUMIF(contas!G:G, B840, contas!B:B),0)</f>
        <v>0</v>
      </c>
      <c r="G840" s="51">
        <f>SUMIFS(previsoes!D:D, previsoes!E:E, "&lt;=" &amp; EOMONTH(DATEVALUE(B840&amp;"-01"),0), previsoes!F:F, "&gt;=" &amp; DATEVALUE(B840&amp;"-01"))</f>
        <v>0</v>
      </c>
      <c r="H840" s="52">
        <f t="shared" si="5"/>
        <v>160491.8958</v>
      </c>
      <c r="I840" s="49">
        <f t="shared" si="3"/>
        <v>22906</v>
      </c>
      <c r="J840" s="52">
        <f>IF(A840&lt;&gt;"",SUMIFS(metas!N:N, metas!E:E, "&gt;=" &amp; DATEVALUE(B840&amp;"-01"),metas!D:D, "&lt;=" &amp; DATEVALUE(B840&amp;"-01")),"")</f>
        <v>3182.813937</v>
      </c>
      <c r="K840" s="49">
        <f t="shared" si="4"/>
        <v>19723.18606</v>
      </c>
      <c r="L840" s="49">
        <f t="shared" si="6"/>
        <v>15911636.45</v>
      </c>
      <c r="M840" s="49">
        <f>IF(A840&lt;&gt;"",IF(COUNTIF(investimento!F:F, B840) &gt; 0, SUM(investimento!B:B)+I840, M839+I840),"")</f>
        <v>19000792.68</v>
      </c>
    </row>
    <row r="841" ht="22.5" customHeight="1">
      <c r="A841" s="47">
        <v>50890.0</v>
      </c>
      <c r="B841" s="48" t="str">
        <f t="shared" si="1"/>
        <v>2039-04</v>
      </c>
      <c r="C841" s="49">
        <f>SUMIF(despesas_recorrentes!C:C, "&gt;="&amp;A841,despesas_recorrentes!B:B) 
+SUMIF(despesas_recorrentes!C:C, "",despesas_recorrentes!B:B)
-despesas_recorrentes!$B$12
+IF(SUMIF(gasto_cartao!E:E,saldo!B841,gasto_cartao!B:B)&gt;despesas_recorrentes!$B$12, SUMIF(gasto_cartao!E:E,saldo!B841,gasto_cartao!B:B),despesas_recorrentes!$B$12)</f>
        <v>34013</v>
      </c>
      <c r="D841" s="51">
        <f>SUM(receitas_recorrentes!B:B)+SUMIF(receitas_pontuais!E:E,B841,receitas_pontuais!B:B)</f>
        <v>56919</v>
      </c>
      <c r="E841" s="51">
        <f t="shared" si="2"/>
        <v>22906</v>
      </c>
      <c r="F841" s="53">
        <f>IFERROR(SUMIF(contas!G:G, B841, contas!B:B),0)</f>
        <v>0</v>
      </c>
      <c r="G841" s="51">
        <f>SUMIFS(previsoes!D:D, previsoes!E:E, "&lt;=" &amp; EOMONTH(DATEVALUE(B841&amp;"-01"),0), previsoes!F:F, "&gt;=" &amp; DATEVALUE(B841&amp;"-01"))</f>
        <v>0</v>
      </c>
      <c r="H841" s="52">
        <f t="shared" si="5"/>
        <v>160491.8958</v>
      </c>
      <c r="I841" s="49">
        <f t="shared" si="3"/>
        <v>22906</v>
      </c>
      <c r="J841" s="52">
        <f>IF(A841&lt;&gt;"",SUMIFS(metas!N:N, metas!E:E, "&gt;=" &amp; DATEVALUE(B841&amp;"-01"),metas!D:D, "&lt;=" &amp; DATEVALUE(B841&amp;"-01")),"")</f>
        <v>3182.813937</v>
      </c>
      <c r="K841" s="49">
        <f t="shared" si="4"/>
        <v>19723.18606</v>
      </c>
      <c r="L841" s="49">
        <f t="shared" si="6"/>
        <v>15931359.64</v>
      </c>
      <c r="M841" s="49">
        <f>IF(A841&lt;&gt;"",IF(COUNTIF(investimento!F:F, B841) &gt; 0, SUM(investimento!B:B)+I841, M840+I841),"")</f>
        <v>19023698.68</v>
      </c>
    </row>
    <row r="842" ht="22.5" customHeight="1">
      <c r="A842" s="47">
        <v>50891.0</v>
      </c>
      <c r="B842" s="48" t="str">
        <f t="shared" si="1"/>
        <v>2039-05</v>
      </c>
      <c r="C842" s="49">
        <f>SUMIF(despesas_recorrentes!C:C, "&gt;="&amp;A842,despesas_recorrentes!B:B) 
+SUMIF(despesas_recorrentes!C:C, "",despesas_recorrentes!B:B)
-despesas_recorrentes!$B$12
+IF(SUMIF(gasto_cartao!E:E,saldo!B842,gasto_cartao!B:B)&gt;despesas_recorrentes!$B$12, SUMIF(gasto_cartao!E:E,saldo!B842,gasto_cartao!B:B),despesas_recorrentes!$B$12)</f>
        <v>34013</v>
      </c>
      <c r="D842" s="51">
        <f>SUM(receitas_recorrentes!B:B)+SUMIF(receitas_pontuais!E:E,B842,receitas_pontuais!B:B)</f>
        <v>56919</v>
      </c>
      <c r="E842" s="51">
        <f t="shared" si="2"/>
        <v>22906</v>
      </c>
      <c r="F842" s="53">
        <f>IFERROR(SUMIF(contas!G:G, B842, contas!B:B),0)</f>
        <v>0</v>
      </c>
      <c r="G842" s="51">
        <f>SUMIFS(previsoes!D:D, previsoes!E:E, "&lt;=" &amp; EOMONTH(DATEVALUE(B842&amp;"-01"),0), previsoes!F:F, "&gt;=" &amp; DATEVALUE(B842&amp;"-01"))</f>
        <v>0</v>
      </c>
      <c r="H842" s="52">
        <f t="shared" si="5"/>
        <v>160491.8958</v>
      </c>
      <c r="I842" s="49">
        <f t="shared" si="3"/>
        <v>22906</v>
      </c>
      <c r="J842" s="52">
        <f>IF(A842&lt;&gt;"",SUMIFS(metas!N:N, metas!E:E, "&gt;=" &amp; DATEVALUE(B842&amp;"-01"),metas!D:D, "&lt;=" &amp; DATEVALUE(B842&amp;"-01")),"")</f>
        <v>3182.813937</v>
      </c>
      <c r="K842" s="49">
        <f t="shared" si="4"/>
        <v>19723.18606</v>
      </c>
      <c r="L842" s="49">
        <f t="shared" si="6"/>
        <v>15951082.82</v>
      </c>
      <c r="M842" s="49">
        <f>IF(A842&lt;&gt;"",IF(COUNTIF(investimento!F:F, B842) &gt; 0, SUM(investimento!B:B)+I842, M841+I842),"")</f>
        <v>19046604.68</v>
      </c>
    </row>
    <row r="843" ht="22.5" customHeight="1">
      <c r="A843" s="47">
        <v>50892.0</v>
      </c>
      <c r="B843" s="48" t="str">
        <f t="shared" si="1"/>
        <v>2039-05</v>
      </c>
      <c r="C843" s="49">
        <f>SUMIF(despesas_recorrentes!C:C, "&gt;="&amp;A843,despesas_recorrentes!B:B) 
+SUMIF(despesas_recorrentes!C:C, "",despesas_recorrentes!B:B)
-despesas_recorrentes!$B$12
+IF(SUMIF(gasto_cartao!E:E,saldo!B843,gasto_cartao!B:B)&gt;despesas_recorrentes!$B$12, SUMIF(gasto_cartao!E:E,saldo!B843,gasto_cartao!B:B),despesas_recorrentes!$B$12)</f>
        <v>34013</v>
      </c>
      <c r="D843" s="51">
        <f>SUM(receitas_recorrentes!B:B)+SUMIF(receitas_pontuais!E:E,B843,receitas_pontuais!B:B)</f>
        <v>56919</v>
      </c>
      <c r="E843" s="51">
        <f t="shared" si="2"/>
        <v>22906</v>
      </c>
      <c r="F843" s="53">
        <f>IFERROR(SUMIF(contas!G:G, B843, contas!B:B),0)</f>
        <v>0</v>
      </c>
      <c r="G843" s="51">
        <f>SUMIFS(previsoes!D:D, previsoes!E:E, "&lt;=" &amp; EOMONTH(DATEVALUE(B843&amp;"-01"),0), previsoes!F:F, "&gt;=" &amp; DATEVALUE(B843&amp;"-01"))</f>
        <v>0</v>
      </c>
      <c r="H843" s="52">
        <f t="shared" si="5"/>
        <v>160491.8958</v>
      </c>
      <c r="I843" s="49">
        <f t="shared" si="3"/>
        <v>22906</v>
      </c>
      <c r="J843" s="52">
        <f>IF(A843&lt;&gt;"",SUMIFS(metas!N:N, metas!E:E, "&gt;=" &amp; DATEVALUE(B843&amp;"-01"),metas!D:D, "&lt;=" &amp; DATEVALUE(B843&amp;"-01")),"")</f>
        <v>3182.813937</v>
      </c>
      <c r="K843" s="49">
        <f t="shared" si="4"/>
        <v>19723.18606</v>
      </c>
      <c r="L843" s="49">
        <f t="shared" si="6"/>
        <v>15970806.01</v>
      </c>
      <c r="M843" s="49">
        <f>IF(A843&lt;&gt;"",IF(COUNTIF(investimento!F:F, B843) &gt; 0, SUM(investimento!B:B)+I843, M842+I843),"")</f>
        <v>19069510.68</v>
      </c>
    </row>
    <row r="844" ht="22.5" customHeight="1">
      <c r="A844" s="47">
        <v>50893.0</v>
      </c>
      <c r="B844" s="48" t="str">
        <f t="shared" si="1"/>
        <v>2039-05</v>
      </c>
      <c r="C844" s="49">
        <f>SUMIF(despesas_recorrentes!C:C, "&gt;="&amp;A844,despesas_recorrentes!B:B) 
+SUMIF(despesas_recorrentes!C:C, "",despesas_recorrentes!B:B)
-despesas_recorrentes!$B$12
+IF(SUMIF(gasto_cartao!E:E,saldo!B844,gasto_cartao!B:B)&gt;despesas_recorrentes!$B$12, SUMIF(gasto_cartao!E:E,saldo!B844,gasto_cartao!B:B),despesas_recorrentes!$B$12)</f>
        <v>34013</v>
      </c>
      <c r="D844" s="51">
        <f>SUM(receitas_recorrentes!B:B)+SUMIF(receitas_pontuais!E:E,B844,receitas_pontuais!B:B)</f>
        <v>56919</v>
      </c>
      <c r="E844" s="51">
        <f t="shared" si="2"/>
        <v>22906</v>
      </c>
      <c r="F844" s="53">
        <f>IFERROR(SUMIF(contas!G:G, B844, contas!B:B),0)</f>
        <v>0</v>
      </c>
      <c r="G844" s="51">
        <f>SUMIFS(previsoes!D:D, previsoes!E:E, "&lt;=" &amp; EOMONTH(DATEVALUE(B844&amp;"-01"),0), previsoes!F:F, "&gt;=" &amp; DATEVALUE(B844&amp;"-01"))</f>
        <v>0</v>
      </c>
      <c r="H844" s="52">
        <f t="shared" si="5"/>
        <v>160491.8958</v>
      </c>
      <c r="I844" s="49">
        <f t="shared" si="3"/>
        <v>22906</v>
      </c>
      <c r="J844" s="52">
        <f>IF(A844&lt;&gt;"",SUMIFS(metas!N:N, metas!E:E, "&gt;=" &amp; DATEVALUE(B844&amp;"-01"),metas!D:D, "&lt;=" &amp; DATEVALUE(B844&amp;"-01")),"")</f>
        <v>3182.813937</v>
      </c>
      <c r="K844" s="49">
        <f t="shared" si="4"/>
        <v>19723.18606</v>
      </c>
      <c r="L844" s="49">
        <f t="shared" si="6"/>
        <v>15990529.19</v>
      </c>
      <c r="M844" s="49">
        <f>IF(A844&lt;&gt;"",IF(COUNTIF(investimento!F:F, B844) &gt; 0, SUM(investimento!B:B)+I844, M843+I844),"")</f>
        <v>19092416.68</v>
      </c>
    </row>
    <row r="845" ht="22.5" customHeight="1">
      <c r="A845" s="47">
        <v>50894.0</v>
      </c>
      <c r="B845" s="48" t="str">
        <f t="shared" si="1"/>
        <v>2039-05</v>
      </c>
      <c r="C845" s="49">
        <f>SUMIF(despesas_recorrentes!C:C, "&gt;="&amp;A845,despesas_recorrentes!B:B) 
+SUMIF(despesas_recorrentes!C:C, "",despesas_recorrentes!B:B)
-despesas_recorrentes!$B$12
+IF(SUMIF(gasto_cartao!E:E,saldo!B845,gasto_cartao!B:B)&gt;despesas_recorrentes!$B$12, SUMIF(gasto_cartao!E:E,saldo!B845,gasto_cartao!B:B),despesas_recorrentes!$B$12)</f>
        <v>34013</v>
      </c>
      <c r="D845" s="51">
        <f>SUM(receitas_recorrentes!B:B)+SUMIF(receitas_pontuais!E:E,B845,receitas_pontuais!B:B)</f>
        <v>56919</v>
      </c>
      <c r="E845" s="51">
        <f t="shared" si="2"/>
        <v>22906</v>
      </c>
      <c r="F845" s="53">
        <f>IFERROR(SUMIF(contas!G:G, B845, contas!B:B),0)</f>
        <v>0</v>
      </c>
      <c r="G845" s="51">
        <f>SUMIFS(previsoes!D:D, previsoes!E:E, "&lt;=" &amp; EOMONTH(DATEVALUE(B845&amp;"-01"),0), previsoes!F:F, "&gt;=" &amp; DATEVALUE(B845&amp;"-01"))</f>
        <v>0</v>
      </c>
      <c r="H845" s="52">
        <f t="shared" si="5"/>
        <v>160491.8958</v>
      </c>
      <c r="I845" s="49">
        <f t="shared" si="3"/>
        <v>22906</v>
      </c>
      <c r="J845" s="52">
        <f>IF(A845&lt;&gt;"",SUMIFS(metas!N:N, metas!E:E, "&gt;=" &amp; DATEVALUE(B845&amp;"-01"),metas!D:D, "&lt;=" &amp; DATEVALUE(B845&amp;"-01")),"")</f>
        <v>3182.813937</v>
      </c>
      <c r="K845" s="49">
        <f t="shared" si="4"/>
        <v>19723.18606</v>
      </c>
      <c r="L845" s="49">
        <f t="shared" si="6"/>
        <v>16010252.38</v>
      </c>
      <c r="M845" s="49">
        <f>IF(A845&lt;&gt;"",IF(COUNTIF(investimento!F:F, B845) &gt; 0, SUM(investimento!B:B)+I845, M844+I845),"")</f>
        <v>19115322.68</v>
      </c>
    </row>
    <row r="846" ht="22.5" customHeight="1">
      <c r="A846" s="47">
        <v>50895.0</v>
      </c>
      <c r="B846" s="48" t="str">
        <f t="shared" si="1"/>
        <v>2039-05</v>
      </c>
      <c r="C846" s="49">
        <f>SUMIF(despesas_recorrentes!C:C, "&gt;="&amp;A846,despesas_recorrentes!B:B) 
+SUMIF(despesas_recorrentes!C:C, "",despesas_recorrentes!B:B)
-despesas_recorrentes!$B$12
+IF(SUMIF(gasto_cartao!E:E,saldo!B846,gasto_cartao!B:B)&gt;despesas_recorrentes!$B$12, SUMIF(gasto_cartao!E:E,saldo!B846,gasto_cartao!B:B),despesas_recorrentes!$B$12)</f>
        <v>34013</v>
      </c>
      <c r="D846" s="51">
        <f>SUM(receitas_recorrentes!B:B)+SUMIF(receitas_pontuais!E:E,B846,receitas_pontuais!B:B)</f>
        <v>56919</v>
      </c>
      <c r="E846" s="51">
        <f t="shared" si="2"/>
        <v>22906</v>
      </c>
      <c r="F846" s="53">
        <f>IFERROR(SUMIF(contas!G:G, B846, contas!B:B),0)</f>
        <v>0</v>
      </c>
      <c r="G846" s="51">
        <f>SUMIFS(previsoes!D:D, previsoes!E:E, "&lt;=" &amp; EOMONTH(DATEVALUE(B846&amp;"-01"),0), previsoes!F:F, "&gt;=" &amp; DATEVALUE(B846&amp;"-01"))</f>
        <v>0</v>
      </c>
      <c r="H846" s="52">
        <f t="shared" si="5"/>
        <v>160491.8958</v>
      </c>
      <c r="I846" s="49">
        <f t="shared" si="3"/>
        <v>22906</v>
      </c>
      <c r="J846" s="52">
        <f>IF(A846&lt;&gt;"",SUMIFS(metas!N:N, metas!E:E, "&gt;=" &amp; DATEVALUE(B846&amp;"-01"),metas!D:D, "&lt;=" &amp; DATEVALUE(B846&amp;"-01")),"")</f>
        <v>3182.813937</v>
      </c>
      <c r="K846" s="49">
        <f t="shared" si="4"/>
        <v>19723.18606</v>
      </c>
      <c r="L846" s="49">
        <f t="shared" si="6"/>
        <v>16029975.57</v>
      </c>
      <c r="M846" s="49">
        <f>IF(A846&lt;&gt;"",IF(COUNTIF(investimento!F:F, B846) &gt; 0, SUM(investimento!B:B)+I846, M845+I846),"")</f>
        <v>19138228.68</v>
      </c>
    </row>
    <row r="847" ht="22.5" customHeight="1">
      <c r="A847" s="47">
        <v>50896.0</v>
      </c>
      <c r="B847" s="48" t="str">
        <f t="shared" si="1"/>
        <v>2039-05</v>
      </c>
      <c r="C847" s="49">
        <f>SUMIF(despesas_recorrentes!C:C, "&gt;="&amp;A847,despesas_recorrentes!B:B) 
+SUMIF(despesas_recorrentes!C:C, "",despesas_recorrentes!B:B)
-despesas_recorrentes!$B$12
+IF(SUMIF(gasto_cartao!E:E,saldo!B847,gasto_cartao!B:B)&gt;despesas_recorrentes!$B$12, SUMIF(gasto_cartao!E:E,saldo!B847,gasto_cartao!B:B),despesas_recorrentes!$B$12)</f>
        <v>34013</v>
      </c>
      <c r="D847" s="51">
        <f>SUM(receitas_recorrentes!B:B)+SUMIF(receitas_pontuais!E:E,B847,receitas_pontuais!B:B)</f>
        <v>56919</v>
      </c>
      <c r="E847" s="51">
        <f t="shared" si="2"/>
        <v>22906</v>
      </c>
      <c r="F847" s="53">
        <f>IFERROR(SUMIF(contas!G:G, B847, contas!B:B),0)</f>
        <v>0</v>
      </c>
      <c r="G847" s="51">
        <f>SUMIFS(previsoes!D:D, previsoes!E:E, "&lt;=" &amp; EOMONTH(DATEVALUE(B847&amp;"-01"),0), previsoes!F:F, "&gt;=" &amp; DATEVALUE(B847&amp;"-01"))</f>
        <v>0</v>
      </c>
      <c r="H847" s="52">
        <f t="shared" si="5"/>
        <v>160491.8958</v>
      </c>
      <c r="I847" s="49">
        <f t="shared" si="3"/>
        <v>22906</v>
      </c>
      <c r="J847" s="52">
        <f>IF(A847&lt;&gt;"",SUMIFS(metas!N:N, metas!E:E, "&gt;=" &amp; DATEVALUE(B847&amp;"-01"),metas!D:D, "&lt;=" &amp; DATEVALUE(B847&amp;"-01")),"")</f>
        <v>3182.813937</v>
      </c>
      <c r="K847" s="49">
        <f t="shared" si="4"/>
        <v>19723.18606</v>
      </c>
      <c r="L847" s="49">
        <f t="shared" si="6"/>
        <v>16049698.75</v>
      </c>
      <c r="M847" s="49">
        <f>IF(A847&lt;&gt;"",IF(COUNTIF(investimento!F:F, B847) &gt; 0, SUM(investimento!B:B)+I847, M846+I847),"")</f>
        <v>19161134.68</v>
      </c>
    </row>
    <row r="848" ht="22.5" customHeight="1">
      <c r="A848" s="47">
        <v>50897.0</v>
      </c>
      <c r="B848" s="48" t="str">
        <f t="shared" si="1"/>
        <v>2039-05</v>
      </c>
      <c r="C848" s="49">
        <f>SUMIF(despesas_recorrentes!C:C, "&gt;="&amp;A848,despesas_recorrentes!B:B) 
+SUMIF(despesas_recorrentes!C:C, "",despesas_recorrentes!B:B)
-despesas_recorrentes!$B$12
+IF(SUMIF(gasto_cartao!E:E,saldo!B848,gasto_cartao!B:B)&gt;despesas_recorrentes!$B$12, SUMIF(gasto_cartao!E:E,saldo!B848,gasto_cartao!B:B),despesas_recorrentes!$B$12)</f>
        <v>34013</v>
      </c>
      <c r="D848" s="51">
        <f>SUM(receitas_recorrentes!B:B)+SUMIF(receitas_pontuais!E:E,B848,receitas_pontuais!B:B)</f>
        <v>56919</v>
      </c>
      <c r="E848" s="51">
        <f t="shared" si="2"/>
        <v>22906</v>
      </c>
      <c r="F848" s="53">
        <f>IFERROR(SUMIF(contas!G:G, B848, contas!B:B),0)</f>
        <v>0</v>
      </c>
      <c r="G848" s="51">
        <f>SUMIFS(previsoes!D:D, previsoes!E:E, "&lt;=" &amp; EOMONTH(DATEVALUE(B848&amp;"-01"),0), previsoes!F:F, "&gt;=" &amp; DATEVALUE(B848&amp;"-01"))</f>
        <v>0</v>
      </c>
      <c r="H848" s="52">
        <f t="shared" si="5"/>
        <v>160491.8958</v>
      </c>
      <c r="I848" s="49">
        <f t="shared" si="3"/>
        <v>22906</v>
      </c>
      <c r="J848" s="52">
        <f>IF(A848&lt;&gt;"",SUMIFS(metas!N:N, metas!E:E, "&gt;=" &amp; DATEVALUE(B848&amp;"-01"),metas!D:D, "&lt;=" &amp; DATEVALUE(B848&amp;"-01")),"")</f>
        <v>3182.813937</v>
      </c>
      <c r="K848" s="49">
        <f t="shared" si="4"/>
        <v>19723.18606</v>
      </c>
      <c r="L848" s="49">
        <f t="shared" si="6"/>
        <v>16069421.94</v>
      </c>
      <c r="M848" s="49">
        <f>IF(A848&lt;&gt;"",IF(COUNTIF(investimento!F:F, B848) &gt; 0, SUM(investimento!B:B)+I848, M847+I848),"")</f>
        <v>19184040.68</v>
      </c>
    </row>
    <row r="849" ht="22.5" customHeight="1">
      <c r="A849" s="47">
        <v>50898.0</v>
      </c>
      <c r="B849" s="48" t="str">
        <f t="shared" si="1"/>
        <v>2039-05</v>
      </c>
      <c r="C849" s="49">
        <f>SUMIF(despesas_recorrentes!C:C, "&gt;="&amp;A849,despesas_recorrentes!B:B) 
+SUMIF(despesas_recorrentes!C:C, "",despesas_recorrentes!B:B)
-despesas_recorrentes!$B$12
+IF(SUMIF(gasto_cartao!E:E,saldo!B849,gasto_cartao!B:B)&gt;despesas_recorrentes!$B$12, SUMIF(gasto_cartao!E:E,saldo!B849,gasto_cartao!B:B),despesas_recorrentes!$B$12)</f>
        <v>34013</v>
      </c>
      <c r="D849" s="51">
        <f>SUM(receitas_recorrentes!B:B)+SUMIF(receitas_pontuais!E:E,B849,receitas_pontuais!B:B)</f>
        <v>56919</v>
      </c>
      <c r="E849" s="51">
        <f t="shared" si="2"/>
        <v>22906</v>
      </c>
      <c r="F849" s="53">
        <f>IFERROR(SUMIF(contas!G:G, B849, contas!B:B),0)</f>
        <v>0</v>
      </c>
      <c r="G849" s="51">
        <f>SUMIFS(previsoes!D:D, previsoes!E:E, "&lt;=" &amp; EOMONTH(DATEVALUE(B849&amp;"-01"),0), previsoes!F:F, "&gt;=" &amp; DATEVALUE(B849&amp;"-01"))</f>
        <v>0</v>
      </c>
      <c r="H849" s="52">
        <f t="shared" si="5"/>
        <v>160491.8958</v>
      </c>
      <c r="I849" s="49">
        <f t="shared" si="3"/>
        <v>22906</v>
      </c>
      <c r="J849" s="52">
        <f>IF(A849&lt;&gt;"",SUMIFS(metas!N:N, metas!E:E, "&gt;=" &amp; DATEVALUE(B849&amp;"-01"),metas!D:D, "&lt;=" &amp; DATEVALUE(B849&amp;"-01")),"")</f>
        <v>3182.813937</v>
      </c>
      <c r="K849" s="49">
        <f t="shared" si="4"/>
        <v>19723.18606</v>
      </c>
      <c r="L849" s="49">
        <f t="shared" si="6"/>
        <v>16089145.12</v>
      </c>
      <c r="M849" s="49">
        <f>IF(A849&lt;&gt;"",IF(COUNTIF(investimento!F:F, B849) &gt; 0, SUM(investimento!B:B)+I849, M848+I849),"")</f>
        <v>19206946.68</v>
      </c>
    </row>
    <row r="850" ht="22.5" customHeight="1">
      <c r="A850" s="47">
        <v>50899.0</v>
      </c>
      <c r="B850" s="48" t="str">
        <f t="shared" si="1"/>
        <v>2039-05</v>
      </c>
      <c r="C850" s="49">
        <f>SUMIF(despesas_recorrentes!C:C, "&gt;="&amp;A850,despesas_recorrentes!B:B) 
+SUMIF(despesas_recorrentes!C:C, "",despesas_recorrentes!B:B)
-despesas_recorrentes!$B$12
+IF(SUMIF(gasto_cartao!E:E,saldo!B850,gasto_cartao!B:B)&gt;despesas_recorrentes!$B$12, SUMIF(gasto_cartao!E:E,saldo!B850,gasto_cartao!B:B),despesas_recorrentes!$B$12)</f>
        <v>34013</v>
      </c>
      <c r="D850" s="51">
        <f>SUM(receitas_recorrentes!B:B)+SUMIF(receitas_pontuais!E:E,B850,receitas_pontuais!B:B)</f>
        <v>56919</v>
      </c>
      <c r="E850" s="51">
        <f t="shared" si="2"/>
        <v>22906</v>
      </c>
      <c r="F850" s="53">
        <f>IFERROR(SUMIF(contas!G:G, B850, contas!B:B),0)</f>
        <v>0</v>
      </c>
      <c r="G850" s="51">
        <f>SUMIFS(previsoes!D:D, previsoes!E:E, "&lt;=" &amp; EOMONTH(DATEVALUE(B850&amp;"-01"),0), previsoes!F:F, "&gt;=" &amp; DATEVALUE(B850&amp;"-01"))</f>
        <v>0</v>
      </c>
      <c r="H850" s="52">
        <f t="shared" si="5"/>
        <v>160491.8958</v>
      </c>
      <c r="I850" s="49">
        <f t="shared" si="3"/>
        <v>22906</v>
      </c>
      <c r="J850" s="52">
        <f>IF(A850&lt;&gt;"",SUMIFS(metas!N:N, metas!E:E, "&gt;=" &amp; DATEVALUE(B850&amp;"-01"),metas!D:D, "&lt;=" &amp; DATEVALUE(B850&amp;"-01")),"")</f>
        <v>3182.813937</v>
      </c>
      <c r="K850" s="49">
        <f t="shared" si="4"/>
        <v>19723.18606</v>
      </c>
      <c r="L850" s="49">
        <f t="shared" si="6"/>
        <v>16108868.31</v>
      </c>
      <c r="M850" s="49">
        <f>IF(A850&lt;&gt;"",IF(COUNTIF(investimento!F:F, B850) &gt; 0, SUM(investimento!B:B)+I850, M849+I850),"")</f>
        <v>19229852.68</v>
      </c>
    </row>
    <row r="851" ht="22.5" customHeight="1">
      <c r="A851" s="47">
        <v>50900.0</v>
      </c>
      <c r="B851" s="48" t="str">
        <f t="shared" si="1"/>
        <v>2039-05</v>
      </c>
      <c r="C851" s="49">
        <f>SUMIF(despesas_recorrentes!C:C, "&gt;="&amp;A851,despesas_recorrentes!B:B) 
+SUMIF(despesas_recorrentes!C:C, "",despesas_recorrentes!B:B)
-despesas_recorrentes!$B$12
+IF(SUMIF(gasto_cartao!E:E,saldo!B851,gasto_cartao!B:B)&gt;despesas_recorrentes!$B$12, SUMIF(gasto_cartao!E:E,saldo!B851,gasto_cartao!B:B),despesas_recorrentes!$B$12)</f>
        <v>34013</v>
      </c>
      <c r="D851" s="51">
        <f>SUM(receitas_recorrentes!B:B)+SUMIF(receitas_pontuais!E:E,B851,receitas_pontuais!B:B)</f>
        <v>56919</v>
      </c>
      <c r="E851" s="51">
        <f t="shared" si="2"/>
        <v>22906</v>
      </c>
      <c r="F851" s="53">
        <f>IFERROR(SUMIF(contas!G:G, B851, contas!B:B),0)</f>
        <v>0</v>
      </c>
      <c r="G851" s="51">
        <f>SUMIFS(previsoes!D:D, previsoes!E:E, "&lt;=" &amp; EOMONTH(DATEVALUE(B851&amp;"-01"),0), previsoes!F:F, "&gt;=" &amp; DATEVALUE(B851&amp;"-01"))</f>
        <v>0</v>
      </c>
      <c r="H851" s="52">
        <f t="shared" si="5"/>
        <v>160491.8958</v>
      </c>
      <c r="I851" s="49">
        <f t="shared" si="3"/>
        <v>22906</v>
      </c>
      <c r="J851" s="52">
        <f>IF(A851&lt;&gt;"",SUMIFS(metas!N:N, metas!E:E, "&gt;=" &amp; DATEVALUE(B851&amp;"-01"),metas!D:D, "&lt;=" &amp; DATEVALUE(B851&amp;"-01")),"")</f>
        <v>3182.813937</v>
      </c>
      <c r="K851" s="49">
        <f t="shared" si="4"/>
        <v>19723.18606</v>
      </c>
      <c r="L851" s="49">
        <f t="shared" si="6"/>
        <v>16128591.5</v>
      </c>
      <c r="M851" s="49">
        <f>IF(A851&lt;&gt;"",IF(COUNTIF(investimento!F:F, B851) &gt; 0, SUM(investimento!B:B)+I851, M850+I851),"")</f>
        <v>19252758.68</v>
      </c>
    </row>
    <row r="852" ht="22.5" customHeight="1">
      <c r="A852" s="47">
        <v>50901.0</v>
      </c>
      <c r="B852" s="48" t="str">
        <f t="shared" si="1"/>
        <v>2039-05</v>
      </c>
      <c r="C852" s="49">
        <f>SUMIF(despesas_recorrentes!C:C, "&gt;="&amp;A852,despesas_recorrentes!B:B) 
+SUMIF(despesas_recorrentes!C:C, "",despesas_recorrentes!B:B)
-despesas_recorrentes!$B$12
+IF(SUMIF(gasto_cartao!E:E,saldo!B852,gasto_cartao!B:B)&gt;despesas_recorrentes!$B$12, SUMIF(gasto_cartao!E:E,saldo!B852,gasto_cartao!B:B),despesas_recorrentes!$B$12)</f>
        <v>34013</v>
      </c>
      <c r="D852" s="51">
        <f>SUM(receitas_recorrentes!B:B)+SUMIF(receitas_pontuais!E:E,B852,receitas_pontuais!B:B)</f>
        <v>56919</v>
      </c>
      <c r="E852" s="51">
        <f t="shared" si="2"/>
        <v>22906</v>
      </c>
      <c r="F852" s="53">
        <f>IFERROR(SUMIF(contas!G:G, B852, contas!B:B),0)</f>
        <v>0</v>
      </c>
      <c r="G852" s="51">
        <f>SUMIFS(previsoes!D:D, previsoes!E:E, "&lt;=" &amp; EOMONTH(DATEVALUE(B852&amp;"-01"),0), previsoes!F:F, "&gt;=" &amp; DATEVALUE(B852&amp;"-01"))</f>
        <v>0</v>
      </c>
      <c r="H852" s="52">
        <f t="shared" si="5"/>
        <v>160491.8958</v>
      </c>
      <c r="I852" s="49">
        <f t="shared" si="3"/>
        <v>22906</v>
      </c>
      <c r="J852" s="52">
        <f>IF(A852&lt;&gt;"",SUMIFS(metas!N:N, metas!E:E, "&gt;=" &amp; DATEVALUE(B852&amp;"-01"),metas!D:D, "&lt;=" &amp; DATEVALUE(B852&amp;"-01")),"")</f>
        <v>3182.813937</v>
      </c>
      <c r="K852" s="49">
        <f t="shared" si="4"/>
        <v>19723.18606</v>
      </c>
      <c r="L852" s="49">
        <f t="shared" si="6"/>
        <v>16148314.68</v>
      </c>
      <c r="M852" s="49">
        <f>IF(A852&lt;&gt;"",IF(COUNTIF(investimento!F:F, B852) &gt; 0, SUM(investimento!B:B)+I852, M851+I852),"")</f>
        <v>19275664.68</v>
      </c>
    </row>
    <row r="853" ht="22.5" customHeight="1">
      <c r="A853" s="47">
        <v>50902.0</v>
      </c>
      <c r="B853" s="48" t="str">
        <f t="shared" si="1"/>
        <v>2039-05</v>
      </c>
      <c r="C853" s="49">
        <f>SUMIF(despesas_recorrentes!C:C, "&gt;="&amp;A853,despesas_recorrentes!B:B) 
+SUMIF(despesas_recorrentes!C:C, "",despesas_recorrentes!B:B)
-despesas_recorrentes!$B$12
+IF(SUMIF(gasto_cartao!E:E,saldo!B853,gasto_cartao!B:B)&gt;despesas_recorrentes!$B$12, SUMIF(gasto_cartao!E:E,saldo!B853,gasto_cartao!B:B),despesas_recorrentes!$B$12)</f>
        <v>34013</v>
      </c>
      <c r="D853" s="51">
        <f>SUM(receitas_recorrentes!B:B)+SUMIF(receitas_pontuais!E:E,B853,receitas_pontuais!B:B)</f>
        <v>56919</v>
      </c>
      <c r="E853" s="51">
        <f t="shared" si="2"/>
        <v>22906</v>
      </c>
      <c r="F853" s="53">
        <f>IFERROR(SUMIF(contas!G:G, B853, contas!B:B),0)</f>
        <v>0</v>
      </c>
      <c r="G853" s="51">
        <f>SUMIFS(previsoes!D:D, previsoes!E:E, "&lt;=" &amp; EOMONTH(DATEVALUE(B853&amp;"-01"),0), previsoes!F:F, "&gt;=" &amp; DATEVALUE(B853&amp;"-01"))</f>
        <v>0</v>
      </c>
      <c r="H853" s="52">
        <f t="shared" si="5"/>
        <v>160491.8958</v>
      </c>
      <c r="I853" s="49">
        <f t="shared" si="3"/>
        <v>22906</v>
      </c>
      <c r="J853" s="52">
        <f>IF(A853&lt;&gt;"",SUMIFS(metas!N:N, metas!E:E, "&gt;=" &amp; DATEVALUE(B853&amp;"-01"),metas!D:D, "&lt;=" &amp; DATEVALUE(B853&amp;"-01")),"")</f>
        <v>3182.813937</v>
      </c>
      <c r="K853" s="49">
        <f t="shared" si="4"/>
        <v>19723.18606</v>
      </c>
      <c r="L853" s="49">
        <f t="shared" si="6"/>
        <v>16168037.87</v>
      </c>
      <c r="M853" s="49">
        <f>IF(A853&lt;&gt;"",IF(COUNTIF(investimento!F:F, B853) &gt; 0, SUM(investimento!B:B)+I853, M852+I853),"")</f>
        <v>19298570.68</v>
      </c>
    </row>
    <row r="854" ht="22.5" customHeight="1">
      <c r="A854" s="47">
        <v>50903.0</v>
      </c>
      <c r="B854" s="48" t="str">
        <f t="shared" si="1"/>
        <v>2039-05</v>
      </c>
      <c r="C854" s="49">
        <f>SUMIF(despesas_recorrentes!C:C, "&gt;="&amp;A854,despesas_recorrentes!B:B) 
+SUMIF(despesas_recorrentes!C:C, "",despesas_recorrentes!B:B)
-despesas_recorrentes!$B$12
+IF(SUMIF(gasto_cartao!E:E,saldo!B854,gasto_cartao!B:B)&gt;despesas_recorrentes!$B$12, SUMIF(gasto_cartao!E:E,saldo!B854,gasto_cartao!B:B),despesas_recorrentes!$B$12)</f>
        <v>34013</v>
      </c>
      <c r="D854" s="51">
        <f>SUM(receitas_recorrentes!B:B)+SUMIF(receitas_pontuais!E:E,B854,receitas_pontuais!B:B)</f>
        <v>56919</v>
      </c>
      <c r="E854" s="51">
        <f t="shared" si="2"/>
        <v>22906</v>
      </c>
      <c r="F854" s="53">
        <f>IFERROR(SUMIF(contas!G:G, B854, contas!B:B),0)</f>
        <v>0</v>
      </c>
      <c r="G854" s="51">
        <f>SUMIFS(previsoes!D:D, previsoes!E:E, "&lt;=" &amp; EOMONTH(DATEVALUE(B854&amp;"-01"),0), previsoes!F:F, "&gt;=" &amp; DATEVALUE(B854&amp;"-01"))</f>
        <v>0</v>
      </c>
      <c r="H854" s="52">
        <f t="shared" si="5"/>
        <v>160491.8958</v>
      </c>
      <c r="I854" s="49">
        <f t="shared" si="3"/>
        <v>22906</v>
      </c>
      <c r="J854" s="52">
        <f>IF(A854&lt;&gt;"",SUMIFS(metas!N:N, metas!E:E, "&gt;=" &amp; DATEVALUE(B854&amp;"-01"),metas!D:D, "&lt;=" &amp; DATEVALUE(B854&amp;"-01")),"")</f>
        <v>3182.813937</v>
      </c>
      <c r="K854" s="49">
        <f t="shared" si="4"/>
        <v>19723.18606</v>
      </c>
      <c r="L854" s="49">
        <f t="shared" si="6"/>
        <v>16187761.05</v>
      </c>
      <c r="M854" s="49">
        <f>IF(A854&lt;&gt;"",IF(COUNTIF(investimento!F:F, B854) &gt; 0, SUM(investimento!B:B)+I854, M853+I854),"")</f>
        <v>19321476.68</v>
      </c>
    </row>
    <row r="855" ht="22.5" customHeight="1">
      <c r="A855" s="47">
        <v>50904.0</v>
      </c>
      <c r="B855" s="48" t="str">
        <f t="shared" si="1"/>
        <v>2039-05</v>
      </c>
      <c r="C855" s="49">
        <f>SUMIF(despesas_recorrentes!C:C, "&gt;="&amp;A855,despesas_recorrentes!B:B) 
+SUMIF(despesas_recorrentes!C:C, "",despesas_recorrentes!B:B)
-despesas_recorrentes!$B$12
+IF(SUMIF(gasto_cartao!E:E,saldo!B855,gasto_cartao!B:B)&gt;despesas_recorrentes!$B$12, SUMIF(gasto_cartao!E:E,saldo!B855,gasto_cartao!B:B),despesas_recorrentes!$B$12)</f>
        <v>34013</v>
      </c>
      <c r="D855" s="51">
        <f>SUM(receitas_recorrentes!B:B)+SUMIF(receitas_pontuais!E:E,B855,receitas_pontuais!B:B)</f>
        <v>56919</v>
      </c>
      <c r="E855" s="51">
        <f t="shared" si="2"/>
        <v>22906</v>
      </c>
      <c r="F855" s="53">
        <f>IFERROR(SUMIF(contas!G:G, B855, contas!B:B),0)</f>
        <v>0</v>
      </c>
      <c r="G855" s="51">
        <f>SUMIFS(previsoes!D:D, previsoes!E:E, "&lt;=" &amp; EOMONTH(DATEVALUE(B855&amp;"-01"),0), previsoes!F:F, "&gt;=" &amp; DATEVALUE(B855&amp;"-01"))</f>
        <v>0</v>
      </c>
      <c r="H855" s="52">
        <f t="shared" si="5"/>
        <v>160491.8958</v>
      </c>
      <c r="I855" s="49">
        <f t="shared" si="3"/>
        <v>22906</v>
      </c>
      <c r="J855" s="52">
        <f>IF(A855&lt;&gt;"",SUMIFS(metas!N:N, metas!E:E, "&gt;=" &amp; DATEVALUE(B855&amp;"-01"),metas!D:D, "&lt;=" &amp; DATEVALUE(B855&amp;"-01")),"")</f>
        <v>3182.813937</v>
      </c>
      <c r="K855" s="49">
        <f t="shared" si="4"/>
        <v>19723.18606</v>
      </c>
      <c r="L855" s="49">
        <f t="shared" si="6"/>
        <v>16207484.24</v>
      </c>
      <c r="M855" s="49">
        <f>IF(A855&lt;&gt;"",IF(COUNTIF(investimento!F:F, B855) &gt; 0, SUM(investimento!B:B)+I855, M854+I855),"")</f>
        <v>19344382.68</v>
      </c>
    </row>
    <row r="856" ht="22.5" customHeight="1">
      <c r="A856" s="47">
        <v>50905.0</v>
      </c>
      <c r="B856" s="48" t="str">
        <f t="shared" si="1"/>
        <v>2039-05</v>
      </c>
      <c r="C856" s="49">
        <f>SUMIF(despesas_recorrentes!C:C, "&gt;="&amp;A856,despesas_recorrentes!B:B) 
+SUMIF(despesas_recorrentes!C:C, "",despesas_recorrentes!B:B)
-despesas_recorrentes!$B$12
+IF(SUMIF(gasto_cartao!E:E,saldo!B856,gasto_cartao!B:B)&gt;despesas_recorrentes!$B$12, SUMIF(gasto_cartao!E:E,saldo!B856,gasto_cartao!B:B),despesas_recorrentes!$B$12)</f>
        <v>34013</v>
      </c>
      <c r="D856" s="51">
        <f>SUM(receitas_recorrentes!B:B)+SUMIF(receitas_pontuais!E:E,B856,receitas_pontuais!B:B)</f>
        <v>56919</v>
      </c>
      <c r="E856" s="51">
        <f t="shared" si="2"/>
        <v>22906</v>
      </c>
      <c r="F856" s="53">
        <f>IFERROR(SUMIF(contas!G:G, B856, contas!B:B),0)</f>
        <v>0</v>
      </c>
      <c r="G856" s="51">
        <f>SUMIFS(previsoes!D:D, previsoes!E:E, "&lt;=" &amp; EOMONTH(DATEVALUE(B856&amp;"-01"),0), previsoes!F:F, "&gt;=" &amp; DATEVALUE(B856&amp;"-01"))</f>
        <v>0</v>
      </c>
      <c r="H856" s="52">
        <f t="shared" si="5"/>
        <v>160491.8958</v>
      </c>
      <c r="I856" s="49">
        <f t="shared" si="3"/>
        <v>22906</v>
      </c>
      <c r="J856" s="52">
        <f>IF(A856&lt;&gt;"",SUMIFS(metas!N:N, metas!E:E, "&gt;=" &amp; DATEVALUE(B856&amp;"-01"),metas!D:D, "&lt;=" &amp; DATEVALUE(B856&amp;"-01")),"")</f>
        <v>3182.813937</v>
      </c>
      <c r="K856" s="49">
        <f t="shared" si="4"/>
        <v>19723.18606</v>
      </c>
      <c r="L856" s="49">
        <f t="shared" si="6"/>
        <v>16227207.43</v>
      </c>
      <c r="M856" s="49">
        <f>IF(A856&lt;&gt;"",IF(COUNTIF(investimento!F:F, B856) &gt; 0, SUM(investimento!B:B)+I856, M855+I856),"")</f>
        <v>19367288.68</v>
      </c>
    </row>
    <row r="857" ht="22.5" customHeight="1">
      <c r="A857" s="47">
        <v>50906.0</v>
      </c>
      <c r="B857" s="48" t="str">
        <f t="shared" si="1"/>
        <v>2039-05</v>
      </c>
      <c r="C857" s="49">
        <f>SUMIF(despesas_recorrentes!C:C, "&gt;="&amp;A857,despesas_recorrentes!B:B) 
+SUMIF(despesas_recorrentes!C:C, "",despesas_recorrentes!B:B)
-despesas_recorrentes!$B$12
+IF(SUMIF(gasto_cartao!E:E,saldo!B857,gasto_cartao!B:B)&gt;despesas_recorrentes!$B$12, SUMIF(gasto_cartao!E:E,saldo!B857,gasto_cartao!B:B),despesas_recorrentes!$B$12)</f>
        <v>34013</v>
      </c>
      <c r="D857" s="51">
        <f>SUM(receitas_recorrentes!B:B)+SUMIF(receitas_pontuais!E:E,B857,receitas_pontuais!B:B)</f>
        <v>56919</v>
      </c>
      <c r="E857" s="51">
        <f t="shared" si="2"/>
        <v>22906</v>
      </c>
      <c r="F857" s="53">
        <f>IFERROR(SUMIF(contas!G:G, B857, contas!B:B),0)</f>
        <v>0</v>
      </c>
      <c r="G857" s="51">
        <f>SUMIFS(previsoes!D:D, previsoes!E:E, "&lt;=" &amp; EOMONTH(DATEVALUE(B857&amp;"-01"),0), previsoes!F:F, "&gt;=" &amp; DATEVALUE(B857&amp;"-01"))</f>
        <v>0</v>
      </c>
      <c r="H857" s="52">
        <f t="shared" si="5"/>
        <v>160491.8958</v>
      </c>
      <c r="I857" s="49">
        <f t="shared" si="3"/>
        <v>22906</v>
      </c>
      <c r="J857" s="52">
        <f>IF(A857&lt;&gt;"",SUMIFS(metas!N:N, metas!E:E, "&gt;=" &amp; DATEVALUE(B857&amp;"-01"),metas!D:D, "&lt;=" &amp; DATEVALUE(B857&amp;"-01")),"")</f>
        <v>3182.813937</v>
      </c>
      <c r="K857" s="49">
        <f t="shared" si="4"/>
        <v>19723.18606</v>
      </c>
      <c r="L857" s="49">
        <f t="shared" si="6"/>
        <v>16246930.61</v>
      </c>
      <c r="M857" s="49">
        <f>IF(A857&lt;&gt;"",IF(COUNTIF(investimento!F:F, B857) &gt; 0, SUM(investimento!B:B)+I857, M856+I857),"")</f>
        <v>19390194.68</v>
      </c>
    </row>
    <row r="858" ht="22.5" customHeight="1">
      <c r="A858" s="47">
        <v>50907.0</v>
      </c>
      <c r="B858" s="48" t="str">
        <f t="shared" si="1"/>
        <v>2039-05</v>
      </c>
      <c r="C858" s="49">
        <f>SUMIF(despesas_recorrentes!C:C, "&gt;="&amp;A858,despesas_recorrentes!B:B) 
+SUMIF(despesas_recorrentes!C:C, "",despesas_recorrentes!B:B)
-despesas_recorrentes!$B$12
+IF(SUMIF(gasto_cartao!E:E,saldo!B858,gasto_cartao!B:B)&gt;despesas_recorrentes!$B$12, SUMIF(gasto_cartao!E:E,saldo!B858,gasto_cartao!B:B),despesas_recorrentes!$B$12)</f>
        <v>34013</v>
      </c>
      <c r="D858" s="51">
        <f>SUM(receitas_recorrentes!B:B)+SUMIF(receitas_pontuais!E:E,B858,receitas_pontuais!B:B)</f>
        <v>56919</v>
      </c>
      <c r="E858" s="51">
        <f t="shared" si="2"/>
        <v>22906</v>
      </c>
      <c r="F858" s="53">
        <f>IFERROR(SUMIF(contas!G:G, B858, contas!B:B),0)</f>
        <v>0</v>
      </c>
      <c r="G858" s="51">
        <f>SUMIFS(previsoes!D:D, previsoes!E:E, "&lt;=" &amp; EOMONTH(DATEVALUE(B858&amp;"-01"),0), previsoes!F:F, "&gt;=" &amp; DATEVALUE(B858&amp;"-01"))</f>
        <v>0</v>
      </c>
      <c r="H858" s="52">
        <f t="shared" si="5"/>
        <v>160491.8958</v>
      </c>
      <c r="I858" s="49">
        <f t="shared" si="3"/>
        <v>22906</v>
      </c>
      <c r="J858" s="52">
        <f>IF(A858&lt;&gt;"",SUMIFS(metas!N:N, metas!E:E, "&gt;=" &amp; DATEVALUE(B858&amp;"-01"),metas!D:D, "&lt;=" &amp; DATEVALUE(B858&amp;"-01")),"")</f>
        <v>3182.813937</v>
      </c>
      <c r="K858" s="49">
        <f t="shared" si="4"/>
        <v>19723.18606</v>
      </c>
      <c r="L858" s="49">
        <f t="shared" si="6"/>
        <v>16266653.8</v>
      </c>
      <c r="M858" s="49">
        <f>IF(A858&lt;&gt;"",IF(COUNTIF(investimento!F:F, B858) &gt; 0, SUM(investimento!B:B)+I858, M857+I858),"")</f>
        <v>19413100.68</v>
      </c>
    </row>
    <row r="859" ht="22.5" customHeight="1">
      <c r="A859" s="47">
        <v>50908.0</v>
      </c>
      <c r="B859" s="48" t="str">
        <f t="shared" si="1"/>
        <v>2039-05</v>
      </c>
      <c r="C859" s="49">
        <f>SUMIF(despesas_recorrentes!C:C, "&gt;="&amp;A859,despesas_recorrentes!B:B) 
+SUMIF(despesas_recorrentes!C:C, "",despesas_recorrentes!B:B)
-despesas_recorrentes!$B$12
+IF(SUMIF(gasto_cartao!E:E,saldo!B859,gasto_cartao!B:B)&gt;despesas_recorrentes!$B$12, SUMIF(gasto_cartao!E:E,saldo!B859,gasto_cartao!B:B),despesas_recorrentes!$B$12)</f>
        <v>34013</v>
      </c>
      <c r="D859" s="51">
        <f>SUM(receitas_recorrentes!B:B)+SUMIF(receitas_pontuais!E:E,B859,receitas_pontuais!B:B)</f>
        <v>56919</v>
      </c>
      <c r="E859" s="51">
        <f t="shared" si="2"/>
        <v>22906</v>
      </c>
      <c r="F859" s="53">
        <f>IFERROR(SUMIF(contas!G:G, B859, contas!B:B),0)</f>
        <v>0</v>
      </c>
      <c r="G859" s="51">
        <f>SUMIFS(previsoes!D:D, previsoes!E:E, "&lt;=" &amp; EOMONTH(DATEVALUE(B859&amp;"-01"),0), previsoes!F:F, "&gt;=" &amp; DATEVALUE(B859&amp;"-01"))</f>
        <v>0</v>
      </c>
      <c r="H859" s="52">
        <f t="shared" si="5"/>
        <v>160491.8958</v>
      </c>
      <c r="I859" s="49">
        <f t="shared" si="3"/>
        <v>22906</v>
      </c>
      <c r="J859" s="52">
        <f>IF(A859&lt;&gt;"",SUMIFS(metas!N:N, metas!E:E, "&gt;=" &amp; DATEVALUE(B859&amp;"-01"),metas!D:D, "&lt;=" &amp; DATEVALUE(B859&amp;"-01")),"")</f>
        <v>3182.813937</v>
      </c>
      <c r="K859" s="49">
        <f t="shared" si="4"/>
        <v>19723.18606</v>
      </c>
      <c r="L859" s="49">
        <f t="shared" si="6"/>
        <v>16286376.98</v>
      </c>
      <c r="M859" s="49">
        <f>IF(A859&lt;&gt;"",IF(COUNTIF(investimento!F:F, B859) &gt; 0, SUM(investimento!B:B)+I859, M858+I859),"")</f>
        <v>19436006.68</v>
      </c>
    </row>
    <row r="860" ht="22.5" customHeight="1">
      <c r="A860" s="47">
        <v>50909.0</v>
      </c>
      <c r="B860" s="48" t="str">
        <f t="shared" si="1"/>
        <v>2039-05</v>
      </c>
      <c r="C860" s="49">
        <f>SUMIF(despesas_recorrentes!C:C, "&gt;="&amp;A860,despesas_recorrentes!B:B) 
+SUMIF(despesas_recorrentes!C:C, "",despesas_recorrentes!B:B)
-despesas_recorrentes!$B$12
+IF(SUMIF(gasto_cartao!E:E,saldo!B860,gasto_cartao!B:B)&gt;despesas_recorrentes!$B$12, SUMIF(gasto_cartao!E:E,saldo!B860,gasto_cartao!B:B),despesas_recorrentes!$B$12)</f>
        <v>34013</v>
      </c>
      <c r="D860" s="51">
        <f>SUM(receitas_recorrentes!B:B)+SUMIF(receitas_pontuais!E:E,B860,receitas_pontuais!B:B)</f>
        <v>56919</v>
      </c>
      <c r="E860" s="51">
        <f t="shared" si="2"/>
        <v>22906</v>
      </c>
      <c r="F860" s="53">
        <f>IFERROR(SUMIF(contas!G:G, B860, contas!B:B),0)</f>
        <v>0</v>
      </c>
      <c r="G860" s="51">
        <f>SUMIFS(previsoes!D:D, previsoes!E:E, "&lt;=" &amp; EOMONTH(DATEVALUE(B860&amp;"-01"),0), previsoes!F:F, "&gt;=" &amp; DATEVALUE(B860&amp;"-01"))</f>
        <v>0</v>
      </c>
      <c r="H860" s="52">
        <f t="shared" si="5"/>
        <v>160491.8958</v>
      </c>
      <c r="I860" s="49">
        <f t="shared" si="3"/>
        <v>22906</v>
      </c>
      <c r="J860" s="52">
        <f>IF(A860&lt;&gt;"",SUMIFS(metas!N:N, metas!E:E, "&gt;=" &amp; DATEVALUE(B860&amp;"-01"),metas!D:D, "&lt;=" &amp; DATEVALUE(B860&amp;"-01")),"")</f>
        <v>3182.813937</v>
      </c>
      <c r="K860" s="49">
        <f t="shared" si="4"/>
        <v>19723.18606</v>
      </c>
      <c r="L860" s="49">
        <f t="shared" si="6"/>
        <v>16306100.17</v>
      </c>
      <c r="M860" s="49">
        <f>IF(A860&lt;&gt;"",IF(COUNTIF(investimento!F:F, B860) &gt; 0, SUM(investimento!B:B)+I860, M859+I860),"")</f>
        <v>19458912.68</v>
      </c>
    </row>
    <row r="861" ht="22.5" customHeight="1">
      <c r="A861" s="47">
        <v>50910.0</v>
      </c>
      <c r="B861" s="48" t="str">
        <f t="shared" si="1"/>
        <v>2039-05</v>
      </c>
      <c r="C861" s="49">
        <f>SUMIF(despesas_recorrentes!C:C, "&gt;="&amp;A861,despesas_recorrentes!B:B) 
+SUMIF(despesas_recorrentes!C:C, "",despesas_recorrentes!B:B)
-despesas_recorrentes!$B$12
+IF(SUMIF(gasto_cartao!E:E,saldo!B861,gasto_cartao!B:B)&gt;despesas_recorrentes!$B$12, SUMIF(gasto_cartao!E:E,saldo!B861,gasto_cartao!B:B),despesas_recorrentes!$B$12)</f>
        <v>34013</v>
      </c>
      <c r="D861" s="51">
        <f>SUM(receitas_recorrentes!B:B)+SUMIF(receitas_pontuais!E:E,B861,receitas_pontuais!B:B)</f>
        <v>56919</v>
      </c>
      <c r="E861" s="51">
        <f t="shared" si="2"/>
        <v>22906</v>
      </c>
      <c r="F861" s="53">
        <f>IFERROR(SUMIF(contas!G:G, B861, contas!B:B),0)</f>
        <v>0</v>
      </c>
      <c r="G861" s="51">
        <f>SUMIFS(previsoes!D:D, previsoes!E:E, "&lt;=" &amp; EOMONTH(DATEVALUE(B861&amp;"-01"),0), previsoes!F:F, "&gt;=" &amp; DATEVALUE(B861&amp;"-01"))</f>
        <v>0</v>
      </c>
      <c r="H861" s="52">
        <f t="shared" si="5"/>
        <v>160491.8958</v>
      </c>
      <c r="I861" s="49">
        <f t="shared" si="3"/>
        <v>22906</v>
      </c>
      <c r="J861" s="52">
        <f>IF(A861&lt;&gt;"",SUMIFS(metas!N:N, metas!E:E, "&gt;=" &amp; DATEVALUE(B861&amp;"-01"),metas!D:D, "&lt;=" &amp; DATEVALUE(B861&amp;"-01")),"")</f>
        <v>3182.813937</v>
      </c>
      <c r="K861" s="49">
        <f t="shared" si="4"/>
        <v>19723.18606</v>
      </c>
      <c r="L861" s="49">
        <f t="shared" si="6"/>
        <v>16325823.36</v>
      </c>
      <c r="M861" s="49">
        <f>IF(A861&lt;&gt;"",IF(COUNTIF(investimento!F:F, B861) &gt; 0, SUM(investimento!B:B)+I861, M860+I861),"")</f>
        <v>19481818.68</v>
      </c>
    </row>
    <row r="862" ht="22.5" customHeight="1">
      <c r="A862" s="47">
        <v>50911.0</v>
      </c>
      <c r="B862" s="48" t="str">
        <f t="shared" si="1"/>
        <v>2039-05</v>
      </c>
      <c r="C862" s="49">
        <f>SUMIF(despesas_recorrentes!C:C, "&gt;="&amp;A862,despesas_recorrentes!B:B) 
+SUMIF(despesas_recorrentes!C:C, "",despesas_recorrentes!B:B)
-despesas_recorrentes!$B$12
+IF(SUMIF(gasto_cartao!E:E,saldo!B862,gasto_cartao!B:B)&gt;despesas_recorrentes!$B$12, SUMIF(gasto_cartao!E:E,saldo!B862,gasto_cartao!B:B),despesas_recorrentes!$B$12)</f>
        <v>34013</v>
      </c>
      <c r="D862" s="51">
        <f>SUM(receitas_recorrentes!B:B)+SUMIF(receitas_pontuais!E:E,B862,receitas_pontuais!B:B)</f>
        <v>56919</v>
      </c>
      <c r="E862" s="51">
        <f t="shared" si="2"/>
        <v>22906</v>
      </c>
      <c r="F862" s="53">
        <f>IFERROR(SUMIF(contas!G:G, B862, contas!B:B),0)</f>
        <v>0</v>
      </c>
      <c r="G862" s="51">
        <f>SUMIFS(previsoes!D:D, previsoes!E:E, "&lt;=" &amp; EOMONTH(DATEVALUE(B862&amp;"-01"),0), previsoes!F:F, "&gt;=" &amp; DATEVALUE(B862&amp;"-01"))</f>
        <v>0</v>
      </c>
      <c r="H862" s="52">
        <f t="shared" si="5"/>
        <v>160491.8958</v>
      </c>
      <c r="I862" s="49">
        <f t="shared" si="3"/>
        <v>22906</v>
      </c>
      <c r="J862" s="52">
        <f>IF(A862&lt;&gt;"",SUMIFS(metas!N:N, metas!E:E, "&gt;=" &amp; DATEVALUE(B862&amp;"-01"),metas!D:D, "&lt;=" &amp; DATEVALUE(B862&amp;"-01")),"")</f>
        <v>3182.813937</v>
      </c>
      <c r="K862" s="49">
        <f t="shared" si="4"/>
        <v>19723.18606</v>
      </c>
      <c r="L862" s="49">
        <f t="shared" si="6"/>
        <v>16345546.54</v>
      </c>
      <c r="M862" s="49">
        <f>IF(A862&lt;&gt;"",IF(COUNTIF(investimento!F:F, B862) &gt; 0, SUM(investimento!B:B)+I862, M861+I862),"")</f>
        <v>19504724.68</v>
      </c>
    </row>
    <row r="863" ht="22.5" customHeight="1">
      <c r="A863" s="47">
        <v>50912.0</v>
      </c>
      <c r="B863" s="48" t="str">
        <f t="shared" si="1"/>
        <v>2039-05</v>
      </c>
      <c r="C863" s="49">
        <f>SUMIF(despesas_recorrentes!C:C, "&gt;="&amp;A863,despesas_recorrentes!B:B) 
+SUMIF(despesas_recorrentes!C:C, "",despesas_recorrentes!B:B)
-despesas_recorrentes!$B$12
+IF(SUMIF(gasto_cartao!E:E,saldo!B863,gasto_cartao!B:B)&gt;despesas_recorrentes!$B$12, SUMIF(gasto_cartao!E:E,saldo!B863,gasto_cartao!B:B),despesas_recorrentes!$B$12)</f>
        <v>34013</v>
      </c>
      <c r="D863" s="51">
        <f>SUM(receitas_recorrentes!B:B)+SUMIF(receitas_pontuais!E:E,B863,receitas_pontuais!B:B)</f>
        <v>56919</v>
      </c>
      <c r="E863" s="51">
        <f t="shared" si="2"/>
        <v>22906</v>
      </c>
      <c r="F863" s="53">
        <f>IFERROR(SUMIF(contas!G:G, B863, contas!B:B),0)</f>
        <v>0</v>
      </c>
      <c r="G863" s="51">
        <f>SUMIFS(previsoes!D:D, previsoes!E:E, "&lt;=" &amp; EOMONTH(DATEVALUE(B863&amp;"-01"),0), previsoes!F:F, "&gt;=" &amp; DATEVALUE(B863&amp;"-01"))</f>
        <v>0</v>
      </c>
      <c r="H863" s="52">
        <f t="shared" si="5"/>
        <v>160491.8958</v>
      </c>
      <c r="I863" s="49">
        <f t="shared" si="3"/>
        <v>22906</v>
      </c>
      <c r="J863" s="52">
        <f>IF(A863&lt;&gt;"",SUMIFS(metas!N:N, metas!E:E, "&gt;=" &amp; DATEVALUE(B863&amp;"-01"),metas!D:D, "&lt;=" &amp; DATEVALUE(B863&amp;"-01")),"")</f>
        <v>3182.813937</v>
      </c>
      <c r="K863" s="49">
        <f t="shared" si="4"/>
        <v>19723.18606</v>
      </c>
      <c r="L863" s="49">
        <f t="shared" si="6"/>
        <v>16365269.73</v>
      </c>
      <c r="M863" s="49">
        <f>IF(A863&lt;&gt;"",IF(COUNTIF(investimento!F:F, B863) &gt; 0, SUM(investimento!B:B)+I863, M862+I863),"")</f>
        <v>19527630.68</v>
      </c>
    </row>
    <row r="864" ht="22.5" customHeight="1">
      <c r="A864" s="47">
        <v>50913.0</v>
      </c>
      <c r="B864" s="48" t="str">
        <f t="shared" si="1"/>
        <v>2039-05</v>
      </c>
      <c r="C864" s="49">
        <f>SUMIF(despesas_recorrentes!C:C, "&gt;="&amp;A864,despesas_recorrentes!B:B) 
+SUMIF(despesas_recorrentes!C:C, "",despesas_recorrentes!B:B)
-despesas_recorrentes!$B$12
+IF(SUMIF(gasto_cartao!E:E,saldo!B864,gasto_cartao!B:B)&gt;despesas_recorrentes!$B$12, SUMIF(gasto_cartao!E:E,saldo!B864,gasto_cartao!B:B),despesas_recorrentes!$B$12)</f>
        <v>34013</v>
      </c>
      <c r="D864" s="51">
        <f>SUM(receitas_recorrentes!B:B)+SUMIF(receitas_pontuais!E:E,B864,receitas_pontuais!B:B)</f>
        <v>56919</v>
      </c>
      <c r="E864" s="51">
        <f t="shared" si="2"/>
        <v>22906</v>
      </c>
      <c r="F864" s="53">
        <f>IFERROR(SUMIF(contas!G:G, B864, contas!B:B),0)</f>
        <v>0</v>
      </c>
      <c r="G864" s="51">
        <f>SUMIFS(previsoes!D:D, previsoes!E:E, "&lt;=" &amp; EOMONTH(DATEVALUE(B864&amp;"-01"),0), previsoes!F:F, "&gt;=" &amp; DATEVALUE(B864&amp;"-01"))</f>
        <v>0</v>
      </c>
      <c r="H864" s="52">
        <f t="shared" si="5"/>
        <v>160491.8958</v>
      </c>
      <c r="I864" s="49">
        <f t="shared" si="3"/>
        <v>22906</v>
      </c>
      <c r="J864" s="52">
        <f>IF(A864&lt;&gt;"",SUMIFS(metas!N:N, metas!E:E, "&gt;=" &amp; DATEVALUE(B864&amp;"-01"),metas!D:D, "&lt;=" &amp; DATEVALUE(B864&amp;"-01")),"")</f>
        <v>3182.813937</v>
      </c>
      <c r="K864" s="49">
        <f t="shared" si="4"/>
        <v>19723.18606</v>
      </c>
      <c r="L864" s="49">
        <f t="shared" si="6"/>
        <v>16384992.92</v>
      </c>
      <c r="M864" s="49">
        <f>IF(A864&lt;&gt;"",IF(COUNTIF(investimento!F:F, B864) &gt; 0, SUM(investimento!B:B)+I864, M863+I864),"")</f>
        <v>19550536.68</v>
      </c>
    </row>
    <row r="865" ht="22.5" customHeight="1">
      <c r="A865" s="47">
        <v>50914.0</v>
      </c>
      <c r="B865" s="48" t="str">
        <f t="shared" si="1"/>
        <v>2039-05</v>
      </c>
      <c r="C865" s="49">
        <f>SUMIF(despesas_recorrentes!C:C, "&gt;="&amp;A865,despesas_recorrentes!B:B) 
+SUMIF(despesas_recorrentes!C:C, "",despesas_recorrentes!B:B)
-despesas_recorrentes!$B$12
+IF(SUMIF(gasto_cartao!E:E,saldo!B865,gasto_cartao!B:B)&gt;despesas_recorrentes!$B$12, SUMIF(gasto_cartao!E:E,saldo!B865,gasto_cartao!B:B),despesas_recorrentes!$B$12)</f>
        <v>34013</v>
      </c>
      <c r="D865" s="51">
        <f>SUM(receitas_recorrentes!B:B)+SUMIF(receitas_pontuais!E:E,B865,receitas_pontuais!B:B)</f>
        <v>56919</v>
      </c>
      <c r="E865" s="51">
        <f t="shared" si="2"/>
        <v>22906</v>
      </c>
      <c r="F865" s="53">
        <f>IFERROR(SUMIF(contas!G:G, B865, contas!B:B),0)</f>
        <v>0</v>
      </c>
      <c r="G865" s="51">
        <f>SUMIFS(previsoes!D:D, previsoes!E:E, "&lt;=" &amp; EOMONTH(DATEVALUE(B865&amp;"-01"),0), previsoes!F:F, "&gt;=" &amp; DATEVALUE(B865&amp;"-01"))</f>
        <v>0</v>
      </c>
      <c r="H865" s="52">
        <f t="shared" si="5"/>
        <v>160491.8958</v>
      </c>
      <c r="I865" s="49">
        <f t="shared" si="3"/>
        <v>22906</v>
      </c>
      <c r="J865" s="52">
        <f>IF(A865&lt;&gt;"",SUMIFS(metas!N:N, metas!E:E, "&gt;=" &amp; DATEVALUE(B865&amp;"-01"),metas!D:D, "&lt;=" &amp; DATEVALUE(B865&amp;"-01")),"")</f>
        <v>3182.813937</v>
      </c>
      <c r="K865" s="49">
        <f t="shared" si="4"/>
        <v>19723.18606</v>
      </c>
      <c r="L865" s="49">
        <f t="shared" si="6"/>
        <v>16404716.1</v>
      </c>
      <c r="M865" s="49">
        <f>IF(A865&lt;&gt;"",IF(COUNTIF(investimento!F:F, B865) &gt; 0, SUM(investimento!B:B)+I865, M864+I865),"")</f>
        <v>19573442.68</v>
      </c>
    </row>
    <row r="866" ht="22.5" customHeight="1">
      <c r="A866" s="47">
        <v>50915.0</v>
      </c>
      <c r="B866" s="48" t="str">
        <f t="shared" si="1"/>
        <v>2039-05</v>
      </c>
      <c r="C866" s="49">
        <f>SUMIF(despesas_recorrentes!C:C, "&gt;="&amp;A866,despesas_recorrentes!B:B) 
+SUMIF(despesas_recorrentes!C:C, "",despesas_recorrentes!B:B)
-despesas_recorrentes!$B$12
+IF(SUMIF(gasto_cartao!E:E,saldo!B866,gasto_cartao!B:B)&gt;despesas_recorrentes!$B$12, SUMIF(gasto_cartao!E:E,saldo!B866,gasto_cartao!B:B),despesas_recorrentes!$B$12)</f>
        <v>34013</v>
      </c>
      <c r="D866" s="51">
        <f>SUM(receitas_recorrentes!B:B)+SUMIF(receitas_pontuais!E:E,B866,receitas_pontuais!B:B)</f>
        <v>56919</v>
      </c>
      <c r="E866" s="51">
        <f t="shared" si="2"/>
        <v>22906</v>
      </c>
      <c r="F866" s="53">
        <f>IFERROR(SUMIF(contas!G:G, B866, contas!B:B),0)</f>
        <v>0</v>
      </c>
      <c r="G866" s="51">
        <f>SUMIFS(previsoes!D:D, previsoes!E:E, "&lt;=" &amp; EOMONTH(DATEVALUE(B866&amp;"-01"),0), previsoes!F:F, "&gt;=" &amp; DATEVALUE(B866&amp;"-01"))</f>
        <v>0</v>
      </c>
      <c r="H866" s="52">
        <f t="shared" si="5"/>
        <v>160491.8958</v>
      </c>
      <c r="I866" s="49">
        <f t="shared" si="3"/>
        <v>22906</v>
      </c>
      <c r="J866" s="52">
        <f>IF(A866&lt;&gt;"",SUMIFS(metas!N:N, metas!E:E, "&gt;=" &amp; DATEVALUE(B866&amp;"-01"),metas!D:D, "&lt;=" &amp; DATEVALUE(B866&amp;"-01")),"")</f>
        <v>3182.813937</v>
      </c>
      <c r="K866" s="49">
        <f t="shared" si="4"/>
        <v>19723.18606</v>
      </c>
      <c r="L866" s="49">
        <f t="shared" si="6"/>
        <v>16424439.29</v>
      </c>
      <c r="M866" s="49">
        <f>IF(A866&lt;&gt;"",IF(COUNTIF(investimento!F:F, B866) &gt; 0, SUM(investimento!B:B)+I866, M865+I866),"")</f>
        <v>19596348.68</v>
      </c>
    </row>
    <row r="867" ht="22.5" customHeight="1">
      <c r="A867" s="47">
        <v>50916.0</v>
      </c>
      <c r="B867" s="48" t="str">
        <f t="shared" si="1"/>
        <v>2039-05</v>
      </c>
      <c r="C867" s="49">
        <f>SUMIF(despesas_recorrentes!C:C, "&gt;="&amp;A867,despesas_recorrentes!B:B) 
+SUMIF(despesas_recorrentes!C:C, "",despesas_recorrentes!B:B)
-despesas_recorrentes!$B$12
+IF(SUMIF(gasto_cartao!E:E,saldo!B867,gasto_cartao!B:B)&gt;despesas_recorrentes!$B$12, SUMIF(gasto_cartao!E:E,saldo!B867,gasto_cartao!B:B),despesas_recorrentes!$B$12)</f>
        <v>34013</v>
      </c>
      <c r="D867" s="51">
        <f>SUM(receitas_recorrentes!B:B)+SUMIF(receitas_pontuais!E:E,B867,receitas_pontuais!B:B)</f>
        <v>56919</v>
      </c>
      <c r="E867" s="51">
        <f t="shared" si="2"/>
        <v>22906</v>
      </c>
      <c r="F867" s="53">
        <f>IFERROR(SUMIF(contas!G:G, B867, contas!B:B),0)</f>
        <v>0</v>
      </c>
      <c r="G867" s="51">
        <f>SUMIFS(previsoes!D:D, previsoes!E:E, "&lt;=" &amp; EOMONTH(DATEVALUE(B867&amp;"-01"),0), previsoes!F:F, "&gt;=" &amp; DATEVALUE(B867&amp;"-01"))</f>
        <v>0</v>
      </c>
      <c r="H867" s="52">
        <f t="shared" si="5"/>
        <v>160491.8958</v>
      </c>
      <c r="I867" s="49">
        <f t="shared" si="3"/>
        <v>22906</v>
      </c>
      <c r="J867" s="52">
        <f>IF(A867&lt;&gt;"",SUMIFS(metas!N:N, metas!E:E, "&gt;=" &amp; DATEVALUE(B867&amp;"-01"),metas!D:D, "&lt;=" &amp; DATEVALUE(B867&amp;"-01")),"")</f>
        <v>3182.813937</v>
      </c>
      <c r="K867" s="49">
        <f t="shared" si="4"/>
        <v>19723.18606</v>
      </c>
      <c r="L867" s="49">
        <f t="shared" si="6"/>
        <v>16444162.47</v>
      </c>
      <c r="M867" s="49">
        <f>IF(A867&lt;&gt;"",IF(COUNTIF(investimento!F:F, B867) &gt; 0, SUM(investimento!B:B)+I867, M866+I867),"")</f>
        <v>19619254.68</v>
      </c>
    </row>
    <row r="868" ht="22.5" customHeight="1">
      <c r="A868" s="47">
        <v>50917.0</v>
      </c>
      <c r="B868" s="48" t="str">
        <f t="shared" si="1"/>
        <v>2039-05</v>
      </c>
      <c r="C868" s="49">
        <f>SUMIF(despesas_recorrentes!C:C, "&gt;="&amp;A868,despesas_recorrentes!B:B) 
+SUMIF(despesas_recorrentes!C:C, "",despesas_recorrentes!B:B)
-despesas_recorrentes!$B$12
+IF(SUMIF(gasto_cartao!E:E,saldo!B868,gasto_cartao!B:B)&gt;despesas_recorrentes!$B$12, SUMIF(gasto_cartao!E:E,saldo!B868,gasto_cartao!B:B),despesas_recorrentes!$B$12)</f>
        <v>34013</v>
      </c>
      <c r="D868" s="51">
        <f>SUM(receitas_recorrentes!B:B)+SUMIF(receitas_pontuais!E:E,B868,receitas_pontuais!B:B)</f>
        <v>56919</v>
      </c>
      <c r="E868" s="51">
        <f t="shared" si="2"/>
        <v>22906</v>
      </c>
      <c r="F868" s="53">
        <f>IFERROR(SUMIF(contas!G:G, B868, contas!B:B),0)</f>
        <v>0</v>
      </c>
      <c r="G868" s="51">
        <f>SUMIFS(previsoes!D:D, previsoes!E:E, "&lt;=" &amp; EOMONTH(DATEVALUE(B868&amp;"-01"),0), previsoes!F:F, "&gt;=" &amp; DATEVALUE(B868&amp;"-01"))</f>
        <v>0</v>
      </c>
      <c r="H868" s="52">
        <f t="shared" si="5"/>
        <v>160491.8958</v>
      </c>
      <c r="I868" s="49">
        <f t="shared" si="3"/>
        <v>22906</v>
      </c>
      <c r="J868" s="52">
        <f>IF(A868&lt;&gt;"",SUMIFS(metas!N:N, metas!E:E, "&gt;=" &amp; DATEVALUE(B868&amp;"-01"),metas!D:D, "&lt;=" &amp; DATEVALUE(B868&amp;"-01")),"")</f>
        <v>3182.813937</v>
      </c>
      <c r="K868" s="49">
        <f t="shared" si="4"/>
        <v>19723.18606</v>
      </c>
      <c r="L868" s="49">
        <f t="shared" si="6"/>
        <v>16463885.66</v>
      </c>
      <c r="M868" s="49">
        <f>IF(A868&lt;&gt;"",IF(COUNTIF(investimento!F:F, B868) &gt; 0, SUM(investimento!B:B)+I868, M867+I868),"")</f>
        <v>19642160.68</v>
      </c>
    </row>
    <row r="869" ht="22.5" customHeight="1">
      <c r="A869" s="47">
        <v>50918.0</v>
      </c>
      <c r="B869" s="48" t="str">
        <f t="shared" si="1"/>
        <v>2039-05</v>
      </c>
      <c r="C869" s="49">
        <f>SUMIF(despesas_recorrentes!C:C, "&gt;="&amp;A869,despesas_recorrentes!B:B) 
+SUMIF(despesas_recorrentes!C:C, "",despesas_recorrentes!B:B)
-despesas_recorrentes!$B$12
+IF(SUMIF(gasto_cartao!E:E,saldo!B869,gasto_cartao!B:B)&gt;despesas_recorrentes!$B$12, SUMIF(gasto_cartao!E:E,saldo!B869,gasto_cartao!B:B),despesas_recorrentes!$B$12)</f>
        <v>34013</v>
      </c>
      <c r="D869" s="51">
        <f>SUM(receitas_recorrentes!B:B)+SUMIF(receitas_pontuais!E:E,B869,receitas_pontuais!B:B)</f>
        <v>56919</v>
      </c>
      <c r="E869" s="51">
        <f t="shared" si="2"/>
        <v>22906</v>
      </c>
      <c r="F869" s="53">
        <f>IFERROR(SUMIF(contas!G:G, B869, contas!B:B),0)</f>
        <v>0</v>
      </c>
      <c r="G869" s="51">
        <f>SUMIFS(previsoes!D:D, previsoes!E:E, "&lt;=" &amp; EOMONTH(DATEVALUE(B869&amp;"-01"),0), previsoes!F:F, "&gt;=" &amp; DATEVALUE(B869&amp;"-01"))</f>
        <v>0</v>
      </c>
      <c r="H869" s="52">
        <f t="shared" si="5"/>
        <v>160491.8958</v>
      </c>
      <c r="I869" s="49">
        <f t="shared" si="3"/>
        <v>22906</v>
      </c>
      <c r="J869" s="52">
        <f>IF(A869&lt;&gt;"",SUMIFS(metas!N:N, metas!E:E, "&gt;=" &amp; DATEVALUE(B869&amp;"-01"),metas!D:D, "&lt;=" &amp; DATEVALUE(B869&amp;"-01")),"")</f>
        <v>3182.813937</v>
      </c>
      <c r="K869" s="49">
        <f t="shared" si="4"/>
        <v>19723.18606</v>
      </c>
      <c r="L869" s="49">
        <f t="shared" si="6"/>
        <v>16483608.85</v>
      </c>
      <c r="M869" s="49">
        <f>IF(A869&lt;&gt;"",IF(COUNTIF(investimento!F:F, B869) &gt; 0, SUM(investimento!B:B)+I869, M868+I869),"")</f>
        <v>19665066.68</v>
      </c>
    </row>
    <row r="870" ht="22.5" customHeight="1">
      <c r="A870" s="47">
        <v>50919.0</v>
      </c>
      <c r="B870" s="48" t="str">
        <f t="shared" si="1"/>
        <v>2039-05</v>
      </c>
      <c r="C870" s="49">
        <f>SUMIF(despesas_recorrentes!C:C, "&gt;="&amp;A870,despesas_recorrentes!B:B) 
+SUMIF(despesas_recorrentes!C:C, "",despesas_recorrentes!B:B)
-despesas_recorrentes!$B$12
+IF(SUMIF(gasto_cartao!E:E,saldo!B870,gasto_cartao!B:B)&gt;despesas_recorrentes!$B$12, SUMIF(gasto_cartao!E:E,saldo!B870,gasto_cartao!B:B),despesas_recorrentes!$B$12)</f>
        <v>34013</v>
      </c>
      <c r="D870" s="51">
        <f>SUM(receitas_recorrentes!B:B)+SUMIF(receitas_pontuais!E:E,B870,receitas_pontuais!B:B)</f>
        <v>56919</v>
      </c>
      <c r="E870" s="51">
        <f t="shared" si="2"/>
        <v>22906</v>
      </c>
      <c r="F870" s="53">
        <f>IFERROR(SUMIF(contas!G:G, B870, contas!B:B),0)</f>
        <v>0</v>
      </c>
      <c r="G870" s="51">
        <f>SUMIFS(previsoes!D:D, previsoes!E:E, "&lt;=" &amp; EOMONTH(DATEVALUE(B870&amp;"-01"),0), previsoes!F:F, "&gt;=" &amp; DATEVALUE(B870&amp;"-01"))</f>
        <v>0</v>
      </c>
      <c r="H870" s="52">
        <f t="shared" si="5"/>
        <v>160491.8958</v>
      </c>
      <c r="I870" s="49">
        <f t="shared" si="3"/>
        <v>22906</v>
      </c>
      <c r="J870" s="52">
        <f>IF(A870&lt;&gt;"",SUMIFS(metas!N:N, metas!E:E, "&gt;=" &amp; DATEVALUE(B870&amp;"-01"),metas!D:D, "&lt;=" &amp; DATEVALUE(B870&amp;"-01")),"")</f>
        <v>3182.813937</v>
      </c>
      <c r="K870" s="49">
        <f t="shared" si="4"/>
        <v>19723.18606</v>
      </c>
      <c r="L870" s="49">
        <f t="shared" si="6"/>
        <v>16503332.03</v>
      </c>
      <c r="M870" s="49">
        <f>IF(A870&lt;&gt;"",IF(COUNTIF(investimento!F:F, B870) &gt; 0, SUM(investimento!B:B)+I870, M869+I870),"")</f>
        <v>19687972.68</v>
      </c>
    </row>
    <row r="871" ht="22.5" customHeight="1">
      <c r="A871" s="47">
        <v>50920.0</v>
      </c>
      <c r="B871" s="48" t="str">
        <f t="shared" si="1"/>
        <v>2039-05</v>
      </c>
      <c r="C871" s="49">
        <f>SUMIF(despesas_recorrentes!C:C, "&gt;="&amp;A871,despesas_recorrentes!B:B) 
+SUMIF(despesas_recorrentes!C:C, "",despesas_recorrentes!B:B)
-despesas_recorrentes!$B$12
+IF(SUMIF(gasto_cartao!E:E,saldo!B871,gasto_cartao!B:B)&gt;despesas_recorrentes!$B$12, SUMIF(gasto_cartao!E:E,saldo!B871,gasto_cartao!B:B),despesas_recorrentes!$B$12)</f>
        <v>34013</v>
      </c>
      <c r="D871" s="51">
        <f>SUM(receitas_recorrentes!B:B)+SUMIF(receitas_pontuais!E:E,B871,receitas_pontuais!B:B)</f>
        <v>56919</v>
      </c>
      <c r="E871" s="51">
        <f t="shared" si="2"/>
        <v>22906</v>
      </c>
      <c r="F871" s="53">
        <f>IFERROR(SUMIF(contas!G:G, B871, contas!B:B),0)</f>
        <v>0</v>
      </c>
      <c r="G871" s="51">
        <f>SUMIFS(previsoes!D:D, previsoes!E:E, "&lt;=" &amp; EOMONTH(DATEVALUE(B871&amp;"-01"),0), previsoes!F:F, "&gt;=" &amp; DATEVALUE(B871&amp;"-01"))</f>
        <v>0</v>
      </c>
      <c r="H871" s="52">
        <f t="shared" si="5"/>
        <v>160491.8958</v>
      </c>
      <c r="I871" s="49">
        <f t="shared" si="3"/>
        <v>22906</v>
      </c>
      <c r="J871" s="52">
        <f>IF(A871&lt;&gt;"",SUMIFS(metas!N:N, metas!E:E, "&gt;=" &amp; DATEVALUE(B871&amp;"-01"),metas!D:D, "&lt;=" &amp; DATEVALUE(B871&amp;"-01")),"")</f>
        <v>3182.813937</v>
      </c>
      <c r="K871" s="49">
        <f t="shared" si="4"/>
        <v>19723.18606</v>
      </c>
      <c r="L871" s="49">
        <f t="shared" si="6"/>
        <v>16523055.22</v>
      </c>
      <c r="M871" s="49">
        <f>IF(A871&lt;&gt;"",IF(COUNTIF(investimento!F:F, B871) &gt; 0, SUM(investimento!B:B)+I871, M870+I871),"")</f>
        <v>19710878.68</v>
      </c>
    </row>
    <row r="872" ht="22.5" customHeight="1">
      <c r="A872" s="47">
        <v>50921.0</v>
      </c>
      <c r="B872" s="48" t="str">
        <f t="shared" si="1"/>
        <v>2039-05</v>
      </c>
      <c r="C872" s="49">
        <f>SUMIF(despesas_recorrentes!C:C, "&gt;="&amp;A872,despesas_recorrentes!B:B) 
+SUMIF(despesas_recorrentes!C:C, "",despesas_recorrentes!B:B)
-despesas_recorrentes!$B$12
+IF(SUMIF(gasto_cartao!E:E,saldo!B872,gasto_cartao!B:B)&gt;despesas_recorrentes!$B$12, SUMIF(gasto_cartao!E:E,saldo!B872,gasto_cartao!B:B),despesas_recorrentes!$B$12)</f>
        <v>34013</v>
      </c>
      <c r="D872" s="51">
        <f>SUM(receitas_recorrentes!B:B)+SUMIF(receitas_pontuais!E:E,B872,receitas_pontuais!B:B)</f>
        <v>56919</v>
      </c>
      <c r="E872" s="51">
        <f t="shared" si="2"/>
        <v>22906</v>
      </c>
      <c r="F872" s="53">
        <f>IFERROR(SUMIF(contas!G:G, B872, contas!B:B),0)</f>
        <v>0</v>
      </c>
      <c r="G872" s="51">
        <f>SUMIFS(previsoes!D:D, previsoes!E:E, "&lt;=" &amp; EOMONTH(DATEVALUE(B872&amp;"-01"),0), previsoes!F:F, "&gt;=" &amp; DATEVALUE(B872&amp;"-01"))</f>
        <v>0</v>
      </c>
      <c r="H872" s="52">
        <f t="shared" si="5"/>
        <v>160491.8958</v>
      </c>
      <c r="I872" s="49">
        <f t="shared" si="3"/>
        <v>22906</v>
      </c>
      <c r="J872" s="52">
        <f>IF(A872&lt;&gt;"",SUMIFS(metas!N:N, metas!E:E, "&gt;=" &amp; DATEVALUE(B872&amp;"-01"),metas!D:D, "&lt;=" &amp; DATEVALUE(B872&amp;"-01")),"")</f>
        <v>3182.813937</v>
      </c>
      <c r="K872" s="49">
        <f t="shared" si="4"/>
        <v>19723.18606</v>
      </c>
      <c r="L872" s="49">
        <f t="shared" si="6"/>
        <v>16542778.4</v>
      </c>
      <c r="M872" s="49">
        <f>IF(A872&lt;&gt;"",IF(COUNTIF(investimento!F:F, B872) &gt; 0, SUM(investimento!B:B)+I872, M871+I872),"")</f>
        <v>19733784.68</v>
      </c>
    </row>
    <row r="873" ht="22.5" customHeight="1">
      <c r="A873" s="47">
        <v>50922.0</v>
      </c>
      <c r="B873" s="48" t="str">
        <f t="shared" si="1"/>
        <v>2039-06</v>
      </c>
      <c r="C873" s="49">
        <f>SUMIF(despesas_recorrentes!C:C, "&gt;="&amp;A873,despesas_recorrentes!B:B) 
+SUMIF(despesas_recorrentes!C:C, "",despesas_recorrentes!B:B)
-despesas_recorrentes!$B$12
+IF(SUMIF(gasto_cartao!E:E,saldo!B873,gasto_cartao!B:B)&gt;despesas_recorrentes!$B$12, SUMIF(gasto_cartao!E:E,saldo!B873,gasto_cartao!B:B),despesas_recorrentes!$B$12)</f>
        <v>34013</v>
      </c>
      <c r="D873" s="51">
        <f>SUM(receitas_recorrentes!B:B)+SUMIF(receitas_pontuais!E:E,B873,receitas_pontuais!B:B)</f>
        <v>56919</v>
      </c>
      <c r="E873" s="51">
        <f t="shared" si="2"/>
        <v>22906</v>
      </c>
      <c r="F873" s="53">
        <f>IFERROR(SUMIF(contas!G:G, B873, contas!B:B),0)</f>
        <v>0</v>
      </c>
      <c r="G873" s="51">
        <f>SUMIFS(previsoes!D:D, previsoes!E:E, "&lt;=" &amp; EOMONTH(DATEVALUE(B873&amp;"-01"),0), previsoes!F:F, "&gt;=" &amp; DATEVALUE(B873&amp;"-01"))</f>
        <v>0</v>
      </c>
      <c r="H873" s="52">
        <f t="shared" si="5"/>
        <v>160491.8958</v>
      </c>
      <c r="I873" s="49">
        <f t="shared" si="3"/>
        <v>22906</v>
      </c>
      <c r="J873" s="52">
        <f>IF(A873&lt;&gt;"",SUMIFS(metas!N:N, metas!E:E, "&gt;=" &amp; DATEVALUE(B873&amp;"-01"),metas!D:D, "&lt;=" &amp; DATEVALUE(B873&amp;"-01")),"")</f>
        <v>3182.813937</v>
      </c>
      <c r="K873" s="49">
        <f t="shared" si="4"/>
        <v>19723.18606</v>
      </c>
      <c r="L873" s="49">
        <f t="shared" si="6"/>
        <v>16562501.59</v>
      </c>
      <c r="M873" s="49">
        <f>IF(A873&lt;&gt;"",IF(COUNTIF(investimento!F:F, B873) &gt; 0, SUM(investimento!B:B)+I873, M872+I873),"")</f>
        <v>19756690.68</v>
      </c>
    </row>
    <row r="874" ht="22.5" customHeight="1">
      <c r="A874" s="47">
        <v>50923.0</v>
      </c>
      <c r="B874" s="48" t="str">
        <f t="shared" si="1"/>
        <v>2039-06</v>
      </c>
      <c r="C874" s="49">
        <f>SUMIF(despesas_recorrentes!C:C, "&gt;="&amp;A874,despesas_recorrentes!B:B) 
+SUMIF(despesas_recorrentes!C:C, "",despesas_recorrentes!B:B)
-despesas_recorrentes!$B$12
+IF(SUMIF(gasto_cartao!E:E,saldo!B874,gasto_cartao!B:B)&gt;despesas_recorrentes!$B$12, SUMIF(gasto_cartao!E:E,saldo!B874,gasto_cartao!B:B),despesas_recorrentes!$B$12)</f>
        <v>34013</v>
      </c>
      <c r="D874" s="51">
        <f>SUM(receitas_recorrentes!B:B)+SUMIF(receitas_pontuais!E:E,B874,receitas_pontuais!B:B)</f>
        <v>56919</v>
      </c>
      <c r="E874" s="51">
        <f t="shared" si="2"/>
        <v>22906</v>
      </c>
      <c r="F874" s="53">
        <f>IFERROR(SUMIF(contas!G:G, B874, contas!B:B),0)</f>
        <v>0</v>
      </c>
      <c r="G874" s="51">
        <f>SUMIFS(previsoes!D:D, previsoes!E:E, "&lt;=" &amp; EOMONTH(DATEVALUE(B874&amp;"-01"),0), previsoes!F:F, "&gt;=" &amp; DATEVALUE(B874&amp;"-01"))</f>
        <v>0</v>
      </c>
      <c r="H874" s="52">
        <f t="shared" si="5"/>
        <v>160491.8958</v>
      </c>
      <c r="I874" s="49">
        <f t="shared" si="3"/>
        <v>22906</v>
      </c>
      <c r="J874" s="52">
        <f>IF(A874&lt;&gt;"",SUMIFS(metas!N:N, metas!E:E, "&gt;=" &amp; DATEVALUE(B874&amp;"-01"),metas!D:D, "&lt;=" &amp; DATEVALUE(B874&amp;"-01")),"")</f>
        <v>3182.813937</v>
      </c>
      <c r="K874" s="49">
        <f t="shared" si="4"/>
        <v>19723.18606</v>
      </c>
      <c r="L874" s="49">
        <f t="shared" si="6"/>
        <v>16582224.78</v>
      </c>
      <c r="M874" s="49">
        <f>IF(A874&lt;&gt;"",IF(COUNTIF(investimento!F:F, B874) &gt; 0, SUM(investimento!B:B)+I874, M873+I874),"")</f>
        <v>19779596.68</v>
      </c>
    </row>
    <row r="875" ht="22.5" customHeight="1">
      <c r="A875" s="47">
        <v>50924.0</v>
      </c>
      <c r="B875" s="48" t="str">
        <f t="shared" si="1"/>
        <v>2039-06</v>
      </c>
      <c r="C875" s="49">
        <f>SUMIF(despesas_recorrentes!C:C, "&gt;="&amp;A875,despesas_recorrentes!B:B) 
+SUMIF(despesas_recorrentes!C:C, "",despesas_recorrentes!B:B)
-despesas_recorrentes!$B$12
+IF(SUMIF(gasto_cartao!E:E,saldo!B875,gasto_cartao!B:B)&gt;despesas_recorrentes!$B$12, SUMIF(gasto_cartao!E:E,saldo!B875,gasto_cartao!B:B),despesas_recorrentes!$B$12)</f>
        <v>34013</v>
      </c>
      <c r="D875" s="51">
        <f>SUM(receitas_recorrentes!B:B)+SUMIF(receitas_pontuais!E:E,B875,receitas_pontuais!B:B)</f>
        <v>56919</v>
      </c>
      <c r="E875" s="51">
        <f t="shared" si="2"/>
        <v>22906</v>
      </c>
      <c r="F875" s="53">
        <f>IFERROR(SUMIF(contas!G:G, B875, contas!B:B),0)</f>
        <v>0</v>
      </c>
      <c r="G875" s="51">
        <f>SUMIFS(previsoes!D:D, previsoes!E:E, "&lt;=" &amp; EOMONTH(DATEVALUE(B875&amp;"-01"),0), previsoes!F:F, "&gt;=" &amp; DATEVALUE(B875&amp;"-01"))</f>
        <v>0</v>
      </c>
      <c r="H875" s="52">
        <f t="shared" si="5"/>
        <v>160491.8958</v>
      </c>
      <c r="I875" s="49">
        <f t="shared" si="3"/>
        <v>22906</v>
      </c>
      <c r="J875" s="52">
        <f>IF(A875&lt;&gt;"",SUMIFS(metas!N:N, metas!E:E, "&gt;=" &amp; DATEVALUE(B875&amp;"-01"),metas!D:D, "&lt;=" &amp; DATEVALUE(B875&amp;"-01")),"")</f>
        <v>3182.813937</v>
      </c>
      <c r="K875" s="49">
        <f t="shared" si="4"/>
        <v>19723.18606</v>
      </c>
      <c r="L875" s="49">
        <f t="shared" si="6"/>
        <v>16601947.96</v>
      </c>
      <c r="M875" s="49">
        <f>IF(A875&lt;&gt;"",IF(COUNTIF(investimento!F:F, B875) &gt; 0, SUM(investimento!B:B)+I875, M874+I875),"")</f>
        <v>19802502.68</v>
      </c>
    </row>
    <row r="876" ht="22.5" customHeight="1">
      <c r="A876" s="47">
        <v>50925.0</v>
      </c>
      <c r="B876" s="48" t="str">
        <f t="shared" si="1"/>
        <v>2039-06</v>
      </c>
      <c r="C876" s="49">
        <f>SUMIF(despesas_recorrentes!C:C, "&gt;="&amp;A876,despesas_recorrentes!B:B) 
+SUMIF(despesas_recorrentes!C:C, "",despesas_recorrentes!B:B)
-despesas_recorrentes!$B$12
+IF(SUMIF(gasto_cartao!E:E,saldo!B876,gasto_cartao!B:B)&gt;despesas_recorrentes!$B$12, SUMIF(gasto_cartao!E:E,saldo!B876,gasto_cartao!B:B),despesas_recorrentes!$B$12)</f>
        <v>34013</v>
      </c>
      <c r="D876" s="51">
        <f>SUM(receitas_recorrentes!B:B)+SUMIF(receitas_pontuais!E:E,B876,receitas_pontuais!B:B)</f>
        <v>56919</v>
      </c>
      <c r="E876" s="51">
        <f t="shared" si="2"/>
        <v>22906</v>
      </c>
      <c r="F876" s="53">
        <f>IFERROR(SUMIF(contas!G:G, B876, contas!B:B),0)</f>
        <v>0</v>
      </c>
      <c r="G876" s="51">
        <f>SUMIFS(previsoes!D:D, previsoes!E:E, "&lt;=" &amp; EOMONTH(DATEVALUE(B876&amp;"-01"),0), previsoes!F:F, "&gt;=" &amp; DATEVALUE(B876&amp;"-01"))</f>
        <v>0</v>
      </c>
      <c r="H876" s="52">
        <f t="shared" si="5"/>
        <v>160491.8958</v>
      </c>
      <c r="I876" s="49">
        <f t="shared" si="3"/>
        <v>22906</v>
      </c>
      <c r="J876" s="52">
        <f>IF(A876&lt;&gt;"",SUMIFS(metas!N:N, metas!E:E, "&gt;=" &amp; DATEVALUE(B876&amp;"-01"),metas!D:D, "&lt;=" &amp; DATEVALUE(B876&amp;"-01")),"")</f>
        <v>3182.813937</v>
      </c>
      <c r="K876" s="49">
        <f t="shared" si="4"/>
        <v>19723.18606</v>
      </c>
      <c r="L876" s="49">
        <f t="shared" si="6"/>
        <v>16621671.15</v>
      </c>
      <c r="M876" s="49">
        <f>IF(A876&lt;&gt;"",IF(COUNTIF(investimento!F:F, B876) &gt; 0, SUM(investimento!B:B)+I876, M875+I876),"")</f>
        <v>19825408.68</v>
      </c>
    </row>
    <row r="877" ht="22.5" customHeight="1">
      <c r="A877" s="47">
        <v>50926.0</v>
      </c>
      <c r="B877" s="48" t="str">
        <f t="shared" si="1"/>
        <v>2039-06</v>
      </c>
      <c r="C877" s="49">
        <f>SUMIF(despesas_recorrentes!C:C, "&gt;="&amp;A877,despesas_recorrentes!B:B) 
+SUMIF(despesas_recorrentes!C:C, "",despesas_recorrentes!B:B)
-despesas_recorrentes!$B$12
+IF(SUMIF(gasto_cartao!E:E,saldo!B877,gasto_cartao!B:B)&gt;despesas_recorrentes!$B$12, SUMIF(gasto_cartao!E:E,saldo!B877,gasto_cartao!B:B),despesas_recorrentes!$B$12)</f>
        <v>34013</v>
      </c>
      <c r="D877" s="51">
        <f>SUM(receitas_recorrentes!B:B)+SUMIF(receitas_pontuais!E:E,B877,receitas_pontuais!B:B)</f>
        <v>56919</v>
      </c>
      <c r="E877" s="51">
        <f t="shared" si="2"/>
        <v>22906</v>
      </c>
      <c r="F877" s="53">
        <f>IFERROR(SUMIF(contas!G:G, B877, contas!B:B),0)</f>
        <v>0</v>
      </c>
      <c r="G877" s="51">
        <f>SUMIFS(previsoes!D:D, previsoes!E:E, "&lt;=" &amp; EOMONTH(DATEVALUE(B877&amp;"-01"),0), previsoes!F:F, "&gt;=" &amp; DATEVALUE(B877&amp;"-01"))</f>
        <v>0</v>
      </c>
      <c r="H877" s="52">
        <f t="shared" si="5"/>
        <v>160491.8958</v>
      </c>
      <c r="I877" s="49">
        <f t="shared" si="3"/>
        <v>22906</v>
      </c>
      <c r="J877" s="52">
        <f>IF(A877&lt;&gt;"",SUMIFS(metas!N:N, metas!E:E, "&gt;=" &amp; DATEVALUE(B877&amp;"-01"),metas!D:D, "&lt;=" &amp; DATEVALUE(B877&amp;"-01")),"")</f>
        <v>3182.813937</v>
      </c>
      <c r="K877" s="49">
        <f t="shared" si="4"/>
        <v>19723.18606</v>
      </c>
      <c r="L877" s="49">
        <f t="shared" si="6"/>
        <v>16641394.33</v>
      </c>
      <c r="M877" s="49">
        <f>IF(A877&lt;&gt;"",IF(COUNTIF(investimento!F:F, B877) &gt; 0, SUM(investimento!B:B)+I877, M876+I877),"")</f>
        <v>19848314.68</v>
      </c>
    </row>
    <row r="878" ht="22.5" customHeight="1">
      <c r="A878" s="47">
        <v>50927.0</v>
      </c>
      <c r="B878" s="48" t="str">
        <f t="shared" si="1"/>
        <v>2039-06</v>
      </c>
      <c r="C878" s="49">
        <f>SUMIF(despesas_recorrentes!C:C, "&gt;="&amp;A878,despesas_recorrentes!B:B) 
+SUMIF(despesas_recorrentes!C:C, "",despesas_recorrentes!B:B)
-despesas_recorrentes!$B$12
+IF(SUMIF(gasto_cartao!E:E,saldo!B878,gasto_cartao!B:B)&gt;despesas_recorrentes!$B$12, SUMIF(gasto_cartao!E:E,saldo!B878,gasto_cartao!B:B),despesas_recorrentes!$B$12)</f>
        <v>34013</v>
      </c>
      <c r="D878" s="51">
        <f>SUM(receitas_recorrentes!B:B)+SUMIF(receitas_pontuais!E:E,B878,receitas_pontuais!B:B)</f>
        <v>56919</v>
      </c>
      <c r="E878" s="51">
        <f t="shared" si="2"/>
        <v>22906</v>
      </c>
      <c r="F878" s="53">
        <f>IFERROR(SUMIF(contas!G:G, B878, contas!B:B),0)</f>
        <v>0</v>
      </c>
      <c r="G878" s="51">
        <f>SUMIFS(previsoes!D:D, previsoes!E:E, "&lt;=" &amp; EOMONTH(DATEVALUE(B878&amp;"-01"),0), previsoes!F:F, "&gt;=" &amp; DATEVALUE(B878&amp;"-01"))</f>
        <v>0</v>
      </c>
      <c r="H878" s="52">
        <f t="shared" si="5"/>
        <v>160491.8958</v>
      </c>
      <c r="I878" s="49">
        <f t="shared" si="3"/>
        <v>22906</v>
      </c>
      <c r="J878" s="52">
        <f>IF(A878&lt;&gt;"",SUMIFS(metas!N:N, metas!E:E, "&gt;=" &amp; DATEVALUE(B878&amp;"-01"),metas!D:D, "&lt;=" &amp; DATEVALUE(B878&amp;"-01")),"")</f>
        <v>3182.813937</v>
      </c>
      <c r="K878" s="49">
        <f t="shared" si="4"/>
        <v>19723.18606</v>
      </c>
      <c r="L878" s="49">
        <f t="shared" si="6"/>
        <v>16661117.52</v>
      </c>
      <c r="M878" s="49">
        <f>IF(A878&lt;&gt;"",IF(COUNTIF(investimento!F:F, B878) &gt; 0, SUM(investimento!B:B)+I878, M877+I878),"")</f>
        <v>19871220.68</v>
      </c>
    </row>
    <row r="879" ht="22.5" customHeight="1">
      <c r="A879" s="47">
        <v>50928.0</v>
      </c>
      <c r="B879" s="48" t="str">
        <f t="shared" si="1"/>
        <v>2039-06</v>
      </c>
      <c r="C879" s="49">
        <f>SUMIF(despesas_recorrentes!C:C, "&gt;="&amp;A879,despesas_recorrentes!B:B) 
+SUMIF(despesas_recorrentes!C:C, "",despesas_recorrentes!B:B)
-despesas_recorrentes!$B$12
+IF(SUMIF(gasto_cartao!E:E,saldo!B879,gasto_cartao!B:B)&gt;despesas_recorrentes!$B$12, SUMIF(gasto_cartao!E:E,saldo!B879,gasto_cartao!B:B),despesas_recorrentes!$B$12)</f>
        <v>34013</v>
      </c>
      <c r="D879" s="51">
        <f>SUM(receitas_recorrentes!B:B)+SUMIF(receitas_pontuais!E:E,B879,receitas_pontuais!B:B)</f>
        <v>56919</v>
      </c>
      <c r="E879" s="51">
        <f t="shared" si="2"/>
        <v>22906</v>
      </c>
      <c r="F879" s="53">
        <f>IFERROR(SUMIF(contas!G:G, B879, contas!B:B),0)</f>
        <v>0</v>
      </c>
      <c r="G879" s="51">
        <f>SUMIFS(previsoes!D:D, previsoes!E:E, "&lt;=" &amp; EOMONTH(DATEVALUE(B879&amp;"-01"),0), previsoes!F:F, "&gt;=" &amp; DATEVALUE(B879&amp;"-01"))</f>
        <v>0</v>
      </c>
      <c r="H879" s="52">
        <f t="shared" si="5"/>
        <v>160491.8958</v>
      </c>
      <c r="I879" s="49">
        <f t="shared" si="3"/>
        <v>22906</v>
      </c>
      <c r="J879" s="52">
        <f>IF(A879&lt;&gt;"",SUMIFS(metas!N:N, metas!E:E, "&gt;=" &amp; DATEVALUE(B879&amp;"-01"),metas!D:D, "&lt;=" &amp; DATEVALUE(B879&amp;"-01")),"")</f>
        <v>3182.813937</v>
      </c>
      <c r="K879" s="49">
        <f t="shared" si="4"/>
        <v>19723.18606</v>
      </c>
      <c r="L879" s="49">
        <f t="shared" si="6"/>
        <v>16680840.71</v>
      </c>
      <c r="M879" s="49">
        <f>IF(A879&lt;&gt;"",IF(COUNTIF(investimento!F:F, B879) &gt; 0, SUM(investimento!B:B)+I879, M878+I879),"")</f>
        <v>19894126.68</v>
      </c>
    </row>
    <row r="880" ht="22.5" customHeight="1">
      <c r="A880" s="47">
        <v>50929.0</v>
      </c>
      <c r="B880" s="48" t="str">
        <f t="shared" si="1"/>
        <v>2039-06</v>
      </c>
      <c r="C880" s="49">
        <f>SUMIF(despesas_recorrentes!C:C, "&gt;="&amp;A880,despesas_recorrentes!B:B) 
+SUMIF(despesas_recorrentes!C:C, "",despesas_recorrentes!B:B)
-despesas_recorrentes!$B$12
+IF(SUMIF(gasto_cartao!E:E,saldo!B880,gasto_cartao!B:B)&gt;despesas_recorrentes!$B$12, SUMIF(gasto_cartao!E:E,saldo!B880,gasto_cartao!B:B),despesas_recorrentes!$B$12)</f>
        <v>34013</v>
      </c>
      <c r="D880" s="51">
        <f>SUM(receitas_recorrentes!B:B)+SUMIF(receitas_pontuais!E:E,B880,receitas_pontuais!B:B)</f>
        <v>56919</v>
      </c>
      <c r="E880" s="51">
        <f t="shared" si="2"/>
        <v>22906</v>
      </c>
      <c r="F880" s="53">
        <f>IFERROR(SUMIF(contas!G:G, B880, contas!B:B),0)</f>
        <v>0</v>
      </c>
      <c r="G880" s="51">
        <f>SUMIFS(previsoes!D:D, previsoes!E:E, "&lt;=" &amp; EOMONTH(DATEVALUE(B880&amp;"-01"),0), previsoes!F:F, "&gt;=" &amp; DATEVALUE(B880&amp;"-01"))</f>
        <v>0</v>
      </c>
      <c r="H880" s="52">
        <f t="shared" si="5"/>
        <v>160491.8958</v>
      </c>
      <c r="I880" s="49">
        <f t="shared" si="3"/>
        <v>22906</v>
      </c>
      <c r="J880" s="52">
        <f>IF(A880&lt;&gt;"",SUMIFS(metas!N:N, metas!E:E, "&gt;=" &amp; DATEVALUE(B880&amp;"-01"),metas!D:D, "&lt;=" &amp; DATEVALUE(B880&amp;"-01")),"")</f>
        <v>3182.813937</v>
      </c>
      <c r="K880" s="49">
        <f t="shared" si="4"/>
        <v>19723.18606</v>
      </c>
      <c r="L880" s="49">
        <f t="shared" si="6"/>
        <v>16700563.89</v>
      </c>
      <c r="M880" s="49">
        <f>IF(A880&lt;&gt;"",IF(COUNTIF(investimento!F:F, B880) &gt; 0, SUM(investimento!B:B)+I880, M879+I880),"")</f>
        <v>19917032.68</v>
      </c>
    </row>
    <row r="881" ht="22.5" customHeight="1">
      <c r="A881" s="47">
        <v>50930.0</v>
      </c>
      <c r="B881" s="48" t="str">
        <f t="shared" si="1"/>
        <v>2039-06</v>
      </c>
      <c r="C881" s="49">
        <f>SUMIF(despesas_recorrentes!C:C, "&gt;="&amp;A881,despesas_recorrentes!B:B) 
+SUMIF(despesas_recorrentes!C:C, "",despesas_recorrentes!B:B)
-despesas_recorrentes!$B$12
+IF(SUMIF(gasto_cartao!E:E,saldo!B881,gasto_cartao!B:B)&gt;despesas_recorrentes!$B$12, SUMIF(gasto_cartao!E:E,saldo!B881,gasto_cartao!B:B),despesas_recorrentes!$B$12)</f>
        <v>34013</v>
      </c>
      <c r="D881" s="51">
        <f>SUM(receitas_recorrentes!B:B)+SUMIF(receitas_pontuais!E:E,B881,receitas_pontuais!B:B)</f>
        <v>56919</v>
      </c>
      <c r="E881" s="51">
        <f t="shared" si="2"/>
        <v>22906</v>
      </c>
      <c r="F881" s="53">
        <f>IFERROR(SUMIF(contas!G:G, B881, contas!B:B),0)</f>
        <v>0</v>
      </c>
      <c r="G881" s="51">
        <f>SUMIFS(previsoes!D:D, previsoes!E:E, "&lt;=" &amp; EOMONTH(DATEVALUE(B881&amp;"-01"),0), previsoes!F:F, "&gt;=" &amp; DATEVALUE(B881&amp;"-01"))</f>
        <v>0</v>
      </c>
      <c r="H881" s="52">
        <f t="shared" si="5"/>
        <v>160491.8958</v>
      </c>
      <c r="I881" s="49">
        <f t="shared" si="3"/>
        <v>22906</v>
      </c>
      <c r="J881" s="52">
        <f>IF(A881&lt;&gt;"",SUMIFS(metas!N:N, metas!E:E, "&gt;=" &amp; DATEVALUE(B881&amp;"-01"),metas!D:D, "&lt;=" &amp; DATEVALUE(B881&amp;"-01")),"")</f>
        <v>3182.813937</v>
      </c>
      <c r="K881" s="49">
        <f t="shared" si="4"/>
        <v>19723.18606</v>
      </c>
      <c r="L881" s="49">
        <f t="shared" si="6"/>
        <v>16720287.08</v>
      </c>
      <c r="M881" s="49">
        <f>IF(A881&lt;&gt;"",IF(COUNTIF(investimento!F:F, B881) &gt; 0, SUM(investimento!B:B)+I881, M880+I881),"")</f>
        <v>19939938.68</v>
      </c>
    </row>
    <row r="882" ht="22.5" customHeight="1">
      <c r="A882" s="47">
        <v>50931.0</v>
      </c>
      <c r="B882" s="48" t="str">
        <f t="shared" si="1"/>
        <v>2039-06</v>
      </c>
      <c r="C882" s="49">
        <f>SUMIF(despesas_recorrentes!C:C, "&gt;="&amp;A882,despesas_recorrentes!B:B) 
+SUMIF(despesas_recorrentes!C:C, "",despesas_recorrentes!B:B)
-despesas_recorrentes!$B$12
+IF(SUMIF(gasto_cartao!E:E,saldo!B882,gasto_cartao!B:B)&gt;despesas_recorrentes!$B$12, SUMIF(gasto_cartao!E:E,saldo!B882,gasto_cartao!B:B),despesas_recorrentes!$B$12)</f>
        <v>34013</v>
      </c>
      <c r="D882" s="51">
        <f>SUM(receitas_recorrentes!B:B)+SUMIF(receitas_pontuais!E:E,B882,receitas_pontuais!B:B)</f>
        <v>56919</v>
      </c>
      <c r="E882" s="51">
        <f t="shared" si="2"/>
        <v>22906</v>
      </c>
      <c r="F882" s="53">
        <f>IFERROR(SUMIF(contas!G:G, B882, contas!B:B),0)</f>
        <v>0</v>
      </c>
      <c r="G882" s="51">
        <f>SUMIFS(previsoes!D:D, previsoes!E:E, "&lt;=" &amp; EOMONTH(DATEVALUE(B882&amp;"-01"),0), previsoes!F:F, "&gt;=" &amp; DATEVALUE(B882&amp;"-01"))</f>
        <v>0</v>
      </c>
      <c r="H882" s="52">
        <f t="shared" si="5"/>
        <v>160491.8958</v>
      </c>
      <c r="I882" s="49">
        <f t="shared" si="3"/>
        <v>22906</v>
      </c>
      <c r="J882" s="52">
        <f>IF(A882&lt;&gt;"",SUMIFS(metas!N:N, metas!E:E, "&gt;=" &amp; DATEVALUE(B882&amp;"-01"),metas!D:D, "&lt;=" &amp; DATEVALUE(B882&amp;"-01")),"")</f>
        <v>3182.813937</v>
      </c>
      <c r="K882" s="49">
        <f t="shared" si="4"/>
        <v>19723.18606</v>
      </c>
      <c r="L882" s="49">
        <f t="shared" si="6"/>
        <v>16740010.26</v>
      </c>
      <c r="M882" s="49">
        <f>IF(A882&lt;&gt;"",IF(COUNTIF(investimento!F:F, B882) &gt; 0, SUM(investimento!B:B)+I882, M881+I882),"")</f>
        <v>19962844.68</v>
      </c>
    </row>
    <row r="883" ht="22.5" customHeight="1">
      <c r="A883" s="47">
        <v>50932.0</v>
      </c>
      <c r="B883" s="48" t="str">
        <f t="shared" si="1"/>
        <v>2039-06</v>
      </c>
      <c r="C883" s="49">
        <f>SUMIF(despesas_recorrentes!C:C, "&gt;="&amp;A883,despesas_recorrentes!B:B) 
+SUMIF(despesas_recorrentes!C:C, "",despesas_recorrentes!B:B)
-despesas_recorrentes!$B$12
+IF(SUMIF(gasto_cartao!E:E,saldo!B883,gasto_cartao!B:B)&gt;despesas_recorrentes!$B$12, SUMIF(gasto_cartao!E:E,saldo!B883,gasto_cartao!B:B),despesas_recorrentes!$B$12)</f>
        <v>34013</v>
      </c>
      <c r="D883" s="51">
        <f>SUM(receitas_recorrentes!B:B)+SUMIF(receitas_pontuais!E:E,B883,receitas_pontuais!B:B)</f>
        <v>56919</v>
      </c>
      <c r="E883" s="51">
        <f t="shared" si="2"/>
        <v>22906</v>
      </c>
      <c r="F883" s="53">
        <f>IFERROR(SUMIF(contas!G:G, B883, contas!B:B),0)</f>
        <v>0</v>
      </c>
      <c r="G883" s="51">
        <f>SUMIFS(previsoes!D:D, previsoes!E:E, "&lt;=" &amp; EOMONTH(DATEVALUE(B883&amp;"-01"),0), previsoes!F:F, "&gt;=" &amp; DATEVALUE(B883&amp;"-01"))</f>
        <v>0</v>
      </c>
      <c r="H883" s="52">
        <f t="shared" si="5"/>
        <v>160491.8958</v>
      </c>
      <c r="I883" s="49">
        <f t="shared" si="3"/>
        <v>22906</v>
      </c>
      <c r="J883" s="52">
        <f>IF(A883&lt;&gt;"",SUMIFS(metas!N:N, metas!E:E, "&gt;=" &amp; DATEVALUE(B883&amp;"-01"),metas!D:D, "&lt;=" &amp; DATEVALUE(B883&amp;"-01")),"")</f>
        <v>3182.813937</v>
      </c>
      <c r="K883" s="49">
        <f t="shared" si="4"/>
        <v>19723.18606</v>
      </c>
      <c r="L883" s="49">
        <f t="shared" si="6"/>
        <v>16759733.45</v>
      </c>
      <c r="M883" s="49">
        <f>IF(A883&lt;&gt;"",IF(COUNTIF(investimento!F:F, B883) &gt; 0, SUM(investimento!B:B)+I883, M882+I883),"")</f>
        <v>19985750.68</v>
      </c>
    </row>
    <row r="884" ht="22.5" customHeight="1">
      <c r="A884" s="47">
        <v>50933.0</v>
      </c>
      <c r="B884" s="48" t="str">
        <f t="shared" si="1"/>
        <v>2039-06</v>
      </c>
      <c r="C884" s="49">
        <f>SUMIF(despesas_recorrentes!C:C, "&gt;="&amp;A884,despesas_recorrentes!B:B) 
+SUMIF(despesas_recorrentes!C:C, "",despesas_recorrentes!B:B)
-despesas_recorrentes!$B$12
+IF(SUMIF(gasto_cartao!E:E,saldo!B884,gasto_cartao!B:B)&gt;despesas_recorrentes!$B$12, SUMIF(gasto_cartao!E:E,saldo!B884,gasto_cartao!B:B),despesas_recorrentes!$B$12)</f>
        <v>34013</v>
      </c>
      <c r="D884" s="51">
        <f>SUM(receitas_recorrentes!B:B)+SUMIF(receitas_pontuais!E:E,B884,receitas_pontuais!B:B)</f>
        <v>56919</v>
      </c>
      <c r="E884" s="51">
        <f t="shared" si="2"/>
        <v>22906</v>
      </c>
      <c r="F884" s="53">
        <f>IFERROR(SUMIF(contas!G:G, B884, contas!B:B),0)</f>
        <v>0</v>
      </c>
      <c r="G884" s="51">
        <f>SUMIFS(previsoes!D:D, previsoes!E:E, "&lt;=" &amp; EOMONTH(DATEVALUE(B884&amp;"-01"),0), previsoes!F:F, "&gt;=" &amp; DATEVALUE(B884&amp;"-01"))</f>
        <v>0</v>
      </c>
      <c r="H884" s="52">
        <f t="shared" si="5"/>
        <v>160491.8958</v>
      </c>
      <c r="I884" s="49">
        <f t="shared" si="3"/>
        <v>22906</v>
      </c>
      <c r="J884" s="52">
        <f>IF(A884&lt;&gt;"",SUMIFS(metas!N:N, metas!E:E, "&gt;=" &amp; DATEVALUE(B884&amp;"-01"),metas!D:D, "&lt;=" &amp; DATEVALUE(B884&amp;"-01")),"")</f>
        <v>3182.813937</v>
      </c>
      <c r="K884" s="49">
        <f t="shared" si="4"/>
        <v>19723.18606</v>
      </c>
      <c r="L884" s="49">
        <f t="shared" si="6"/>
        <v>16779456.64</v>
      </c>
      <c r="M884" s="49">
        <f>IF(A884&lt;&gt;"",IF(COUNTIF(investimento!F:F, B884) &gt; 0, SUM(investimento!B:B)+I884, M883+I884),"")</f>
        <v>20008656.68</v>
      </c>
    </row>
    <row r="885" ht="22.5" customHeight="1">
      <c r="A885" s="47">
        <v>50934.0</v>
      </c>
      <c r="B885" s="48" t="str">
        <f t="shared" si="1"/>
        <v>2039-06</v>
      </c>
      <c r="C885" s="49">
        <f>SUMIF(despesas_recorrentes!C:C, "&gt;="&amp;A885,despesas_recorrentes!B:B) 
+SUMIF(despesas_recorrentes!C:C, "",despesas_recorrentes!B:B)
-despesas_recorrentes!$B$12
+IF(SUMIF(gasto_cartao!E:E,saldo!B885,gasto_cartao!B:B)&gt;despesas_recorrentes!$B$12, SUMIF(gasto_cartao!E:E,saldo!B885,gasto_cartao!B:B),despesas_recorrentes!$B$12)</f>
        <v>34013</v>
      </c>
      <c r="D885" s="51">
        <f>SUM(receitas_recorrentes!B:B)+SUMIF(receitas_pontuais!E:E,B885,receitas_pontuais!B:B)</f>
        <v>56919</v>
      </c>
      <c r="E885" s="51">
        <f t="shared" si="2"/>
        <v>22906</v>
      </c>
      <c r="F885" s="53">
        <f>IFERROR(SUMIF(contas!G:G, B885, contas!B:B),0)</f>
        <v>0</v>
      </c>
      <c r="G885" s="51">
        <f>SUMIFS(previsoes!D:D, previsoes!E:E, "&lt;=" &amp; EOMONTH(DATEVALUE(B885&amp;"-01"),0), previsoes!F:F, "&gt;=" &amp; DATEVALUE(B885&amp;"-01"))</f>
        <v>0</v>
      </c>
      <c r="H885" s="52">
        <f t="shared" si="5"/>
        <v>160491.8958</v>
      </c>
      <c r="I885" s="49">
        <f t="shared" si="3"/>
        <v>22906</v>
      </c>
      <c r="J885" s="52">
        <f>IF(A885&lt;&gt;"",SUMIFS(metas!N:N, metas!E:E, "&gt;=" &amp; DATEVALUE(B885&amp;"-01"),metas!D:D, "&lt;=" &amp; DATEVALUE(B885&amp;"-01")),"")</f>
        <v>3182.813937</v>
      </c>
      <c r="K885" s="49">
        <f t="shared" si="4"/>
        <v>19723.18606</v>
      </c>
      <c r="L885" s="49">
        <f t="shared" si="6"/>
        <v>16799179.82</v>
      </c>
      <c r="M885" s="49">
        <f>IF(A885&lt;&gt;"",IF(COUNTIF(investimento!F:F, B885) &gt; 0, SUM(investimento!B:B)+I885, M884+I885),"")</f>
        <v>20031562.68</v>
      </c>
    </row>
    <row r="886" ht="22.5" customHeight="1">
      <c r="A886" s="47">
        <v>50935.0</v>
      </c>
      <c r="B886" s="48" t="str">
        <f t="shared" si="1"/>
        <v>2039-06</v>
      </c>
      <c r="C886" s="49">
        <f>SUMIF(despesas_recorrentes!C:C, "&gt;="&amp;A886,despesas_recorrentes!B:B) 
+SUMIF(despesas_recorrentes!C:C, "",despesas_recorrentes!B:B)
-despesas_recorrentes!$B$12
+IF(SUMIF(gasto_cartao!E:E,saldo!B886,gasto_cartao!B:B)&gt;despesas_recorrentes!$B$12, SUMIF(gasto_cartao!E:E,saldo!B886,gasto_cartao!B:B),despesas_recorrentes!$B$12)</f>
        <v>34013</v>
      </c>
      <c r="D886" s="51">
        <f>SUM(receitas_recorrentes!B:B)+SUMIF(receitas_pontuais!E:E,B886,receitas_pontuais!B:B)</f>
        <v>56919</v>
      </c>
      <c r="E886" s="51">
        <f t="shared" si="2"/>
        <v>22906</v>
      </c>
      <c r="F886" s="53">
        <f>IFERROR(SUMIF(contas!G:G, B886, contas!B:B),0)</f>
        <v>0</v>
      </c>
      <c r="G886" s="51">
        <f>SUMIFS(previsoes!D:D, previsoes!E:E, "&lt;=" &amp; EOMONTH(DATEVALUE(B886&amp;"-01"),0), previsoes!F:F, "&gt;=" &amp; DATEVALUE(B886&amp;"-01"))</f>
        <v>0</v>
      </c>
      <c r="H886" s="52">
        <f t="shared" si="5"/>
        <v>160491.8958</v>
      </c>
      <c r="I886" s="49">
        <f t="shared" si="3"/>
        <v>22906</v>
      </c>
      <c r="J886" s="52">
        <f>IF(A886&lt;&gt;"",SUMIFS(metas!N:N, metas!E:E, "&gt;=" &amp; DATEVALUE(B886&amp;"-01"),metas!D:D, "&lt;=" &amp; DATEVALUE(B886&amp;"-01")),"")</f>
        <v>3182.813937</v>
      </c>
      <c r="K886" s="49">
        <f t="shared" si="4"/>
        <v>19723.18606</v>
      </c>
      <c r="L886" s="49">
        <f t="shared" si="6"/>
        <v>16818903.01</v>
      </c>
      <c r="M886" s="49">
        <f>IF(A886&lt;&gt;"",IF(COUNTIF(investimento!F:F, B886) &gt; 0, SUM(investimento!B:B)+I886, M885+I886),"")</f>
        <v>20054468.68</v>
      </c>
    </row>
    <row r="887" ht="22.5" customHeight="1">
      <c r="A887" s="47">
        <v>50936.0</v>
      </c>
      <c r="B887" s="48" t="str">
        <f t="shared" si="1"/>
        <v>2039-06</v>
      </c>
      <c r="C887" s="49">
        <f>SUMIF(despesas_recorrentes!C:C, "&gt;="&amp;A887,despesas_recorrentes!B:B) 
+SUMIF(despesas_recorrentes!C:C, "",despesas_recorrentes!B:B)
-despesas_recorrentes!$B$12
+IF(SUMIF(gasto_cartao!E:E,saldo!B887,gasto_cartao!B:B)&gt;despesas_recorrentes!$B$12, SUMIF(gasto_cartao!E:E,saldo!B887,gasto_cartao!B:B),despesas_recorrentes!$B$12)</f>
        <v>34013</v>
      </c>
      <c r="D887" s="51">
        <f>SUM(receitas_recorrentes!B:B)+SUMIF(receitas_pontuais!E:E,B887,receitas_pontuais!B:B)</f>
        <v>56919</v>
      </c>
      <c r="E887" s="51">
        <f t="shared" si="2"/>
        <v>22906</v>
      </c>
      <c r="F887" s="53">
        <f>IFERROR(SUMIF(contas!G:G, B887, contas!B:B),0)</f>
        <v>0</v>
      </c>
      <c r="G887" s="51">
        <f>SUMIFS(previsoes!D:D, previsoes!E:E, "&lt;=" &amp; EOMONTH(DATEVALUE(B887&amp;"-01"),0), previsoes!F:F, "&gt;=" &amp; DATEVALUE(B887&amp;"-01"))</f>
        <v>0</v>
      </c>
      <c r="H887" s="52">
        <f t="shared" si="5"/>
        <v>160491.8958</v>
      </c>
      <c r="I887" s="49">
        <f t="shared" si="3"/>
        <v>22906</v>
      </c>
      <c r="J887" s="52">
        <f>IF(A887&lt;&gt;"",SUMIFS(metas!N:N, metas!E:E, "&gt;=" &amp; DATEVALUE(B887&amp;"-01"),metas!D:D, "&lt;=" &amp; DATEVALUE(B887&amp;"-01")),"")</f>
        <v>3182.813937</v>
      </c>
      <c r="K887" s="49">
        <f t="shared" si="4"/>
        <v>19723.18606</v>
      </c>
      <c r="L887" s="49">
        <f t="shared" si="6"/>
        <v>16838626.19</v>
      </c>
      <c r="M887" s="49">
        <f>IF(A887&lt;&gt;"",IF(COUNTIF(investimento!F:F, B887) &gt; 0, SUM(investimento!B:B)+I887, M886+I887),"")</f>
        <v>20077374.68</v>
      </c>
    </row>
    <row r="888" ht="22.5" customHeight="1">
      <c r="A888" s="47">
        <v>50937.0</v>
      </c>
      <c r="B888" s="48" t="str">
        <f t="shared" si="1"/>
        <v>2039-06</v>
      </c>
      <c r="C888" s="49">
        <f>SUMIF(despesas_recorrentes!C:C, "&gt;="&amp;A888,despesas_recorrentes!B:B) 
+SUMIF(despesas_recorrentes!C:C, "",despesas_recorrentes!B:B)
-despesas_recorrentes!$B$12
+IF(SUMIF(gasto_cartao!E:E,saldo!B888,gasto_cartao!B:B)&gt;despesas_recorrentes!$B$12, SUMIF(gasto_cartao!E:E,saldo!B888,gasto_cartao!B:B),despesas_recorrentes!$B$12)</f>
        <v>34013</v>
      </c>
      <c r="D888" s="51">
        <f>SUM(receitas_recorrentes!B:B)+SUMIF(receitas_pontuais!E:E,B888,receitas_pontuais!B:B)</f>
        <v>56919</v>
      </c>
      <c r="E888" s="51">
        <f t="shared" si="2"/>
        <v>22906</v>
      </c>
      <c r="F888" s="53">
        <f>IFERROR(SUMIF(contas!G:G, B888, contas!B:B),0)</f>
        <v>0</v>
      </c>
      <c r="G888" s="51">
        <f>SUMIFS(previsoes!D:D, previsoes!E:E, "&lt;=" &amp; EOMONTH(DATEVALUE(B888&amp;"-01"),0), previsoes!F:F, "&gt;=" &amp; DATEVALUE(B888&amp;"-01"))</f>
        <v>0</v>
      </c>
      <c r="H888" s="52">
        <f t="shared" si="5"/>
        <v>160491.8958</v>
      </c>
      <c r="I888" s="49">
        <f t="shared" si="3"/>
        <v>22906</v>
      </c>
      <c r="J888" s="52">
        <f>IF(A888&lt;&gt;"",SUMIFS(metas!N:N, metas!E:E, "&gt;=" &amp; DATEVALUE(B888&amp;"-01"),metas!D:D, "&lt;=" &amp; DATEVALUE(B888&amp;"-01")),"")</f>
        <v>3182.813937</v>
      </c>
      <c r="K888" s="49">
        <f t="shared" si="4"/>
        <v>19723.18606</v>
      </c>
      <c r="L888" s="49">
        <f t="shared" si="6"/>
        <v>16858349.38</v>
      </c>
      <c r="M888" s="49">
        <f>IF(A888&lt;&gt;"",IF(COUNTIF(investimento!F:F, B888) &gt; 0, SUM(investimento!B:B)+I888, M887+I888),"")</f>
        <v>20100280.68</v>
      </c>
    </row>
    <row r="889" ht="22.5" customHeight="1">
      <c r="A889" s="47">
        <v>50938.0</v>
      </c>
      <c r="B889" s="48" t="str">
        <f t="shared" si="1"/>
        <v>2039-06</v>
      </c>
      <c r="C889" s="49">
        <f>SUMIF(despesas_recorrentes!C:C, "&gt;="&amp;A889,despesas_recorrentes!B:B) 
+SUMIF(despesas_recorrentes!C:C, "",despesas_recorrentes!B:B)
-despesas_recorrentes!$B$12
+IF(SUMIF(gasto_cartao!E:E,saldo!B889,gasto_cartao!B:B)&gt;despesas_recorrentes!$B$12, SUMIF(gasto_cartao!E:E,saldo!B889,gasto_cartao!B:B),despesas_recorrentes!$B$12)</f>
        <v>34013</v>
      </c>
      <c r="D889" s="51">
        <f>SUM(receitas_recorrentes!B:B)+SUMIF(receitas_pontuais!E:E,B889,receitas_pontuais!B:B)</f>
        <v>56919</v>
      </c>
      <c r="E889" s="51">
        <f t="shared" si="2"/>
        <v>22906</v>
      </c>
      <c r="F889" s="53">
        <f>IFERROR(SUMIF(contas!G:G, B889, contas!B:B),0)</f>
        <v>0</v>
      </c>
      <c r="G889" s="51">
        <f>SUMIFS(previsoes!D:D, previsoes!E:E, "&lt;=" &amp; EOMONTH(DATEVALUE(B889&amp;"-01"),0), previsoes!F:F, "&gt;=" &amp; DATEVALUE(B889&amp;"-01"))</f>
        <v>0</v>
      </c>
      <c r="H889" s="52">
        <f t="shared" si="5"/>
        <v>160491.8958</v>
      </c>
      <c r="I889" s="49">
        <f t="shared" si="3"/>
        <v>22906</v>
      </c>
      <c r="J889" s="52">
        <f>IF(A889&lt;&gt;"",SUMIFS(metas!N:N, metas!E:E, "&gt;=" &amp; DATEVALUE(B889&amp;"-01"),metas!D:D, "&lt;=" &amp; DATEVALUE(B889&amp;"-01")),"")</f>
        <v>3182.813937</v>
      </c>
      <c r="K889" s="49">
        <f t="shared" si="4"/>
        <v>19723.18606</v>
      </c>
      <c r="L889" s="49">
        <f t="shared" si="6"/>
        <v>16878072.57</v>
      </c>
      <c r="M889" s="49">
        <f>IF(A889&lt;&gt;"",IF(COUNTIF(investimento!F:F, B889) &gt; 0, SUM(investimento!B:B)+I889, M888+I889),"")</f>
        <v>20123186.68</v>
      </c>
    </row>
    <row r="890" ht="22.5" customHeight="1">
      <c r="A890" s="47">
        <v>50939.0</v>
      </c>
      <c r="B890" s="48" t="str">
        <f t="shared" si="1"/>
        <v>2039-06</v>
      </c>
      <c r="C890" s="49">
        <f>SUMIF(despesas_recorrentes!C:C, "&gt;="&amp;A890,despesas_recorrentes!B:B) 
+SUMIF(despesas_recorrentes!C:C, "",despesas_recorrentes!B:B)
-despesas_recorrentes!$B$12
+IF(SUMIF(gasto_cartao!E:E,saldo!B890,gasto_cartao!B:B)&gt;despesas_recorrentes!$B$12, SUMIF(gasto_cartao!E:E,saldo!B890,gasto_cartao!B:B),despesas_recorrentes!$B$12)</f>
        <v>34013</v>
      </c>
      <c r="D890" s="51">
        <f>SUM(receitas_recorrentes!B:B)+SUMIF(receitas_pontuais!E:E,B890,receitas_pontuais!B:B)</f>
        <v>56919</v>
      </c>
      <c r="E890" s="51">
        <f t="shared" si="2"/>
        <v>22906</v>
      </c>
      <c r="F890" s="53">
        <f>IFERROR(SUMIF(contas!G:G, B890, contas!B:B),0)</f>
        <v>0</v>
      </c>
      <c r="G890" s="51">
        <f>SUMIFS(previsoes!D:D, previsoes!E:E, "&lt;=" &amp; EOMONTH(DATEVALUE(B890&amp;"-01"),0), previsoes!F:F, "&gt;=" &amp; DATEVALUE(B890&amp;"-01"))</f>
        <v>0</v>
      </c>
      <c r="H890" s="52">
        <f t="shared" si="5"/>
        <v>160491.8958</v>
      </c>
      <c r="I890" s="49">
        <f t="shared" si="3"/>
        <v>22906</v>
      </c>
      <c r="J890" s="52">
        <f>IF(A890&lt;&gt;"",SUMIFS(metas!N:N, metas!E:E, "&gt;=" &amp; DATEVALUE(B890&amp;"-01"),metas!D:D, "&lt;=" &amp; DATEVALUE(B890&amp;"-01")),"")</f>
        <v>3182.813937</v>
      </c>
      <c r="K890" s="49">
        <f t="shared" si="4"/>
        <v>19723.18606</v>
      </c>
      <c r="L890" s="49">
        <f t="shared" si="6"/>
        <v>16897795.75</v>
      </c>
      <c r="M890" s="49">
        <f>IF(A890&lt;&gt;"",IF(COUNTIF(investimento!F:F, B890) &gt; 0, SUM(investimento!B:B)+I890, M889+I890),"")</f>
        <v>20146092.68</v>
      </c>
    </row>
    <row r="891" ht="22.5" customHeight="1">
      <c r="A891" s="47">
        <v>50940.0</v>
      </c>
      <c r="B891" s="48" t="str">
        <f t="shared" si="1"/>
        <v>2039-06</v>
      </c>
      <c r="C891" s="49">
        <f>SUMIF(despesas_recorrentes!C:C, "&gt;="&amp;A891,despesas_recorrentes!B:B) 
+SUMIF(despesas_recorrentes!C:C, "",despesas_recorrentes!B:B)
-despesas_recorrentes!$B$12
+IF(SUMIF(gasto_cartao!E:E,saldo!B891,gasto_cartao!B:B)&gt;despesas_recorrentes!$B$12, SUMIF(gasto_cartao!E:E,saldo!B891,gasto_cartao!B:B),despesas_recorrentes!$B$12)</f>
        <v>34013</v>
      </c>
      <c r="D891" s="51">
        <f>SUM(receitas_recorrentes!B:B)+SUMIF(receitas_pontuais!E:E,B891,receitas_pontuais!B:B)</f>
        <v>56919</v>
      </c>
      <c r="E891" s="51">
        <f t="shared" si="2"/>
        <v>22906</v>
      </c>
      <c r="F891" s="53">
        <f>IFERROR(SUMIF(contas!G:G, B891, contas!B:B),0)</f>
        <v>0</v>
      </c>
      <c r="G891" s="51">
        <f>SUMIFS(previsoes!D:D, previsoes!E:E, "&lt;=" &amp; EOMONTH(DATEVALUE(B891&amp;"-01"),0), previsoes!F:F, "&gt;=" &amp; DATEVALUE(B891&amp;"-01"))</f>
        <v>0</v>
      </c>
      <c r="H891" s="52">
        <f t="shared" si="5"/>
        <v>160491.8958</v>
      </c>
      <c r="I891" s="49">
        <f t="shared" si="3"/>
        <v>22906</v>
      </c>
      <c r="J891" s="52">
        <f>IF(A891&lt;&gt;"",SUMIFS(metas!N:N, metas!E:E, "&gt;=" &amp; DATEVALUE(B891&amp;"-01"),metas!D:D, "&lt;=" &amp; DATEVALUE(B891&amp;"-01")),"")</f>
        <v>3182.813937</v>
      </c>
      <c r="K891" s="49">
        <f t="shared" si="4"/>
        <v>19723.18606</v>
      </c>
      <c r="L891" s="49">
        <f t="shared" si="6"/>
        <v>16917518.94</v>
      </c>
      <c r="M891" s="49">
        <f>IF(A891&lt;&gt;"",IF(COUNTIF(investimento!F:F, B891) &gt; 0, SUM(investimento!B:B)+I891, M890+I891),"")</f>
        <v>20168998.68</v>
      </c>
    </row>
    <row r="892" ht="22.5" customHeight="1">
      <c r="A892" s="47">
        <v>50941.0</v>
      </c>
      <c r="B892" s="48" t="str">
        <f t="shared" si="1"/>
        <v>2039-06</v>
      </c>
      <c r="C892" s="49">
        <f>SUMIF(despesas_recorrentes!C:C, "&gt;="&amp;A892,despesas_recorrentes!B:B) 
+SUMIF(despesas_recorrentes!C:C, "",despesas_recorrentes!B:B)
-despesas_recorrentes!$B$12
+IF(SUMIF(gasto_cartao!E:E,saldo!B892,gasto_cartao!B:B)&gt;despesas_recorrentes!$B$12, SUMIF(gasto_cartao!E:E,saldo!B892,gasto_cartao!B:B),despesas_recorrentes!$B$12)</f>
        <v>34013</v>
      </c>
      <c r="D892" s="51">
        <f>SUM(receitas_recorrentes!B:B)+SUMIF(receitas_pontuais!E:E,B892,receitas_pontuais!B:B)</f>
        <v>56919</v>
      </c>
      <c r="E892" s="51">
        <f t="shared" si="2"/>
        <v>22906</v>
      </c>
      <c r="F892" s="53">
        <f>IFERROR(SUMIF(contas!G:G, B892, contas!B:B),0)</f>
        <v>0</v>
      </c>
      <c r="G892" s="51">
        <f>SUMIFS(previsoes!D:D, previsoes!E:E, "&lt;=" &amp; EOMONTH(DATEVALUE(B892&amp;"-01"),0), previsoes!F:F, "&gt;=" &amp; DATEVALUE(B892&amp;"-01"))</f>
        <v>0</v>
      </c>
      <c r="H892" s="52">
        <f t="shared" si="5"/>
        <v>160491.8958</v>
      </c>
      <c r="I892" s="49">
        <f t="shared" si="3"/>
        <v>22906</v>
      </c>
      <c r="J892" s="52">
        <f>IF(A892&lt;&gt;"",SUMIFS(metas!N:N, metas!E:E, "&gt;=" &amp; DATEVALUE(B892&amp;"-01"),metas!D:D, "&lt;=" &amp; DATEVALUE(B892&amp;"-01")),"")</f>
        <v>3182.813937</v>
      </c>
      <c r="K892" s="49">
        <f t="shared" si="4"/>
        <v>19723.18606</v>
      </c>
      <c r="L892" s="49">
        <f t="shared" si="6"/>
        <v>16937242.12</v>
      </c>
      <c r="M892" s="49">
        <f>IF(A892&lt;&gt;"",IF(COUNTIF(investimento!F:F, B892) &gt; 0, SUM(investimento!B:B)+I892, M891+I892),"")</f>
        <v>20191904.68</v>
      </c>
    </row>
    <row r="893" ht="22.5" customHeight="1">
      <c r="A893" s="47">
        <v>50942.0</v>
      </c>
      <c r="B893" s="48" t="str">
        <f t="shared" si="1"/>
        <v>2039-06</v>
      </c>
      <c r="C893" s="49">
        <f>SUMIF(despesas_recorrentes!C:C, "&gt;="&amp;A893,despesas_recorrentes!B:B) 
+SUMIF(despesas_recorrentes!C:C, "",despesas_recorrentes!B:B)
-despesas_recorrentes!$B$12
+IF(SUMIF(gasto_cartao!E:E,saldo!B893,gasto_cartao!B:B)&gt;despesas_recorrentes!$B$12, SUMIF(gasto_cartao!E:E,saldo!B893,gasto_cartao!B:B),despesas_recorrentes!$B$12)</f>
        <v>34013</v>
      </c>
      <c r="D893" s="51">
        <f>SUM(receitas_recorrentes!B:B)+SUMIF(receitas_pontuais!E:E,B893,receitas_pontuais!B:B)</f>
        <v>56919</v>
      </c>
      <c r="E893" s="51">
        <f t="shared" si="2"/>
        <v>22906</v>
      </c>
      <c r="F893" s="53">
        <f>IFERROR(SUMIF(contas!G:G, B893, contas!B:B),0)</f>
        <v>0</v>
      </c>
      <c r="G893" s="51">
        <f>SUMIFS(previsoes!D:D, previsoes!E:E, "&lt;=" &amp; EOMONTH(DATEVALUE(B893&amp;"-01"),0), previsoes!F:F, "&gt;=" &amp; DATEVALUE(B893&amp;"-01"))</f>
        <v>0</v>
      </c>
      <c r="H893" s="52">
        <f t="shared" si="5"/>
        <v>160491.8958</v>
      </c>
      <c r="I893" s="49">
        <f t="shared" si="3"/>
        <v>22906</v>
      </c>
      <c r="J893" s="52">
        <f>IF(A893&lt;&gt;"",SUMIFS(metas!N:N, metas!E:E, "&gt;=" &amp; DATEVALUE(B893&amp;"-01"),metas!D:D, "&lt;=" &amp; DATEVALUE(B893&amp;"-01")),"")</f>
        <v>3182.813937</v>
      </c>
      <c r="K893" s="49">
        <f t="shared" si="4"/>
        <v>19723.18606</v>
      </c>
      <c r="L893" s="49">
        <f t="shared" si="6"/>
        <v>16956965.31</v>
      </c>
      <c r="M893" s="49">
        <f>IF(A893&lt;&gt;"",IF(COUNTIF(investimento!F:F, B893) &gt; 0, SUM(investimento!B:B)+I893, M892+I893),"")</f>
        <v>20214810.68</v>
      </c>
    </row>
    <row r="894" ht="22.5" customHeight="1">
      <c r="A894" s="47">
        <v>50943.0</v>
      </c>
      <c r="B894" s="48" t="str">
        <f t="shared" si="1"/>
        <v>2039-06</v>
      </c>
      <c r="C894" s="49">
        <f>SUMIF(despesas_recorrentes!C:C, "&gt;="&amp;A894,despesas_recorrentes!B:B) 
+SUMIF(despesas_recorrentes!C:C, "",despesas_recorrentes!B:B)
-despesas_recorrentes!$B$12
+IF(SUMIF(gasto_cartao!E:E,saldo!B894,gasto_cartao!B:B)&gt;despesas_recorrentes!$B$12, SUMIF(gasto_cartao!E:E,saldo!B894,gasto_cartao!B:B),despesas_recorrentes!$B$12)</f>
        <v>34013</v>
      </c>
      <c r="D894" s="51">
        <f>SUM(receitas_recorrentes!B:B)+SUMIF(receitas_pontuais!E:E,B894,receitas_pontuais!B:B)</f>
        <v>56919</v>
      </c>
      <c r="E894" s="51">
        <f t="shared" si="2"/>
        <v>22906</v>
      </c>
      <c r="F894" s="53">
        <f>IFERROR(SUMIF(contas!G:G, B894, contas!B:B),0)</f>
        <v>0</v>
      </c>
      <c r="G894" s="51">
        <f>SUMIFS(previsoes!D:D, previsoes!E:E, "&lt;=" &amp; EOMONTH(DATEVALUE(B894&amp;"-01"),0), previsoes!F:F, "&gt;=" &amp; DATEVALUE(B894&amp;"-01"))</f>
        <v>0</v>
      </c>
      <c r="H894" s="52">
        <f t="shared" si="5"/>
        <v>160491.8958</v>
      </c>
      <c r="I894" s="49">
        <f t="shared" si="3"/>
        <v>22906</v>
      </c>
      <c r="J894" s="52">
        <f>IF(A894&lt;&gt;"",SUMIFS(metas!N:N, metas!E:E, "&gt;=" &amp; DATEVALUE(B894&amp;"-01"),metas!D:D, "&lt;=" &amp; DATEVALUE(B894&amp;"-01")),"")</f>
        <v>3182.813937</v>
      </c>
      <c r="K894" s="49">
        <f t="shared" si="4"/>
        <v>19723.18606</v>
      </c>
      <c r="L894" s="49">
        <f t="shared" si="6"/>
        <v>16976688.5</v>
      </c>
      <c r="M894" s="49">
        <f>IF(A894&lt;&gt;"",IF(COUNTIF(investimento!F:F, B894) &gt; 0, SUM(investimento!B:B)+I894, M893+I894),"")</f>
        <v>20237716.68</v>
      </c>
    </row>
    <row r="895" ht="22.5" customHeight="1">
      <c r="A895" s="47">
        <v>50944.0</v>
      </c>
      <c r="B895" s="48" t="str">
        <f t="shared" si="1"/>
        <v>2039-06</v>
      </c>
      <c r="C895" s="49">
        <f>SUMIF(despesas_recorrentes!C:C, "&gt;="&amp;A895,despesas_recorrentes!B:B) 
+SUMIF(despesas_recorrentes!C:C, "",despesas_recorrentes!B:B)
-despesas_recorrentes!$B$12
+IF(SUMIF(gasto_cartao!E:E,saldo!B895,gasto_cartao!B:B)&gt;despesas_recorrentes!$B$12, SUMIF(gasto_cartao!E:E,saldo!B895,gasto_cartao!B:B),despesas_recorrentes!$B$12)</f>
        <v>34013</v>
      </c>
      <c r="D895" s="51">
        <f>SUM(receitas_recorrentes!B:B)+SUMIF(receitas_pontuais!E:E,B895,receitas_pontuais!B:B)</f>
        <v>56919</v>
      </c>
      <c r="E895" s="51">
        <f t="shared" si="2"/>
        <v>22906</v>
      </c>
      <c r="F895" s="53">
        <f>IFERROR(SUMIF(contas!G:G, B895, contas!B:B),0)</f>
        <v>0</v>
      </c>
      <c r="G895" s="51">
        <f>SUMIFS(previsoes!D:D, previsoes!E:E, "&lt;=" &amp; EOMONTH(DATEVALUE(B895&amp;"-01"),0), previsoes!F:F, "&gt;=" &amp; DATEVALUE(B895&amp;"-01"))</f>
        <v>0</v>
      </c>
      <c r="H895" s="52">
        <f t="shared" si="5"/>
        <v>160491.8958</v>
      </c>
      <c r="I895" s="49">
        <f t="shared" si="3"/>
        <v>22906</v>
      </c>
      <c r="J895" s="52">
        <f>IF(A895&lt;&gt;"",SUMIFS(metas!N:N, metas!E:E, "&gt;=" &amp; DATEVALUE(B895&amp;"-01"),metas!D:D, "&lt;=" &amp; DATEVALUE(B895&amp;"-01")),"")</f>
        <v>3182.813937</v>
      </c>
      <c r="K895" s="49">
        <f t="shared" si="4"/>
        <v>19723.18606</v>
      </c>
      <c r="L895" s="49">
        <f t="shared" si="6"/>
        <v>16996411.68</v>
      </c>
      <c r="M895" s="49">
        <f>IF(A895&lt;&gt;"",IF(COUNTIF(investimento!F:F, B895) &gt; 0, SUM(investimento!B:B)+I895, M894+I895),"")</f>
        <v>20260622.68</v>
      </c>
    </row>
    <row r="896" ht="22.5" customHeight="1">
      <c r="A896" s="47">
        <v>50945.0</v>
      </c>
      <c r="B896" s="48" t="str">
        <f t="shared" si="1"/>
        <v>2039-06</v>
      </c>
      <c r="C896" s="49">
        <f>SUMIF(despesas_recorrentes!C:C, "&gt;="&amp;A896,despesas_recorrentes!B:B) 
+SUMIF(despesas_recorrentes!C:C, "",despesas_recorrentes!B:B)
-despesas_recorrentes!$B$12
+IF(SUMIF(gasto_cartao!E:E,saldo!B896,gasto_cartao!B:B)&gt;despesas_recorrentes!$B$12, SUMIF(gasto_cartao!E:E,saldo!B896,gasto_cartao!B:B),despesas_recorrentes!$B$12)</f>
        <v>34013</v>
      </c>
      <c r="D896" s="51">
        <f>SUM(receitas_recorrentes!B:B)+SUMIF(receitas_pontuais!E:E,B896,receitas_pontuais!B:B)</f>
        <v>56919</v>
      </c>
      <c r="E896" s="51">
        <f t="shared" si="2"/>
        <v>22906</v>
      </c>
      <c r="F896" s="53">
        <f>IFERROR(SUMIF(contas!G:G, B896, contas!B:B),0)</f>
        <v>0</v>
      </c>
      <c r="G896" s="51">
        <f>SUMIFS(previsoes!D:D, previsoes!E:E, "&lt;=" &amp; EOMONTH(DATEVALUE(B896&amp;"-01"),0), previsoes!F:F, "&gt;=" &amp; DATEVALUE(B896&amp;"-01"))</f>
        <v>0</v>
      </c>
      <c r="H896" s="52">
        <f t="shared" si="5"/>
        <v>160491.8958</v>
      </c>
      <c r="I896" s="49">
        <f t="shared" si="3"/>
        <v>22906</v>
      </c>
      <c r="J896" s="52">
        <f>IF(A896&lt;&gt;"",SUMIFS(metas!N:N, metas!E:E, "&gt;=" &amp; DATEVALUE(B896&amp;"-01"),metas!D:D, "&lt;=" &amp; DATEVALUE(B896&amp;"-01")),"")</f>
        <v>3182.813937</v>
      </c>
      <c r="K896" s="49">
        <f t="shared" si="4"/>
        <v>19723.18606</v>
      </c>
      <c r="L896" s="49">
        <f t="shared" si="6"/>
        <v>17016134.87</v>
      </c>
      <c r="M896" s="49">
        <f>IF(A896&lt;&gt;"",IF(COUNTIF(investimento!F:F, B896) &gt; 0, SUM(investimento!B:B)+I896, M895+I896),"")</f>
        <v>20283528.68</v>
      </c>
    </row>
    <row r="897" ht="22.5" customHeight="1">
      <c r="A897" s="47">
        <v>50946.0</v>
      </c>
      <c r="B897" s="48" t="str">
        <f t="shared" si="1"/>
        <v>2039-06</v>
      </c>
      <c r="C897" s="49">
        <f>SUMIF(despesas_recorrentes!C:C, "&gt;="&amp;A897,despesas_recorrentes!B:B) 
+SUMIF(despesas_recorrentes!C:C, "",despesas_recorrentes!B:B)
-despesas_recorrentes!$B$12
+IF(SUMIF(gasto_cartao!E:E,saldo!B897,gasto_cartao!B:B)&gt;despesas_recorrentes!$B$12, SUMIF(gasto_cartao!E:E,saldo!B897,gasto_cartao!B:B),despesas_recorrentes!$B$12)</f>
        <v>34013</v>
      </c>
      <c r="D897" s="51">
        <f>SUM(receitas_recorrentes!B:B)+SUMIF(receitas_pontuais!E:E,B897,receitas_pontuais!B:B)</f>
        <v>56919</v>
      </c>
      <c r="E897" s="51">
        <f t="shared" si="2"/>
        <v>22906</v>
      </c>
      <c r="F897" s="53">
        <f>IFERROR(SUMIF(contas!G:G, B897, contas!B:B),0)</f>
        <v>0</v>
      </c>
      <c r="G897" s="51">
        <f>SUMIFS(previsoes!D:D, previsoes!E:E, "&lt;=" &amp; EOMONTH(DATEVALUE(B897&amp;"-01"),0), previsoes!F:F, "&gt;=" &amp; DATEVALUE(B897&amp;"-01"))</f>
        <v>0</v>
      </c>
      <c r="H897" s="52">
        <f t="shared" si="5"/>
        <v>160491.8958</v>
      </c>
      <c r="I897" s="49">
        <f t="shared" si="3"/>
        <v>22906</v>
      </c>
      <c r="J897" s="52">
        <f>IF(A897&lt;&gt;"",SUMIFS(metas!N:N, metas!E:E, "&gt;=" &amp; DATEVALUE(B897&amp;"-01"),metas!D:D, "&lt;=" &amp; DATEVALUE(B897&amp;"-01")),"")</f>
        <v>3182.813937</v>
      </c>
      <c r="K897" s="49">
        <f t="shared" si="4"/>
        <v>19723.18606</v>
      </c>
      <c r="L897" s="49">
        <f t="shared" si="6"/>
        <v>17035858.06</v>
      </c>
      <c r="M897" s="49">
        <f>IF(A897&lt;&gt;"",IF(COUNTIF(investimento!F:F, B897) &gt; 0, SUM(investimento!B:B)+I897, M896+I897),"")</f>
        <v>20306434.68</v>
      </c>
    </row>
    <row r="898" ht="22.5" customHeight="1">
      <c r="A898" s="47">
        <v>50947.0</v>
      </c>
      <c r="B898" s="48" t="str">
        <f t="shared" si="1"/>
        <v>2039-06</v>
      </c>
      <c r="C898" s="49">
        <f>SUMIF(despesas_recorrentes!C:C, "&gt;="&amp;A898,despesas_recorrentes!B:B) 
+SUMIF(despesas_recorrentes!C:C, "",despesas_recorrentes!B:B)
-despesas_recorrentes!$B$12
+IF(SUMIF(gasto_cartao!E:E,saldo!B898,gasto_cartao!B:B)&gt;despesas_recorrentes!$B$12, SUMIF(gasto_cartao!E:E,saldo!B898,gasto_cartao!B:B),despesas_recorrentes!$B$12)</f>
        <v>34013</v>
      </c>
      <c r="D898" s="51">
        <f>SUM(receitas_recorrentes!B:B)+SUMIF(receitas_pontuais!E:E,B898,receitas_pontuais!B:B)</f>
        <v>56919</v>
      </c>
      <c r="E898" s="51">
        <f t="shared" si="2"/>
        <v>22906</v>
      </c>
      <c r="F898" s="53">
        <f>IFERROR(SUMIF(contas!G:G, B898, contas!B:B),0)</f>
        <v>0</v>
      </c>
      <c r="G898" s="51">
        <f>SUMIFS(previsoes!D:D, previsoes!E:E, "&lt;=" &amp; EOMONTH(DATEVALUE(B898&amp;"-01"),0), previsoes!F:F, "&gt;=" &amp; DATEVALUE(B898&amp;"-01"))</f>
        <v>0</v>
      </c>
      <c r="H898" s="52">
        <f t="shared" si="5"/>
        <v>160491.8958</v>
      </c>
      <c r="I898" s="49">
        <f t="shared" si="3"/>
        <v>22906</v>
      </c>
      <c r="J898" s="52">
        <f>IF(A898&lt;&gt;"",SUMIFS(metas!N:N, metas!E:E, "&gt;=" &amp; DATEVALUE(B898&amp;"-01"),metas!D:D, "&lt;=" &amp; DATEVALUE(B898&amp;"-01")),"")</f>
        <v>3182.813937</v>
      </c>
      <c r="K898" s="49">
        <f t="shared" si="4"/>
        <v>19723.18606</v>
      </c>
      <c r="L898" s="49">
        <f t="shared" si="6"/>
        <v>17055581.24</v>
      </c>
      <c r="M898" s="49">
        <f>IF(A898&lt;&gt;"",IF(COUNTIF(investimento!F:F, B898) &gt; 0, SUM(investimento!B:B)+I898, M897+I898),"")</f>
        <v>20329340.68</v>
      </c>
    </row>
    <row r="899" ht="22.5" customHeight="1">
      <c r="A899" s="47">
        <v>50948.0</v>
      </c>
      <c r="B899" s="48" t="str">
        <f t="shared" si="1"/>
        <v>2039-06</v>
      </c>
      <c r="C899" s="49">
        <f>SUMIF(despesas_recorrentes!C:C, "&gt;="&amp;A899,despesas_recorrentes!B:B) 
+SUMIF(despesas_recorrentes!C:C, "",despesas_recorrentes!B:B)
-despesas_recorrentes!$B$12
+IF(SUMIF(gasto_cartao!E:E,saldo!B899,gasto_cartao!B:B)&gt;despesas_recorrentes!$B$12, SUMIF(gasto_cartao!E:E,saldo!B899,gasto_cartao!B:B),despesas_recorrentes!$B$12)</f>
        <v>34013</v>
      </c>
      <c r="D899" s="51">
        <f>SUM(receitas_recorrentes!B:B)+SUMIF(receitas_pontuais!E:E,B899,receitas_pontuais!B:B)</f>
        <v>56919</v>
      </c>
      <c r="E899" s="51">
        <f t="shared" si="2"/>
        <v>22906</v>
      </c>
      <c r="F899" s="53">
        <f>IFERROR(SUMIF(contas!G:G, B899, contas!B:B),0)</f>
        <v>0</v>
      </c>
      <c r="G899" s="51">
        <f>SUMIFS(previsoes!D:D, previsoes!E:E, "&lt;=" &amp; EOMONTH(DATEVALUE(B899&amp;"-01"),0), previsoes!F:F, "&gt;=" &amp; DATEVALUE(B899&amp;"-01"))</f>
        <v>0</v>
      </c>
      <c r="H899" s="52">
        <f t="shared" si="5"/>
        <v>160491.8958</v>
      </c>
      <c r="I899" s="49">
        <f t="shared" si="3"/>
        <v>22906</v>
      </c>
      <c r="J899" s="52">
        <f>IF(A899&lt;&gt;"",SUMIFS(metas!N:N, metas!E:E, "&gt;=" &amp; DATEVALUE(B899&amp;"-01"),metas!D:D, "&lt;=" &amp; DATEVALUE(B899&amp;"-01")),"")</f>
        <v>3182.813937</v>
      </c>
      <c r="K899" s="49">
        <f t="shared" si="4"/>
        <v>19723.18606</v>
      </c>
      <c r="L899" s="49">
        <f t="shared" si="6"/>
        <v>17075304.43</v>
      </c>
      <c r="M899" s="49">
        <f>IF(A899&lt;&gt;"",IF(COUNTIF(investimento!F:F, B899) &gt; 0, SUM(investimento!B:B)+I899, M898+I899),"")</f>
        <v>20352246.68</v>
      </c>
    </row>
    <row r="900" ht="22.5" customHeight="1">
      <c r="A900" s="47">
        <v>50949.0</v>
      </c>
      <c r="B900" s="48" t="str">
        <f t="shared" si="1"/>
        <v>2039-06</v>
      </c>
      <c r="C900" s="49">
        <f>SUMIF(despesas_recorrentes!C:C, "&gt;="&amp;A900,despesas_recorrentes!B:B) 
+SUMIF(despesas_recorrentes!C:C, "",despesas_recorrentes!B:B)
-despesas_recorrentes!$B$12
+IF(SUMIF(gasto_cartao!E:E,saldo!B900,gasto_cartao!B:B)&gt;despesas_recorrentes!$B$12, SUMIF(gasto_cartao!E:E,saldo!B900,gasto_cartao!B:B),despesas_recorrentes!$B$12)</f>
        <v>34013</v>
      </c>
      <c r="D900" s="51">
        <f>SUM(receitas_recorrentes!B:B)+SUMIF(receitas_pontuais!E:E,B900,receitas_pontuais!B:B)</f>
        <v>56919</v>
      </c>
      <c r="E900" s="51">
        <f t="shared" si="2"/>
        <v>22906</v>
      </c>
      <c r="F900" s="53">
        <f>IFERROR(SUMIF(contas!G:G, B900, contas!B:B),0)</f>
        <v>0</v>
      </c>
      <c r="G900" s="51">
        <f>SUMIFS(previsoes!D:D, previsoes!E:E, "&lt;=" &amp; EOMONTH(DATEVALUE(B900&amp;"-01"),0), previsoes!F:F, "&gt;=" &amp; DATEVALUE(B900&amp;"-01"))</f>
        <v>0</v>
      </c>
      <c r="H900" s="52">
        <f t="shared" si="5"/>
        <v>160491.8958</v>
      </c>
      <c r="I900" s="49">
        <f t="shared" si="3"/>
        <v>22906</v>
      </c>
      <c r="J900" s="52">
        <f>IF(A900&lt;&gt;"",SUMIFS(metas!N:N, metas!E:E, "&gt;=" &amp; DATEVALUE(B900&amp;"-01"),metas!D:D, "&lt;=" &amp; DATEVALUE(B900&amp;"-01")),"")</f>
        <v>3182.813937</v>
      </c>
      <c r="K900" s="49">
        <f t="shared" si="4"/>
        <v>19723.18606</v>
      </c>
      <c r="L900" s="49">
        <f t="shared" si="6"/>
        <v>17095027.61</v>
      </c>
      <c r="M900" s="49">
        <f>IF(A900&lt;&gt;"",IF(COUNTIF(investimento!F:F, B900) &gt; 0, SUM(investimento!B:B)+I900, M899+I900),"")</f>
        <v>20375152.68</v>
      </c>
    </row>
    <row r="901" ht="22.5" customHeight="1">
      <c r="A901" s="47">
        <v>50950.0</v>
      </c>
      <c r="B901" s="48" t="str">
        <f t="shared" si="1"/>
        <v>2039-06</v>
      </c>
      <c r="C901" s="49">
        <f>SUMIF(despesas_recorrentes!C:C, "&gt;="&amp;A901,despesas_recorrentes!B:B) 
+SUMIF(despesas_recorrentes!C:C, "",despesas_recorrentes!B:B)
-despesas_recorrentes!$B$12
+IF(SUMIF(gasto_cartao!E:E,saldo!B901,gasto_cartao!B:B)&gt;despesas_recorrentes!$B$12, SUMIF(gasto_cartao!E:E,saldo!B901,gasto_cartao!B:B),despesas_recorrentes!$B$12)</f>
        <v>34013</v>
      </c>
      <c r="D901" s="51">
        <f>SUM(receitas_recorrentes!B:B)+SUMIF(receitas_pontuais!E:E,B901,receitas_pontuais!B:B)</f>
        <v>56919</v>
      </c>
      <c r="E901" s="51">
        <f t="shared" si="2"/>
        <v>22906</v>
      </c>
      <c r="F901" s="53">
        <f>IFERROR(SUMIF(contas!G:G, B901, contas!B:B),0)</f>
        <v>0</v>
      </c>
      <c r="G901" s="51">
        <f>SUMIFS(previsoes!D:D, previsoes!E:E, "&lt;=" &amp; EOMONTH(DATEVALUE(B901&amp;"-01"),0), previsoes!F:F, "&gt;=" &amp; DATEVALUE(B901&amp;"-01"))</f>
        <v>0</v>
      </c>
      <c r="H901" s="52">
        <f t="shared" si="5"/>
        <v>160491.8958</v>
      </c>
      <c r="I901" s="49">
        <f t="shared" si="3"/>
        <v>22906</v>
      </c>
      <c r="J901" s="52">
        <f>IF(A901&lt;&gt;"",SUMIFS(metas!N:N, metas!E:E, "&gt;=" &amp; DATEVALUE(B901&amp;"-01"),metas!D:D, "&lt;=" &amp; DATEVALUE(B901&amp;"-01")),"")</f>
        <v>3182.813937</v>
      </c>
      <c r="K901" s="49">
        <f t="shared" si="4"/>
        <v>19723.18606</v>
      </c>
      <c r="L901" s="49">
        <f t="shared" si="6"/>
        <v>17114750.8</v>
      </c>
      <c r="M901" s="49">
        <f>IF(A901&lt;&gt;"",IF(COUNTIF(investimento!F:F, B901) &gt; 0, SUM(investimento!B:B)+I901, M900+I901),"")</f>
        <v>20398058.68</v>
      </c>
    </row>
    <row r="902" ht="22.5" customHeight="1">
      <c r="A902" s="47">
        <v>50951.0</v>
      </c>
      <c r="B902" s="48" t="str">
        <f t="shared" si="1"/>
        <v>2039-06</v>
      </c>
      <c r="C902" s="49">
        <f>SUMIF(despesas_recorrentes!C:C, "&gt;="&amp;A902,despesas_recorrentes!B:B) 
+SUMIF(despesas_recorrentes!C:C, "",despesas_recorrentes!B:B)
-despesas_recorrentes!$B$12
+IF(SUMIF(gasto_cartao!E:E,saldo!B902,gasto_cartao!B:B)&gt;despesas_recorrentes!$B$12, SUMIF(gasto_cartao!E:E,saldo!B902,gasto_cartao!B:B),despesas_recorrentes!$B$12)</f>
        <v>34013</v>
      </c>
      <c r="D902" s="51">
        <f>SUM(receitas_recorrentes!B:B)+SUMIF(receitas_pontuais!E:E,B902,receitas_pontuais!B:B)</f>
        <v>56919</v>
      </c>
      <c r="E902" s="51">
        <f t="shared" si="2"/>
        <v>22906</v>
      </c>
      <c r="F902" s="53">
        <f>IFERROR(SUMIF(contas!G:G, B902, contas!B:B),0)</f>
        <v>0</v>
      </c>
      <c r="G902" s="51">
        <f>SUMIFS(previsoes!D:D, previsoes!E:E, "&lt;=" &amp; EOMONTH(DATEVALUE(B902&amp;"-01"),0), previsoes!F:F, "&gt;=" &amp; DATEVALUE(B902&amp;"-01"))</f>
        <v>0</v>
      </c>
      <c r="H902" s="52">
        <f t="shared" si="5"/>
        <v>160491.8958</v>
      </c>
      <c r="I902" s="49">
        <f t="shared" si="3"/>
        <v>22906</v>
      </c>
      <c r="J902" s="52">
        <f>IF(A902&lt;&gt;"",SUMIFS(metas!N:N, metas!E:E, "&gt;=" &amp; DATEVALUE(B902&amp;"-01"),metas!D:D, "&lt;=" &amp; DATEVALUE(B902&amp;"-01")),"")</f>
        <v>3182.813937</v>
      </c>
      <c r="K902" s="49">
        <f t="shared" si="4"/>
        <v>19723.18606</v>
      </c>
      <c r="L902" s="49">
        <f t="shared" si="6"/>
        <v>17134473.99</v>
      </c>
      <c r="M902" s="49">
        <f>IF(A902&lt;&gt;"",IF(COUNTIF(investimento!F:F, B902) &gt; 0, SUM(investimento!B:B)+I902, M901+I902),"")</f>
        <v>20420964.68</v>
      </c>
    </row>
    <row r="903" ht="22.5" customHeight="1">
      <c r="A903" s="47">
        <v>50952.0</v>
      </c>
      <c r="B903" s="48" t="str">
        <f t="shared" si="1"/>
        <v>2039-07</v>
      </c>
      <c r="C903" s="49">
        <f>SUMIF(despesas_recorrentes!C:C, "&gt;="&amp;A903,despesas_recorrentes!B:B) 
+SUMIF(despesas_recorrentes!C:C, "",despesas_recorrentes!B:B)
-despesas_recorrentes!$B$12
+IF(SUMIF(gasto_cartao!E:E,saldo!B903,gasto_cartao!B:B)&gt;despesas_recorrentes!$B$12, SUMIF(gasto_cartao!E:E,saldo!B903,gasto_cartao!B:B),despesas_recorrentes!$B$12)</f>
        <v>34013</v>
      </c>
      <c r="D903" s="51">
        <f>SUM(receitas_recorrentes!B:B)+SUMIF(receitas_pontuais!E:E,B903,receitas_pontuais!B:B)</f>
        <v>56919</v>
      </c>
      <c r="E903" s="51">
        <f t="shared" si="2"/>
        <v>22906</v>
      </c>
      <c r="F903" s="53">
        <f>IFERROR(SUMIF(contas!G:G, B903, contas!B:B),0)</f>
        <v>0</v>
      </c>
      <c r="G903" s="51">
        <f>SUMIFS(previsoes!D:D, previsoes!E:E, "&lt;=" &amp; EOMONTH(DATEVALUE(B903&amp;"-01"),0), previsoes!F:F, "&gt;=" &amp; DATEVALUE(B903&amp;"-01"))</f>
        <v>0</v>
      </c>
      <c r="H903" s="52">
        <f t="shared" si="5"/>
        <v>160491.8958</v>
      </c>
      <c r="I903" s="49">
        <f t="shared" si="3"/>
        <v>22906</v>
      </c>
      <c r="J903" s="52">
        <f>IF(A903&lt;&gt;"",SUMIFS(metas!N:N, metas!E:E, "&gt;=" &amp; DATEVALUE(B903&amp;"-01"),metas!D:D, "&lt;=" &amp; DATEVALUE(B903&amp;"-01")),"")</f>
        <v>3182.813937</v>
      </c>
      <c r="K903" s="49">
        <f t="shared" si="4"/>
        <v>19723.18606</v>
      </c>
      <c r="L903" s="49">
        <f t="shared" si="6"/>
        <v>17154197.17</v>
      </c>
      <c r="M903" s="49">
        <f>IF(A903&lt;&gt;"",IF(COUNTIF(investimento!F:F, B903) &gt; 0, SUM(investimento!B:B)+I903, M902+I903),"")</f>
        <v>20443870.68</v>
      </c>
    </row>
    <row r="904" ht="22.5" customHeight="1">
      <c r="A904" s="47">
        <v>50953.0</v>
      </c>
      <c r="B904" s="48" t="str">
        <f t="shared" si="1"/>
        <v>2039-07</v>
      </c>
      <c r="C904" s="49">
        <f>SUMIF(despesas_recorrentes!C:C, "&gt;="&amp;A904,despesas_recorrentes!B:B) 
+SUMIF(despesas_recorrentes!C:C, "",despesas_recorrentes!B:B)
-despesas_recorrentes!$B$12
+IF(SUMIF(gasto_cartao!E:E,saldo!B904,gasto_cartao!B:B)&gt;despesas_recorrentes!$B$12, SUMIF(gasto_cartao!E:E,saldo!B904,gasto_cartao!B:B),despesas_recorrentes!$B$12)</f>
        <v>34013</v>
      </c>
      <c r="D904" s="51">
        <f>SUM(receitas_recorrentes!B:B)+SUMIF(receitas_pontuais!E:E,B904,receitas_pontuais!B:B)</f>
        <v>56919</v>
      </c>
      <c r="E904" s="51">
        <f t="shared" si="2"/>
        <v>22906</v>
      </c>
      <c r="F904" s="53">
        <f>IFERROR(SUMIF(contas!G:G, B904, contas!B:B),0)</f>
        <v>0</v>
      </c>
      <c r="G904" s="51">
        <f>SUMIFS(previsoes!D:D, previsoes!E:E, "&lt;=" &amp; EOMONTH(DATEVALUE(B904&amp;"-01"),0), previsoes!F:F, "&gt;=" &amp; DATEVALUE(B904&amp;"-01"))</f>
        <v>0</v>
      </c>
      <c r="H904" s="52">
        <f t="shared" si="5"/>
        <v>160491.8958</v>
      </c>
      <c r="I904" s="49">
        <f t="shared" si="3"/>
        <v>22906</v>
      </c>
      <c r="J904" s="52">
        <f>IF(A904&lt;&gt;"",SUMIFS(metas!N:N, metas!E:E, "&gt;=" &amp; DATEVALUE(B904&amp;"-01"),metas!D:D, "&lt;=" &amp; DATEVALUE(B904&amp;"-01")),"")</f>
        <v>3182.813937</v>
      </c>
      <c r="K904" s="49">
        <f t="shared" si="4"/>
        <v>19723.18606</v>
      </c>
      <c r="L904" s="49">
        <f t="shared" si="6"/>
        <v>17173920.36</v>
      </c>
      <c r="M904" s="49">
        <f>IF(A904&lt;&gt;"",IF(COUNTIF(investimento!F:F, B904) &gt; 0, SUM(investimento!B:B)+I904, M903+I904),"")</f>
        <v>20466776.68</v>
      </c>
    </row>
    <row r="905" ht="22.5" customHeight="1">
      <c r="A905" s="47">
        <v>50954.0</v>
      </c>
      <c r="B905" s="48" t="str">
        <f t="shared" si="1"/>
        <v>2039-07</v>
      </c>
      <c r="C905" s="49">
        <f>SUMIF(despesas_recorrentes!C:C, "&gt;="&amp;A905,despesas_recorrentes!B:B) 
+SUMIF(despesas_recorrentes!C:C, "",despesas_recorrentes!B:B)
-despesas_recorrentes!$B$12
+IF(SUMIF(gasto_cartao!E:E,saldo!B905,gasto_cartao!B:B)&gt;despesas_recorrentes!$B$12, SUMIF(gasto_cartao!E:E,saldo!B905,gasto_cartao!B:B),despesas_recorrentes!$B$12)</f>
        <v>34013</v>
      </c>
      <c r="D905" s="51">
        <f>SUM(receitas_recorrentes!B:B)+SUMIF(receitas_pontuais!E:E,B905,receitas_pontuais!B:B)</f>
        <v>56919</v>
      </c>
      <c r="E905" s="51">
        <f t="shared" si="2"/>
        <v>22906</v>
      </c>
      <c r="F905" s="53">
        <f>IFERROR(SUMIF(contas!G:G, B905, contas!B:B),0)</f>
        <v>0</v>
      </c>
      <c r="G905" s="51">
        <f>SUMIFS(previsoes!D:D, previsoes!E:E, "&lt;=" &amp; EOMONTH(DATEVALUE(B905&amp;"-01"),0), previsoes!F:F, "&gt;=" &amp; DATEVALUE(B905&amp;"-01"))</f>
        <v>0</v>
      </c>
      <c r="H905" s="52">
        <f t="shared" si="5"/>
        <v>160491.8958</v>
      </c>
      <c r="I905" s="49">
        <f t="shared" si="3"/>
        <v>22906</v>
      </c>
      <c r="J905" s="52">
        <f>IF(A905&lt;&gt;"",SUMIFS(metas!N:N, metas!E:E, "&gt;=" &amp; DATEVALUE(B905&amp;"-01"),metas!D:D, "&lt;=" &amp; DATEVALUE(B905&amp;"-01")),"")</f>
        <v>3182.813937</v>
      </c>
      <c r="K905" s="49">
        <f t="shared" si="4"/>
        <v>19723.18606</v>
      </c>
      <c r="L905" s="49">
        <f t="shared" si="6"/>
        <v>17193643.54</v>
      </c>
      <c r="M905" s="49">
        <f>IF(A905&lt;&gt;"",IF(COUNTIF(investimento!F:F, B905) &gt; 0, SUM(investimento!B:B)+I905, M904+I905),"")</f>
        <v>20489682.68</v>
      </c>
    </row>
    <row r="906" ht="22.5" customHeight="1">
      <c r="A906" s="47">
        <v>50955.0</v>
      </c>
      <c r="B906" s="48" t="str">
        <f t="shared" si="1"/>
        <v>2039-07</v>
      </c>
      <c r="C906" s="49">
        <f>SUMIF(despesas_recorrentes!C:C, "&gt;="&amp;A906,despesas_recorrentes!B:B) 
+SUMIF(despesas_recorrentes!C:C, "",despesas_recorrentes!B:B)
-despesas_recorrentes!$B$12
+IF(SUMIF(gasto_cartao!E:E,saldo!B906,gasto_cartao!B:B)&gt;despesas_recorrentes!$B$12, SUMIF(gasto_cartao!E:E,saldo!B906,gasto_cartao!B:B),despesas_recorrentes!$B$12)</f>
        <v>34013</v>
      </c>
      <c r="D906" s="51">
        <f>SUM(receitas_recorrentes!B:B)+SUMIF(receitas_pontuais!E:E,B906,receitas_pontuais!B:B)</f>
        <v>56919</v>
      </c>
      <c r="E906" s="51">
        <f t="shared" si="2"/>
        <v>22906</v>
      </c>
      <c r="F906" s="53">
        <f>IFERROR(SUMIF(contas!G:G, B906, contas!B:B),0)</f>
        <v>0</v>
      </c>
      <c r="G906" s="51">
        <f>SUMIFS(previsoes!D:D, previsoes!E:E, "&lt;=" &amp; EOMONTH(DATEVALUE(B906&amp;"-01"),0), previsoes!F:F, "&gt;=" &amp; DATEVALUE(B906&amp;"-01"))</f>
        <v>0</v>
      </c>
      <c r="H906" s="52">
        <f t="shared" si="5"/>
        <v>160491.8958</v>
      </c>
      <c r="I906" s="49">
        <f t="shared" si="3"/>
        <v>22906</v>
      </c>
      <c r="J906" s="52">
        <f>IF(A906&lt;&gt;"",SUMIFS(metas!N:N, metas!E:E, "&gt;=" &amp; DATEVALUE(B906&amp;"-01"),metas!D:D, "&lt;=" &amp; DATEVALUE(B906&amp;"-01")),"")</f>
        <v>3182.813937</v>
      </c>
      <c r="K906" s="49">
        <f t="shared" si="4"/>
        <v>19723.18606</v>
      </c>
      <c r="L906" s="49">
        <f t="shared" si="6"/>
        <v>17213366.73</v>
      </c>
      <c r="M906" s="49">
        <f>IF(A906&lt;&gt;"",IF(COUNTIF(investimento!F:F, B906) &gt; 0, SUM(investimento!B:B)+I906, M905+I906),"")</f>
        <v>20512588.68</v>
      </c>
    </row>
    <row r="907" ht="22.5" customHeight="1">
      <c r="A907" s="47">
        <v>50956.0</v>
      </c>
      <c r="B907" s="48" t="str">
        <f t="shared" si="1"/>
        <v>2039-07</v>
      </c>
      <c r="C907" s="49">
        <f>SUMIF(despesas_recorrentes!C:C, "&gt;="&amp;A907,despesas_recorrentes!B:B) 
+SUMIF(despesas_recorrentes!C:C, "",despesas_recorrentes!B:B)
-despesas_recorrentes!$B$12
+IF(SUMIF(gasto_cartao!E:E,saldo!B907,gasto_cartao!B:B)&gt;despesas_recorrentes!$B$12, SUMIF(gasto_cartao!E:E,saldo!B907,gasto_cartao!B:B),despesas_recorrentes!$B$12)</f>
        <v>34013</v>
      </c>
      <c r="D907" s="51">
        <f>SUM(receitas_recorrentes!B:B)+SUMIF(receitas_pontuais!E:E,B907,receitas_pontuais!B:B)</f>
        <v>56919</v>
      </c>
      <c r="E907" s="51">
        <f t="shared" si="2"/>
        <v>22906</v>
      </c>
      <c r="F907" s="53">
        <f>IFERROR(SUMIF(contas!G:G, B907, contas!B:B),0)</f>
        <v>0</v>
      </c>
      <c r="G907" s="51">
        <f>SUMIFS(previsoes!D:D, previsoes!E:E, "&lt;=" &amp; EOMONTH(DATEVALUE(B907&amp;"-01"),0), previsoes!F:F, "&gt;=" &amp; DATEVALUE(B907&amp;"-01"))</f>
        <v>0</v>
      </c>
      <c r="H907" s="52">
        <f t="shared" si="5"/>
        <v>160491.8958</v>
      </c>
      <c r="I907" s="49">
        <f t="shared" si="3"/>
        <v>22906</v>
      </c>
      <c r="J907" s="52">
        <f>IF(A907&lt;&gt;"",SUMIFS(metas!N:N, metas!E:E, "&gt;=" &amp; DATEVALUE(B907&amp;"-01"),metas!D:D, "&lt;=" &amp; DATEVALUE(B907&amp;"-01")),"")</f>
        <v>3182.813937</v>
      </c>
      <c r="K907" s="49">
        <f t="shared" si="4"/>
        <v>19723.18606</v>
      </c>
      <c r="L907" s="49">
        <f t="shared" si="6"/>
        <v>17233089.92</v>
      </c>
      <c r="M907" s="49">
        <f>IF(A907&lt;&gt;"",IF(COUNTIF(investimento!F:F, B907) &gt; 0, SUM(investimento!B:B)+I907, M906+I907),"")</f>
        <v>20535494.68</v>
      </c>
    </row>
    <row r="908" ht="22.5" customHeight="1">
      <c r="A908" s="47">
        <v>50957.0</v>
      </c>
      <c r="B908" s="48" t="str">
        <f t="shared" si="1"/>
        <v>2039-07</v>
      </c>
      <c r="C908" s="49">
        <f>SUMIF(despesas_recorrentes!C:C, "&gt;="&amp;A908,despesas_recorrentes!B:B) 
+SUMIF(despesas_recorrentes!C:C, "",despesas_recorrentes!B:B)
-despesas_recorrentes!$B$12
+IF(SUMIF(gasto_cartao!E:E,saldo!B908,gasto_cartao!B:B)&gt;despesas_recorrentes!$B$12, SUMIF(gasto_cartao!E:E,saldo!B908,gasto_cartao!B:B),despesas_recorrentes!$B$12)</f>
        <v>34013</v>
      </c>
      <c r="D908" s="51">
        <f>SUM(receitas_recorrentes!B:B)+SUMIF(receitas_pontuais!E:E,B908,receitas_pontuais!B:B)</f>
        <v>56919</v>
      </c>
      <c r="E908" s="51">
        <f t="shared" si="2"/>
        <v>22906</v>
      </c>
      <c r="F908" s="53">
        <f>IFERROR(SUMIF(contas!G:G, B908, contas!B:B),0)</f>
        <v>0</v>
      </c>
      <c r="G908" s="51">
        <f>SUMIFS(previsoes!D:D, previsoes!E:E, "&lt;=" &amp; EOMONTH(DATEVALUE(B908&amp;"-01"),0), previsoes!F:F, "&gt;=" &amp; DATEVALUE(B908&amp;"-01"))</f>
        <v>0</v>
      </c>
      <c r="H908" s="52">
        <f t="shared" si="5"/>
        <v>160491.8958</v>
      </c>
      <c r="I908" s="49">
        <f t="shared" si="3"/>
        <v>22906</v>
      </c>
      <c r="J908" s="52">
        <f>IF(A908&lt;&gt;"",SUMIFS(metas!N:N, metas!E:E, "&gt;=" &amp; DATEVALUE(B908&amp;"-01"),metas!D:D, "&lt;=" &amp; DATEVALUE(B908&amp;"-01")),"")</f>
        <v>3182.813937</v>
      </c>
      <c r="K908" s="49">
        <f t="shared" si="4"/>
        <v>19723.18606</v>
      </c>
      <c r="L908" s="49">
        <f t="shared" si="6"/>
        <v>17252813.1</v>
      </c>
      <c r="M908" s="49">
        <f>IF(A908&lt;&gt;"",IF(COUNTIF(investimento!F:F, B908) &gt; 0, SUM(investimento!B:B)+I908, M907+I908),"")</f>
        <v>20558400.68</v>
      </c>
    </row>
    <row r="909" ht="22.5" customHeight="1">
      <c r="A909" s="47">
        <v>50958.0</v>
      </c>
      <c r="B909" s="48" t="str">
        <f t="shared" si="1"/>
        <v>2039-07</v>
      </c>
      <c r="C909" s="49">
        <f>SUMIF(despesas_recorrentes!C:C, "&gt;="&amp;A909,despesas_recorrentes!B:B) 
+SUMIF(despesas_recorrentes!C:C, "",despesas_recorrentes!B:B)
-despesas_recorrentes!$B$12
+IF(SUMIF(gasto_cartao!E:E,saldo!B909,gasto_cartao!B:B)&gt;despesas_recorrentes!$B$12, SUMIF(gasto_cartao!E:E,saldo!B909,gasto_cartao!B:B),despesas_recorrentes!$B$12)</f>
        <v>34013</v>
      </c>
      <c r="D909" s="51">
        <f>SUM(receitas_recorrentes!B:B)+SUMIF(receitas_pontuais!E:E,B909,receitas_pontuais!B:B)</f>
        <v>56919</v>
      </c>
      <c r="E909" s="51">
        <f t="shared" si="2"/>
        <v>22906</v>
      </c>
      <c r="F909" s="53">
        <f>IFERROR(SUMIF(contas!G:G, B909, contas!B:B),0)</f>
        <v>0</v>
      </c>
      <c r="G909" s="51">
        <f>SUMIFS(previsoes!D:D, previsoes!E:E, "&lt;=" &amp; EOMONTH(DATEVALUE(B909&amp;"-01"),0), previsoes!F:F, "&gt;=" &amp; DATEVALUE(B909&amp;"-01"))</f>
        <v>0</v>
      </c>
      <c r="H909" s="52">
        <f t="shared" si="5"/>
        <v>160491.8958</v>
      </c>
      <c r="I909" s="49">
        <f t="shared" si="3"/>
        <v>22906</v>
      </c>
      <c r="J909" s="52">
        <f>IF(A909&lt;&gt;"",SUMIFS(metas!N:N, metas!E:E, "&gt;=" &amp; DATEVALUE(B909&amp;"-01"),metas!D:D, "&lt;=" &amp; DATEVALUE(B909&amp;"-01")),"")</f>
        <v>3182.813937</v>
      </c>
      <c r="K909" s="49">
        <f t="shared" si="4"/>
        <v>19723.18606</v>
      </c>
      <c r="L909" s="49">
        <f t="shared" si="6"/>
        <v>17272536.29</v>
      </c>
      <c r="M909" s="49">
        <f>IF(A909&lt;&gt;"",IF(COUNTIF(investimento!F:F, B909) &gt; 0, SUM(investimento!B:B)+I909, M908+I909),"")</f>
        <v>20581306.68</v>
      </c>
    </row>
    <row r="910" ht="22.5" customHeight="1">
      <c r="A910" s="47">
        <v>50959.0</v>
      </c>
      <c r="B910" s="48" t="str">
        <f t="shared" si="1"/>
        <v>2039-07</v>
      </c>
      <c r="C910" s="49">
        <f>SUMIF(despesas_recorrentes!C:C, "&gt;="&amp;A910,despesas_recorrentes!B:B) 
+SUMIF(despesas_recorrentes!C:C, "",despesas_recorrentes!B:B)
-despesas_recorrentes!$B$12
+IF(SUMIF(gasto_cartao!E:E,saldo!B910,gasto_cartao!B:B)&gt;despesas_recorrentes!$B$12, SUMIF(gasto_cartao!E:E,saldo!B910,gasto_cartao!B:B),despesas_recorrentes!$B$12)</f>
        <v>34013</v>
      </c>
      <c r="D910" s="51">
        <f>SUM(receitas_recorrentes!B:B)+SUMIF(receitas_pontuais!E:E,B910,receitas_pontuais!B:B)</f>
        <v>56919</v>
      </c>
      <c r="E910" s="51">
        <f t="shared" si="2"/>
        <v>22906</v>
      </c>
      <c r="F910" s="53">
        <f>IFERROR(SUMIF(contas!G:G, B910, contas!B:B),0)</f>
        <v>0</v>
      </c>
      <c r="G910" s="51">
        <f>SUMIFS(previsoes!D:D, previsoes!E:E, "&lt;=" &amp; EOMONTH(DATEVALUE(B910&amp;"-01"),0), previsoes!F:F, "&gt;=" &amp; DATEVALUE(B910&amp;"-01"))</f>
        <v>0</v>
      </c>
      <c r="H910" s="52">
        <f t="shared" si="5"/>
        <v>160491.8958</v>
      </c>
      <c r="I910" s="49">
        <f t="shared" si="3"/>
        <v>22906</v>
      </c>
      <c r="J910" s="52">
        <f>IF(A910&lt;&gt;"",SUMIFS(metas!N:N, metas!E:E, "&gt;=" &amp; DATEVALUE(B910&amp;"-01"),metas!D:D, "&lt;=" &amp; DATEVALUE(B910&amp;"-01")),"")</f>
        <v>3182.813937</v>
      </c>
      <c r="K910" s="49">
        <f t="shared" si="4"/>
        <v>19723.18606</v>
      </c>
      <c r="L910" s="49">
        <f t="shared" si="6"/>
        <v>17292259.47</v>
      </c>
      <c r="M910" s="49">
        <f>IF(A910&lt;&gt;"",IF(COUNTIF(investimento!F:F, B910) &gt; 0, SUM(investimento!B:B)+I910, M909+I910),"")</f>
        <v>20604212.68</v>
      </c>
    </row>
    <row r="911" ht="22.5" customHeight="1">
      <c r="A911" s="47">
        <v>50960.0</v>
      </c>
      <c r="B911" s="48" t="str">
        <f t="shared" si="1"/>
        <v>2039-07</v>
      </c>
      <c r="C911" s="49">
        <f>SUMIF(despesas_recorrentes!C:C, "&gt;="&amp;A911,despesas_recorrentes!B:B) 
+SUMIF(despesas_recorrentes!C:C, "",despesas_recorrentes!B:B)
-despesas_recorrentes!$B$12
+IF(SUMIF(gasto_cartao!E:E,saldo!B911,gasto_cartao!B:B)&gt;despesas_recorrentes!$B$12, SUMIF(gasto_cartao!E:E,saldo!B911,gasto_cartao!B:B),despesas_recorrentes!$B$12)</f>
        <v>34013</v>
      </c>
      <c r="D911" s="51">
        <f>SUM(receitas_recorrentes!B:B)+SUMIF(receitas_pontuais!E:E,B911,receitas_pontuais!B:B)</f>
        <v>56919</v>
      </c>
      <c r="E911" s="51">
        <f t="shared" si="2"/>
        <v>22906</v>
      </c>
      <c r="F911" s="53">
        <f>IFERROR(SUMIF(contas!G:G, B911, contas!B:B),0)</f>
        <v>0</v>
      </c>
      <c r="G911" s="51">
        <f>SUMIFS(previsoes!D:D, previsoes!E:E, "&lt;=" &amp; EOMONTH(DATEVALUE(B911&amp;"-01"),0), previsoes!F:F, "&gt;=" &amp; DATEVALUE(B911&amp;"-01"))</f>
        <v>0</v>
      </c>
      <c r="H911" s="52">
        <f t="shared" si="5"/>
        <v>160491.8958</v>
      </c>
      <c r="I911" s="49">
        <f t="shared" si="3"/>
        <v>22906</v>
      </c>
      <c r="J911" s="52">
        <f>IF(A911&lt;&gt;"",SUMIFS(metas!N:N, metas!E:E, "&gt;=" &amp; DATEVALUE(B911&amp;"-01"),metas!D:D, "&lt;=" &amp; DATEVALUE(B911&amp;"-01")),"")</f>
        <v>3182.813937</v>
      </c>
      <c r="K911" s="49">
        <f t="shared" si="4"/>
        <v>19723.18606</v>
      </c>
      <c r="L911" s="49">
        <f t="shared" si="6"/>
        <v>17311982.66</v>
      </c>
      <c r="M911" s="49">
        <f>IF(A911&lt;&gt;"",IF(COUNTIF(investimento!F:F, B911) &gt; 0, SUM(investimento!B:B)+I911, M910+I911),"")</f>
        <v>20627118.68</v>
      </c>
    </row>
    <row r="912" ht="22.5" customHeight="1">
      <c r="A912" s="47">
        <v>50961.0</v>
      </c>
      <c r="B912" s="48" t="str">
        <f t="shared" si="1"/>
        <v>2039-07</v>
      </c>
      <c r="C912" s="49">
        <f>SUMIF(despesas_recorrentes!C:C, "&gt;="&amp;A912,despesas_recorrentes!B:B) 
+SUMIF(despesas_recorrentes!C:C, "",despesas_recorrentes!B:B)
-despesas_recorrentes!$B$12
+IF(SUMIF(gasto_cartao!E:E,saldo!B912,gasto_cartao!B:B)&gt;despesas_recorrentes!$B$12, SUMIF(gasto_cartao!E:E,saldo!B912,gasto_cartao!B:B),despesas_recorrentes!$B$12)</f>
        <v>34013</v>
      </c>
      <c r="D912" s="51">
        <f>SUM(receitas_recorrentes!B:B)+SUMIF(receitas_pontuais!E:E,B912,receitas_pontuais!B:B)</f>
        <v>56919</v>
      </c>
      <c r="E912" s="51">
        <f t="shared" si="2"/>
        <v>22906</v>
      </c>
      <c r="F912" s="53">
        <f>IFERROR(SUMIF(contas!G:G, B912, contas!B:B),0)</f>
        <v>0</v>
      </c>
      <c r="G912" s="51">
        <f>SUMIFS(previsoes!D:D, previsoes!E:E, "&lt;=" &amp; EOMONTH(DATEVALUE(B912&amp;"-01"),0), previsoes!F:F, "&gt;=" &amp; DATEVALUE(B912&amp;"-01"))</f>
        <v>0</v>
      </c>
      <c r="H912" s="52">
        <f t="shared" si="5"/>
        <v>160491.8958</v>
      </c>
      <c r="I912" s="49">
        <f t="shared" si="3"/>
        <v>22906</v>
      </c>
      <c r="J912" s="52">
        <f>IF(A912&lt;&gt;"",SUMIFS(metas!N:N, metas!E:E, "&gt;=" &amp; DATEVALUE(B912&amp;"-01"),metas!D:D, "&lt;=" &amp; DATEVALUE(B912&amp;"-01")),"")</f>
        <v>3182.813937</v>
      </c>
      <c r="K912" s="49">
        <f t="shared" si="4"/>
        <v>19723.18606</v>
      </c>
      <c r="L912" s="49">
        <f t="shared" si="6"/>
        <v>17331705.85</v>
      </c>
      <c r="M912" s="49">
        <f>IF(A912&lt;&gt;"",IF(COUNTIF(investimento!F:F, B912) &gt; 0, SUM(investimento!B:B)+I912, M911+I912),"")</f>
        <v>20650024.68</v>
      </c>
    </row>
    <row r="913" ht="22.5" customHeight="1">
      <c r="A913" s="47">
        <v>50962.0</v>
      </c>
      <c r="B913" s="48" t="str">
        <f t="shared" si="1"/>
        <v>2039-07</v>
      </c>
      <c r="C913" s="49">
        <f>SUMIF(despesas_recorrentes!C:C, "&gt;="&amp;A913,despesas_recorrentes!B:B) 
+SUMIF(despesas_recorrentes!C:C, "",despesas_recorrentes!B:B)
-despesas_recorrentes!$B$12
+IF(SUMIF(gasto_cartao!E:E,saldo!B913,gasto_cartao!B:B)&gt;despesas_recorrentes!$B$12, SUMIF(gasto_cartao!E:E,saldo!B913,gasto_cartao!B:B),despesas_recorrentes!$B$12)</f>
        <v>34013</v>
      </c>
      <c r="D913" s="51">
        <f>SUM(receitas_recorrentes!B:B)+SUMIF(receitas_pontuais!E:E,B913,receitas_pontuais!B:B)</f>
        <v>56919</v>
      </c>
      <c r="E913" s="51">
        <f t="shared" si="2"/>
        <v>22906</v>
      </c>
      <c r="F913" s="53">
        <f>IFERROR(SUMIF(contas!G:G, B913, contas!B:B),0)</f>
        <v>0</v>
      </c>
      <c r="G913" s="51">
        <f>SUMIFS(previsoes!D:D, previsoes!E:E, "&lt;=" &amp; EOMONTH(DATEVALUE(B913&amp;"-01"),0), previsoes!F:F, "&gt;=" &amp; DATEVALUE(B913&amp;"-01"))</f>
        <v>0</v>
      </c>
      <c r="H913" s="52">
        <f t="shared" si="5"/>
        <v>160491.8958</v>
      </c>
      <c r="I913" s="49">
        <f t="shared" si="3"/>
        <v>22906</v>
      </c>
      <c r="J913" s="52">
        <f>IF(A913&lt;&gt;"",SUMIFS(metas!N:N, metas!E:E, "&gt;=" &amp; DATEVALUE(B913&amp;"-01"),metas!D:D, "&lt;=" &amp; DATEVALUE(B913&amp;"-01")),"")</f>
        <v>3182.813937</v>
      </c>
      <c r="K913" s="49">
        <f t="shared" si="4"/>
        <v>19723.18606</v>
      </c>
      <c r="L913" s="49">
        <f t="shared" si="6"/>
        <v>17351429.03</v>
      </c>
      <c r="M913" s="49">
        <f>IF(A913&lt;&gt;"",IF(COUNTIF(investimento!F:F, B913) &gt; 0, SUM(investimento!B:B)+I913, M912+I913),"")</f>
        <v>20672930.68</v>
      </c>
    </row>
    <row r="914" ht="22.5" customHeight="1">
      <c r="A914" s="47">
        <v>50963.0</v>
      </c>
      <c r="B914" s="48" t="str">
        <f t="shared" si="1"/>
        <v>2039-07</v>
      </c>
      <c r="C914" s="49">
        <f>SUMIF(despesas_recorrentes!C:C, "&gt;="&amp;A914,despesas_recorrentes!B:B) 
+SUMIF(despesas_recorrentes!C:C, "",despesas_recorrentes!B:B)
-despesas_recorrentes!$B$12
+IF(SUMIF(gasto_cartao!E:E,saldo!B914,gasto_cartao!B:B)&gt;despesas_recorrentes!$B$12, SUMIF(gasto_cartao!E:E,saldo!B914,gasto_cartao!B:B),despesas_recorrentes!$B$12)</f>
        <v>34013</v>
      </c>
      <c r="D914" s="51">
        <f>SUM(receitas_recorrentes!B:B)+SUMIF(receitas_pontuais!E:E,B914,receitas_pontuais!B:B)</f>
        <v>56919</v>
      </c>
      <c r="E914" s="51">
        <f t="shared" si="2"/>
        <v>22906</v>
      </c>
      <c r="F914" s="53">
        <f>IFERROR(SUMIF(contas!G:G, B914, contas!B:B),0)</f>
        <v>0</v>
      </c>
      <c r="G914" s="51">
        <f>SUMIFS(previsoes!D:D, previsoes!E:E, "&lt;=" &amp; EOMONTH(DATEVALUE(B914&amp;"-01"),0), previsoes!F:F, "&gt;=" &amp; DATEVALUE(B914&amp;"-01"))</f>
        <v>0</v>
      </c>
      <c r="H914" s="52">
        <f t="shared" si="5"/>
        <v>160491.8958</v>
      </c>
      <c r="I914" s="49">
        <f t="shared" si="3"/>
        <v>22906</v>
      </c>
      <c r="J914" s="52">
        <f>IF(A914&lt;&gt;"",SUMIFS(metas!N:N, metas!E:E, "&gt;=" &amp; DATEVALUE(B914&amp;"-01"),metas!D:D, "&lt;=" &amp; DATEVALUE(B914&amp;"-01")),"")</f>
        <v>3182.813937</v>
      </c>
      <c r="K914" s="49">
        <f t="shared" si="4"/>
        <v>19723.18606</v>
      </c>
      <c r="L914" s="49">
        <f t="shared" si="6"/>
        <v>17371152.22</v>
      </c>
      <c r="M914" s="49">
        <f>IF(A914&lt;&gt;"",IF(COUNTIF(investimento!F:F, B914) &gt; 0, SUM(investimento!B:B)+I914, M913+I914),"")</f>
        <v>20695836.68</v>
      </c>
    </row>
    <row r="915" ht="22.5" customHeight="1">
      <c r="A915" s="47">
        <v>50964.0</v>
      </c>
      <c r="B915" s="48" t="str">
        <f t="shared" si="1"/>
        <v>2039-07</v>
      </c>
      <c r="C915" s="49">
        <f>SUMIF(despesas_recorrentes!C:C, "&gt;="&amp;A915,despesas_recorrentes!B:B) 
+SUMIF(despesas_recorrentes!C:C, "",despesas_recorrentes!B:B)
-despesas_recorrentes!$B$12
+IF(SUMIF(gasto_cartao!E:E,saldo!B915,gasto_cartao!B:B)&gt;despesas_recorrentes!$B$12, SUMIF(gasto_cartao!E:E,saldo!B915,gasto_cartao!B:B),despesas_recorrentes!$B$12)</f>
        <v>34013</v>
      </c>
      <c r="D915" s="51">
        <f>SUM(receitas_recorrentes!B:B)+SUMIF(receitas_pontuais!E:E,B915,receitas_pontuais!B:B)</f>
        <v>56919</v>
      </c>
      <c r="E915" s="51">
        <f t="shared" si="2"/>
        <v>22906</v>
      </c>
      <c r="F915" s="53">
        <f>IFERROR(SUMIF(contas!G:G, B915, contas!B:B),0)</f>
        <v>0</v>
      </c>
      <c r="G915" s="51">
        <f>SUMIFS(previsoes!D:D, previsoes!E:E, "&lt;=" &amp; EOMONTH(DATEVALUE(B915&amp;"-01"),0), previsoes!F:F, "&gt;=" &amp; DATEVALUE(B915&amp;"-01"))</f>
        <v>0</v>
      </c>
      <c r="H915" s="52">
        <f t="shared" si="5"/>
        <v>160491.8958</v>
      </c>
      <c r="I915" s="49">
        <f t="shared" si="3"/>
        <v>22906</v>
      </c>
      <c r="J915" s="52">
        <f>IF(A915&lt;&gt;"",SUMIFS(metas!N:N, metas!E:E, "&gt;=" &amp; DATEVALUE(B915&amp;"-01"),metas!D:D, "&lt;=" &amp; DATEVALUE(B915&amp;"-01")),"")</f>
        <v>3182.813937</v>
      </c>
      <c r="K915" s="49">
        <f t="shared" si="4"/>
        <v>19723.18606</v>
      </c>
      <c r="L915" s="49">
        <f t="shared" si="6"/>
        <v>17390875.4</v>
      </c>
      <c r="M915" s="49">
        <f>IF(A915&lt;&gt;"",IF(COUNTIF(investimento!F:F, B915) &gt; 0, SUM(investimento!B:B)+I915, M914+I915),"")</f>
        <v>20718742.68</v>
      </c>
    </row>
    <row r="916" ht="22.5" customHeight="1">
      <c r="A916" s="47">
        <v>50965.0</v>
      </c>
      <c r="B916" s="48" t="str">
        <f t="shared" si="1"/>
        <v>2039-07</v>
      </c>
      <c r="C916" s="49">
        <f>SUMIF(despesas_recorrentes!C:C, "&gt;="&amp;A916,despesas_recorrentes!B:B) 
+SUMIF(despesas_recorrentes!C:C, "",despesas_recorrentes!B:B)
-despesas_recorrentes!$B$12
+IF(SUMIF(gasto_cartao!E:E,saldo!B916,gasto_cartao!B:B)&gt;despesas_recorrentes!$B$12, SUMIF(gasto_cartao!E:E,saldo!B916,gasto_cartao!B:B),despesas_recorrentes!$B$12)</f>
        <v>34013</v>
      </c>
      <c r="D916" s="51">
        <f>SUM(receitas_recorrentes!B:B)+SUMIF(receitas_pontuais!E:E,B916,receitas_pontuais!B:B)</f>
        <v>56919</v>
      </c>
      <c r="E916" s="51">
        <f t="shared" si="2"/>
        <v>22906</v>
      </c>
      <c r="F916" s="53">
        <f>IFERROR(SUMIF(contas!G:G, B916, contas!B:B),0)</f>
        <v>0</v>
      </c>
      <c r="G916" s="51">
        <f>SUMIFS(previsoes!D:D, previsoes!E:E, "&lt;=" &amp; EOMONTH(DATEVALUE(B916&amp;"-01"),0), previsoes!F:F, "&gt;=" &amp; DATEVALUE(B916&amp;"-01"))</f>
        <v>0</v>
      </c>
      <c r="H916" s="52">
        <f t="shared" si="5"/>
        <v>160491.8958</v>
      </c>
      <c r="I916" s="49">
        <f t="shared" si="3"/>
        <v>22906</v>
      </c>
      <c r="J916" s="52">
        <f>IF(A916&lt;&gt;"",SUMIFS(metas!N:N, metas!E:E, "&gt;=" &amp; DATEVALUE(B916&amp;"-01"),metas!D:D, "&lt;=" &amp; DATEVALUE(B916&amp;"-01")),"")</f>
        <v>3182.813937</v>
      </c>
      <c r="K916" s="49">
        <f t="shared" si="4"/>
        <v>19723.18606</v>
      </c>
      <c r="L916" s="49">
        <f t="shared" si="6"/>
        <v>17410598.59</v>
      </c>
      <c r="M916" s="49">
        <f>IF(A916&lt;&gt;"",IF(COUNTIF(investimento!F:F, B916) &gt; 0, SUM(investimento!B:B)+I916, M915+I916),"")</f>
        <v>20741648.68</v>
      </c>
    </row>
    <row r="917" ht="22.5" customHeight="1">
      <c r="A917" s="47">
        <v>50966.0</v>
      </c>
      <c r="B917" s="48" t="str">
        <f t="shared" si="1"/>
        <v>2039-07</v>
      </c>
      <c r="C917" s="49">
        <f>SUMIF(despesas_recorrentes!C:C, "&gt;="&amp;A917,despesas_recorrentes!B:B) 
+SUMIF(despesas_recorrentes!C:C, "",despesas_recorrentes!B:B)
-despesas_recorrentes!$B$12
+IF(SUMIF(gasto_cartao!E:E,saldo!B917,gasto_cartao!B:B)&gt;despesas_recorrentes!$B$12, SUMIF(gasto_cartao!E:E,saldo!B917,gasto_cartao!B:B),despesas_recorrentes!$B$12)</f>
        <v>34013</v>
      </c>
      <c r="D917" s="51">
        <f>SUM(receitas_recorrentes!B:B)+SUMIF(receitas_pontuais!E:E,B917,receitas_pontuais!B:B)</f>
        <v>56919</v>
      </c>
      <c r="E917" s="51">
        <f t="shared" si="2"/>
        <v>22906</v>
      </c>
      <c r="F917" s="53">
        <f>IFERROR(SUMIF(contas!G:G, B917, contas!B:B),0)</f>
        <v>0</v>
      </c>
      <c r="G917" s="51">
        <f>SUMIFS(previsoes!D:D, previsoes!E:E, "&lt;=" &amp; EOMONTH(DATEVALUE(B917&amp;"-01"),0), previsoes!F:F, "&gt;=" &amp; DATEVALUE(B917&amp;"-01"))</f>
        <v>0</v>
      </c>
      <c r="H917" s="52">
        <f t="shared" si="5"/>
        <v>160491.8958</v>
      </c>
      <c r="I917" s="49">
        <f t="shared" si="3"/>
        <v>22906</v>
      </c>
      <c r="J917" s="52">
        <f>IF(A917&lt;&gt;"",SUMIFS(metas!N:N, metas!E:E, "&gt;=" &amp; DATEVALUE(B917&amp;"-01"),metas!D:D, "&lt;=" &amp; DATEVALUE(B917&amp;"-01")),"")</f>
        <v>3182.813937</v>
      </c>
      <c r="K917" s="49">
        <f t="shared" si="4"/>
        <v>19723.18606</v>
      </c>
      <c r="L917" s="49">
        <f t="shared" si="6"/>
        <v>17430321.78</v>
      </c>
      <c r="M917" s="49">
        <f>IF(A917&lt;&gt;"",IF(COUNTIF(investimento!F:F, B917) &gt; 0, SUM(investimento!B:B)+I917, M916+I917),"")</f>
        <v>20764554.68</v>
      </c>
    </row>
    <row r="918" ht="22.5" customHeight="1">
      <c r="A918" s="47">
        <v>50967.0</v>
      </c>
      <c r="B918" s="48" t="str">
        <f t="shared" si="1"/>
        <v>2039-07</v>
      </c>
      <c r="C918" s="49">
        <f>SUMIF(despesas_recorrentes!C:C, "&gt;="&amp;A918,despesas_recorrentes!B:B) 
+SUMIF(despesas_recorrentes!C:C, "",despesas_recorrentes!B:B)
-despesas_recorrentes!$B$12
+IF(SUMIF(gasto_cartao!E:E,saldo!B918,gasto_cartao!B:B)&gt;despesas_recorrentes!$B$12, SUMIF(gasto_cartao!E:E,saldo!B918,gasto_cartao!B:B),despesas_recorrentes!$B$12)</f>
        <v>34013</v>
      </c>
      <c r="D918" s="51">
        <f>SUM(receitas_recorrentes!B:B)+SUMIF(receitas_pontuais!E:E,B918,receitas_pontuais!B:B)</f>
        <v>56919</v>
      </c>
      <c r="E918" s="51">
        <f t="shared" si="2"/>
        <v>22906</v>
      </c>
      <c r="F918" s="53">
        <f>IFERROR(SUMIF(contas!G:G, B918, contas!B:B),0)</f>
        <v>0</v>
      </c>
      <c r="G918" s="51">
        <f>SUMIFS(previsoes!D:D, previsoes!E:E, "&lt;=" &amp; EOMONTH(DATEVALUE(B918&amp;"-01"),0), previsoes!F:F, "&gt;=" &amp; DATEVALUE(B918&amp;"-01"))</f>
        <v>0</v>
      </c>
      <c r="H918" s="52">
        <f t="shared" si="5"/>
        <v>160491.8958</v>
      </c>
      <c r="I918" s="49">
        <f t="shared" si="3"/>
        <v>22906</v>
      </c>
      <c r="J918" s="52">
        <f>IF(A918&lt;&gt;"",SUMIFS(metas!N:N, metas!E:E, "&gt;=" &amp; DATEVALUE(B918&amp;"-01"),metas!D:D, "&lt;=" &amp; DATEVALUE(B918&amp;"-01")),"")</f>
        <v>3182.813937</v>
      </c>
      <c r="K918" s="49">
        <f t="shared" si="4"/>
        <v>19723.18606</v>
      </c>
      <c r="L918" s="49">
        <f t="shared" si="6"/>
        <v>17450044.96</v>
      </c>
      <c r="M918" s="49">
        <f>IF(A918&lt;&gt;"",IF(COUNTIF(investimento!F:F, B918) &gt; 0, SUM(investimento!B:B)+I918, M917+I918),"")</f>
        <v>20787460.68</v>
      </c>
    </row>
    <row r="919" ht="22.5" customHeight="1">
      <c r="A919" s="47">
        <v>50968.0</v>
      </c>
      <c r="B919" s="48" t="str">
        <f t="shared" si="1"/>
        <v>2039-07</v>
      </c>
      <c r="C919" s="49">
        <f>SUMIF(despesas_recorrentes!C:C, "&gt;="&amp;A919,despesas_recorrentes!B:B) 
+SUMIF(despesas_recorrentes!C:C, "",despesas_recorrentes!B:B)
-despesas_recorrentes!$B$12
+IF(SUMIF(gasto_cartao!E:E,saldo!B919,gasto_cartao!B:B)&gt;despesas_recorrentes!$B$12, SUMIF(gasto_cartao!E:E,saldo!B919,gasto_cartao!B:B),despesas_recorrentes!$B$12)</f>
        <v>34013</v>
      </c>
      <c r="D919" s="51">
        <f>SUM(receitas_recorrentes!B:B)+SUMIF(receitas_pontuais!E:E,B919,receitas_pontuais!B:B)</f>
        <v>56919</v>
      </c>
      <c r="E919" s="51">
        <f t="shared" si="2"/>
        <v>22906</v>
      </c>
      <c r="F919" s="53">
        <f>IFERROR(SUMIF(contas!G:G, B919, contas!B:B),0)</f>
        <v>0</v>
      </c>
      <c r="G919" s="51">
        <f>SUMIFS(previsoes!D:D, previsoes!E:E, "&lt;=" &amp; EOMONTH(DATEVALUE(B919&amp;"-01"),0), previsoes!F:F, "&gt;=" &amp; DATEVALUE(B919&amp;"-01"))</f>
        <v>0</v>
      </c>
      <c r="H919" s="52">
        <f t="shared" si="5"/>
        <v>160491.8958</v>
      </c>
      <c r="I919" s="49">
        <f t="shared" si="3"/>
        <v>22906</v>
      </c>
      <c r="J919" s="52">
        <f>IF(A919&lt;&gt;"",SUMIFS(metas!N:N, metas!E:E, "&gt;=" &amp; DATEVALUE(B919&amp;"-01"),metas!D:D, "&lt;=" &amp; DATEVALUE(B919&amp;"-01")),"")</f>
        <v>3182.813937</v>
      </c>
      <c r="K919" s="49">
        <f t="shared" si="4"/>
        <v>19723.18606</v>
      </c>
      <c r="L919" s="49">
        <f t="shared" si="6"/>
        <v>17469768.15</v>
      </c>
      <c r="M919" s="49">
        <f>IF(A919&lt;&gt;"",IF(COUNTIF(investimento!F:F, B919) &gt; 0, SUM(investimento!B:B)+I919, M918+I919),"")</f>
        <v>20810366.68</v>
      </c>
    </row>
    <row r="920" ht="22.5" customHeight="1">
      <c r="A920" s="47">
        <v>50969.0</v>
      </c>
      <c r="B920" s="48" t="str">
        <f t="shared" si="1"/>
        <v>2039-07</v>
      </c>
      <c r="C920" s="49">
        <f>SUMIF(despesas_recorrentes!C:C, "&gt;="&amp;A920,despesas_recorrentes!B:B) 
+SUMIF(despesas_recorrentes!C:C, "",despesas_recorrentes!B:B)
-despesas_recorrentes!$B$12
+IF(SUMIF(gasto_cartao!E:E,saldo!B920,gasto_cartao!B:B)&gt;despesas_recorrentes!$B$12, SUMIF(gasto_cartao!E:E,saldo!B920,gasto_cartao!B:B),despesas_recorrentes!$B$12)</f>
        <v>34013</v>
      </c>
      <c r="D920" s="51">
        <f>SUM(receitas_recorrentes!B:B)+SUMIF(receitas_pontuais!E:E,B920,receitas_pontuais!B:B)</f>
        <v>56919</v>
      </c>
      <c r="E920" s="51">
        <f t="shared" si="2"/>
        <v>22906</v>
      </c>
      <c r="F920" s="53">
        <f>IFERROR(SUMIF(contas!G:G, B920, contas!B:B),0)</f>
        <v>0</v>
      </c>
      <c r="G920" s="51">
        <f>SUMIFS(previsoes!D:D, previsoes!E:E, "&lt;=" &amp; EOMONTH(DATEVALUE(B920&amp;"-01"),0), previsoes!F:F, "&gt;=" &amp; DATEVALUE(B920&amp;"-01"))</f>
        <v>0</v>
      </c>
      <c r="H920" s="52">
        <f t="shared" si="5"/>
        <v>160491.8958</v>
      </c>
      <c r="I920" s="49">
        <f t="shared" si="3"/>
        <v>22906</v>
      </c>
      <c r="J920" s="52">
        <f>IF(A920&lt;&gt;"",SUMIFS(metas!N:N, metas!E:E, "&gt;=" &amp; DATEVALUE(B920&amp;"-01"),metas!D:D, "&lt;=" &amp; DATEVALUE(B920&amp;"-01")),"")</f>
        <v>3182.813937</v>
      </c>
      <c r="K920" s="49">
        <f t="shared" si="4"/>
        <v>19723.18606</v>
      </c>
      <c r="L920" s="49">
        <f t="shared" si="6"/>
        <v>17489491.33</v>
      </c>
      <c r="M920" s="49">
        <f>IF(A920&lt;&gt;"",IF(COUNTIF(investimento!F:F, B920) &gt; 0, SUM(investimento!B:B)+I920, M919+I920),"")</f>
        <v>20833272.68</v>
      </c>
    </row>
    <row r="921" ht="22.5" customHeight="1">
      <c r="A921" s="47">
        <v>50970.0</v>
      </c>
      <c r="B921" s="48" t="str">
        <f t="shared" si="1"/>
        <v>2039-07</v>
      </c>
      <c r="C921" s="49">
        <f>SUMIF(despesas_recorrentes!C:C, "&gt;="&amp;A921,despesas_recorrentes!B:B) 
+SUMIF(despesas_recorrentes!C:C, "",despesas_recorrentes!B:B)
-despesas_recorrentes!$B$12
+IF(SUMIF(gasto_cartao!E:E,saldo!B921,gasto_cartao!B:B)&gt;despesas_recorrentes!$B$12, SUMIF(gasto_cartao!E:E,saldo!B921,gasto_cartao!B:B),despesas_recorrentes!$B$12)</f>
        <v>34013</v>
      </c>
      <c r="D921" s="51">
        <f>SUM(receitas_recorrentes!B:B)+SUMIF(receitas_pontuais!E:E,B921,receitas_pontuais!B:B)</f>
        <v>56919</v>
      </c>
      <c r="E921" s="51">
        <f t="shared" si="2"/>
        <v>22906</v>
      </c>
      <c r="F921" s="53">
        <f>IFERROR(SUMIF(contas!G:G, B921, contas!B:B),0)</f>
        <v>0</v>
      </c>
      <c r="G921" s="51">
        <f>SUMIFS(previsoes!D:D, previsoes!E:E, "&lt;=" &amp; EOMONTH(DATEVALUE(B921&amp;"-01"),0), previsoes!F:F, "&gt;=" &amp; DATEVALUE(B921&amp;"-01"))</f>
        <v>0</v>
      </c>
      <c r="H921" s="52">
        <f t="shared" si="5"/>
        <v>160491.8958</v>
      </c>
      <c r="I921" s="49">
        <f t="shared" si="3"/>
        <v>22906</v>
      </c>
      <c r="J921" s="52">
        <f>IF(A921&lt;&gt;"",SUMIFS(metas!N:N, metas!E:E, "&gt;=" &amp; DATEVALUE(B921&amp;"-01"),metas!D:D, "&lt;=" &amp; DATEVALUE(B921&amp;"-01")),"")</f>
        <v>3182.813937</v>
      </c>
      <c r="K921" s="49">
        <f t="shared" si="4"/>
        <v>19723.18606</v>
      </c>
      <c r="L921" s="49">
        <f t="shared" si="6"/>
        <v>17509214.52</v>
      </c>
      <c r="M921" s="49">
        <f>IF(A921&lt;&gt;"",IF(COUNTIF(investimento!F:F, B921) &gt; 0, SUM(investimento!B:B)+I921, M920+I921),"")</f>
        <v>20856178.68</v>
      </c>
    </row>
    <row r="922" ht="22.5" customHeight="1">
      <c r="A922" s="47">
        <v>50971.0</v>
      </c>
      <c r="B922" s="48" t="str">
        <f t="shared" si="1"/>
        <v>2039-07</v>
      </c>
      <c r="C922" s="49">
        <f>SUMIF(despesas_recorrentes!C:C, "&gt;="&amp;A922,despesas_recorrentes!B:B) 
+SUMIF(despesas_recorrentes!C:C, "",despesas_recorrentes!B:B)
-despesas_recorrentes!$B$12
+IF(SUMIF(gasto_cartao!E:E,saldo!B922,gasto_cartao!B:B)&gt;despesas_recorrentes!$B$12, SUMIF(gasto_cartao!E:E,saldo!B922,gasto_cartao!B:B),despesas_recorrentes!$B$12)</f>
        <v>34013</v>
      </c>
      <c r="D922" s="51">
        <f>SUM(receitas_recorrentes!B:B)+SUMIF(receitas_pontuais!E:E,B922,receitas_pontuais!B:B)</f>
        <v>56919</v>
      </c>
      <c r="E922" s="51">
        <f t="shared" si="2"/>
        <v>22906</v>
      </c>
      <c r="F922" s="53">
        <f>IFERROR(SUMIF(contas!G:G, B922, contas!B:B),0)</f>
        <v>0</v>
      </c>
      <c r="G922" s="51">
        <f>SUMIFS(previsoes!D:D, previsoes!E:E, "&lt;=" &amp; EOMONTH(DATEVALUE(B922&amp;"-01"),0), previsoes!F:F, "&gt;=" &amp; DATEVALUE(B922&amp;"-01"))</f>
        <v>0</v>
      </c>
      <c r="H922" s="52">
        <f t="shared" si="5"/>
        <v>160491.8958</v>
      </c>
      <c r="I922" s="49">
        <f t="shared" si="3"/>
        <v>22906</v>
      </c>
      <c r="J922" s="52">
        <f>IF(A922&lt;&gt;"",SUMIFS(metas!N:N, metas!E:E, "&gt;=" &amp; DATEVALUE(B922&amp;"-01"),metas!D:D, "&lt;=" &amp; DATEVALUE(B922&amp;"-01")),"")</f>
        <v>3182.813937</v>
      </c>
      <c r="K922" s="49">
        <f t="shared" si="4"/>
        <v>19723.18606</v>
      </c>
      <c r="L922" s="49">
        <f t="shared" si="6"/>
        <v>17528937.71</v>
      </c>
      <c r="M922" s="49">
        <f>IF(A922&lt;&gt;"",IF(COUNTIF(investimento!F:F, B922) &gt; 0, SUM(investimento!B:B)+I922, M921+I922),"")</f>
        <v>20879084.68</v>
      </c>
    </row>
    <row r="923" ht="22.5" customHeight="1">
      <c r="A923" s="47">
        <v>50972.0</v>
      </c>
      <c r="B923" s="48" t="str">
        <f t="shared" si="1"/>
        <v>2039-07</v>
      </c>
      <c r="C923" s="49">
        <f>SUMIF(despesas_recorrentes!C:C, "&gt;="&amp;A923,despesas_recorrentes!B:B) 
+SUMIF(despesas_recorrentes!C:C, "",despesas_recorrentes!B:B)
-despesas_recorrentes!$B$12
+IF(SUMIF(gasto_cartao!E:E,saldo!B923,gasto_cartao!B:B)&gt;despesas_recorrentes!$B$12, SUMIF(gasto_cartao!E:E,saldo!B923,gasto_cartao!B:B),despesas_recorrentes!$B$12)</f>
        <v>34013</v>
      </c>
      <c r="D923" s="51">
        <f>SUM(receitas_recorrentes!B:B)+SUMIF(receitas_pontuais!E:E,B923,receitas_pontuais!B:B)</f>
        <v>56919</v>
      </c>
      <c r="E923" s="51">
        <f t="shared" si="2"/>
        <v>22906</v>
      </c>
      <c r="F923" s="53">
        <f>IFERROR(SUMIF(contas!G:G, B923, contas!B:B),0)</f>
        <v>0</v>
      </c>
      <c r="G923" s="51">
        <f>SUMIFS(previsoes!D:D, previsoes!E:E, "&lt;=" &amp; EOMONTH(DATEVALUE(B923&amp;"-01"),0), previsoes!F:F, "&gt;=" &amp; DATEVALUE(B923&amp;"-01"))</f>
        <v>0</v>
      </c>
      <c r="H923" s="52">
        <f t="shared" si="5"/>
        <v>160491.8958</v>
      </c>
      <c r="I923" s="49">
        <f t="shared" si="3"/>
        <v>22906</v>
      </c>
      <c r="J923" s="52">
        <f>IF(A923&lt;&gt;"",SUMIFS(metas!N:N, metas!E:E, "&gt;=" &amp; DATEVALUE(B923&amp;"-01"),metas!D:D, "&lt;=" &amp; DATEVALUE(B923&amp;"-01")),"")</f>
        <v>3182.813937</v>
      </c>
      <c r="K923" s="49">
        <f t="shared" si="4"/>
        <v>19723.18606</v>
      </c>
      <c r="L923" s="49">
        <f t="shared" si="6"/>
        <v>17548660.89</v>
      </c>
      <c r="M923" s="49">
        <f>IF(A923&lt;&gt;"",IF(COUNTIF(investimento!F:F, B923) &gt; 0, SUM(investimento!B:B)+I923, M922+I923),"")</f>
        <v>20901990.68</v>
      </c>
    </row>
    <row r="924" ht="22.5" customHeight="1">
      <c r="A924" s="47">
        <v>50973.0</v>
      </c>
      <c r="B924" s="48" t="str">
        <f t="shared" si="1"/>
        <v>2039-07</v>
      </c>
      <c r="C924" s="49">
        <f>SUMIF(despesas_recorrentes!C:C, "&gt;="&amp;A924,despesas_recorrentes!B:B) 
+SUMIF(despesas_recorrentes!C:C, "",despesas_recorrentes!B:B)
-despesas_recorrentes!$B$12
+IF(SUMIF(gasto_cartao!E:E,saldo!B924,gasto_cartao!B:B)&gt;despesas_recorrentes!$B$12, SUMIF(gasto_cartao!E:E,saldo!B924,gasto_cartao!B:B),despesas_recorrentes!$B$12)</f>
        <v>34013</v>
      </c>
      <c r="D924" s="51">
        <f>SUM(receitas_recorrentes!B:B)+SUMIF(receitas_pontuais!E:E,B924,receitas_pontuais!B:B)</f>
        <v>56919</v>
      </c>
      <c r="E924" s="51">
        <f t="shared" si="2"/>
        <v>22906</v>
      </c>
      <c r="F924" s="53">
        <f>IFERROR(SUMIF(contas!G:G, B924, contas!B:B),0)</f>
        <v>0</v>
      </c>
      <c r="G924" s="51">
        <f>SUMIFS(previsoes!D:D, previsoes!E:E, "&lt;=" &amp; EOMONTH(DATEVALUE(B924&amp;"-01"),0), previsoes!F:F, "&gt;=" &amp; DATEVALUE(B924&amp;"-01"))</f>
        <v>0</v>
      </c>
      <c r="H924" s="52">
        <f t="shared" si="5"/>
        <v>160491.8958</v>
      </c>
      <c r="I924" s="49">
        <f t="shared" si="3"/>
        <v>22906</v>
      </c>
      <c r="J924" s="52">
        <f>IF(A924&lt;&gt;"",SUMIFS(metas!N:N, metas!E:E, "&gt;=" &amp; DATEVALUE(B924&amp;"-01"),metas!D:D, "&lt;=" &amp; DATEVALUE(B924&amp;"-01")),"")</f>
        <v>3182.813937</v>
      </c>
      <c r="K924" s="49">
        <f t="shared" si="4"/>
        <v>19723.18606</v>
      </c>
      <c r="L924" s="49">
        <f t="shared" si="6"/>
        <v>17568384.08</v>
      </c>
      <c r="M924" s="49">
        <f>IF(A924&lt;&gt;"",IF(COUNTIF(investimento!F:F, B924) &gt; 0, SUM(investimento!B:B)+I924, M923+I924),"")</f>
        <v>20924896.68</v>
      </c>
    </row>
    <row r="925" ht="22.5" customHeight="1">
      <c r="A925" s="47">
        <v>50974.0</v>
      </c>
      <c r="B925" s="48" t="str">
        <f t="shared" si="1"/>
        <v>2039-07</v>
      </c>
      <c r="C925" s="49">
        <f>SUMIF(despesas_recorrentes!C:C, "&gt;="&amp;A925,despesas_recorrentes!B:B) 
+SUMIF(despesas_recorrentes!C:C, "",despesas_recorrentes!B:B)
-despesas_recorrentes!$B$12
+IF(SUMIF(gasto_cartao!E:E,saldo!B925,gasto_cartao!B:B)&gt;despesas_recorrentes!$B$12, SUMIF(gasto_cartao!E:E,saldo!B925,gasto_cartao!B:B),despesas_recorrentes!$B$12)</f>
        <v>34013</v>
      </c>
      <c r="D925" s="51">
        <f>SUM(receitas_recorrentes!B:B)+SUMIF(receitas_pontuais!E:E,B925,receitas_pontuais!B:B)</f>
        <v>56919</v>
      </c>
      <c r="E925" s="51">
        <f t="shared" si="2"/>
        <v>22906</v>
      </c>
      <c r="F925" s="53">
        <f>IFERROR(SUMIF(contas!G:G, B925, contas!B:B),0)</f>
        <v>0</v>
      </c>
      <c r="G925" s="51">
        <f>SUMIFS(previsoes!D:D, previsoes!E:E, "&lt;=" &amp; EOMONTH(DATEVALUE(B925&amp;"-01"),0), previsoes!F:F, "&gt;=" &amp; DATEVALUE(B925&amp;"-01"))</f>
        <v>0</v>
      </c>
      <c r="H925" s="52">
        <f t="shared" si="5"/>
        <v>160491.8958</v>
      </c>
      <c r="I925" s="49">
        <f t="shared" si="3"/>
        <v>22906</v>
      </c>
      <c r="J925" s="52">
        <f>IF(A925&lt;&gt;"",SUMIFS(metas!N:N, metas!E:E, "&gt;=" &amp; DATEVALUE(B925&amp;"-01"),metas!D:D, "&lt;=" &amp; DATEVALUE(B925&amp;"-01")),"")</f>
        <v>3182.813937</v>
      </c>
      <c r="K925" s="49">
        <f t="shared" si="4"/>
        <v>19723.18606</v>
      </c>
      <c r="L925" s="49">
        <f t="shared" si="6"/>
        <v>17588107.26</v>
      </c>
      <c r="M925" s="49">
        <f>IF(A925&lt;&gt;"",IF(COUNTIF(investimento!F:F, B925) &gt; 0, SUM(investimento!B:B)+I925, M924+I925),"")</f>
        <v>20947802.68</v>
      </c>
    </row>
    <row r="926" ht="22.5" customHeight="1">
      <c r="A926" s="47">
        <v>50975.0</v>
      </c>
      <c r="B926" s="48" t="str">
        <f t="shared" si="1"/>
        <v>2039-07</v>
      </c>
      <c r="C926" s="49">
        <f>SUMIF(despesas_recorrentes!C:C, "&gt;="&amp;A926,despesas_recorrentes!B:B) 
+SUMIF(despesas_recorrentes!C:C, "",despesas_recorrentes!B:B)
-despesas_recorrentes!$B$12
+IF(SUMIF(gasto_cartao!E:E,saldo!B926,gasto_cartao!B:B)&gt;despesas_recorrentes!$B$12, SUMIF(gasto_cartao!E:E,saldo!B926,gasto_cartao!B:B),despesas_recorrentes!$B$12)</f>
        <v>34013</v>
      </c>
      <c r="D926" s="51">
        <f>SUM(receitas_recorrentes!B:B)+SUMIF(receitas_pontuais!E:E,B926,receitas_pontuais!B:B)</f>
        <v>56919</v>
      </c>
      <c r="E926" s="51">
        <f t="shared" si="2"/>
        <v>22906</v>
      </c>
      <c r="F926" s="53">
        <f>IFERROR(SUMIF(contas!G:G, B926, contas!B:B),0)</f>
        <v>0</v>
      </c>
      <c r="G926" s="51">
        <f>SUMIFS(previsoes!D:D, previsoes!E:E, "&lt;=" &amp; EOMONTH(DATEVALUE(B926&amp;"-01"),0), previsoes!F:F, "&gt;=" &amp; DATEVALUE(B926&amp;"-01"))</f>
        <v>0</v>
      </c>
      <c r="H926" s="52">
        <f t="shared" si="5"/>
        <v>160491.8958</v>
      </c>
      <c r="I926" s="49">
        <f t="shared" si="3"/>
        <v>22906</v>
      </c>
      <c r="J926" s="52">
        <f>IF(A926&lt;&gt;"",SUMIFS(metas!N:N, metas!E:E, "&gt;=" &amp; DATEVALUE(B926&amp;"-01"),metas!D:D, "&lt;=" &amp; DATEVALUE(B926&amp;"-01")),"")</f>
        <v>3182.813937</v>
      </c>
      <c r="K926" s="49">
        <f t="shared" si="4"/>
        <v>19723.18606</v>
      </c>
      <c r="L926" s="49">
        <f t="shared" si="6"/>
        <v>17607830.45</v>
      </c>
      <c r="M926" s="49">
        <f>IF(A926&lt;&gt;"",IF(COUNTIF(investimento!F:F, B926) &gt; 0, SUM(investimento!B:B)+I926, M925+I926),"")</f>
        <v>20970708.68</v>
      </c>
    </row>
    <row r="927" ht="22.5" customHeight="1">
      <c r="A927" s="47">
        <v>50976.0</v>
      </c>
      <c r="B927" s="48" t="str">
        <f t="shared" si="1"/>
        <v>2039-07</v>
      </c>
      <c r="C927" s="49">
        <f>SUMIF(despesas_recorrentes!C:C, "&gt;="&amp;A927,despesas_recorrentes!B:B) 
+SUMIF(despesas_recorrentes!C:C, "",despesas_recorrentes!B:B)
-despesas_recorrentes!$B$12
+IF(SUMIF(gasto_cartao!E:E,saldo!B927,gasto_cartao!B:B)&gt;despesas_recorrentes!$B$12, SUMIF(gasto_cartao!E:E,saldo!B927,gasto_cartao!B:B),despesas_recorrentes!$B$12)</f>
        <v>34013</v>
      </c>
      <c r="D927" s="51">
        <f>SUM(receitas_recorrentes!B:B)+SUMIF(receitas_pontuais!E:E,B927,receitas_pontuais!B:B)</f>
        <v>56919</v>
      </c>
      <c r="E927" s="51">
        <f t="shared" si="2"/>
        <v>22906</v>
      </c>
      <c r="F927" s="53">
        <f>IFERROR(SUMIF(contas!G:G, B927, contas!B:B),0)</f>
        <v>0</v>
      </c>
      <c r="G927" s="51">
        <f>SUMIFS(previsoes!D:D, previsoes!E:E, "&lt;=" &amp; EOMONTH(DATEVALUE(B927&amp;"-01"),0), previsoes!F:F, "&gt;=" &amp; DATEVALUE(B927&amp;"-01"))</f>
        <v>0</v>
      </c>
      <c r="H927" s="52">
        <f t="shared" si="5"/>
        <v>160491.8958</v>
      </c>
      <c r="I927" s="49">
        <f t="shared" si="3"/>
        <v>22906</v>
      </c>
      <c r="J927" s="52">
        <f>IF(A927&lt;&gt;"",SUMIFS(metas!N:N, metas!E:E, "&gt;=" &amp; DATEVALUE(B927&amp;"-01"),metas!D:D, "&lt;=" &amp; DATEVALUE(B927&amp;"-01")),"")</f>
        <v>3182.813937</v>
      </c>
      <c r="K927" s="49">
        <f t="shared" si="4"/>
        <v>19723.18606</v>
      </c>
      <c r="L927" s="49">
        <f t="shared" si="6"/>
        <v>17627553.64</v>
      </c>
      <c r="M927" s="49">
        <f>IF(A927&lt;&gt;"",IF(COUNTIF(investimento!F:F, B927) &gt; 0, SUM(investimento!B:B)+I927, M926+I927),"")</f>
        <v>20993614.68</v>
      </c>
    </row>
    <row r="928" ht="22.5" customHeight="1">
      <c r="A928" s="47">
        <v>50977.0</v>
      </c>
      <c r="B928" s="48" t="str">
        <f t="shared" si="1"/>
        <v>2039-07</v>
      </c>
      <c r="C928" s="49">
        <f>SUMIF(despesas_recorrentes!C:C, "&gt;="&amp;A928,despesas_recorrentes!B:B) 
+SUMIF(despesas_recorrentes!C:C, "",despesas_recorrentes!B:B)
-despesas_recorrentes!$B$12
+IF(SUMIF(gasto_cartao!E:E,saldo!B928,gasto_cartao!B:B)&gt;despesas_recorrentes!$B$12, SUMIF(gasto_cartao!E:E,saldo!B928,gasto_cartao!B:B),despesas_recorrentes!$B$12)</f>
        <v>34013</v>
      </c>
      <c r="D928" s="51">
        <f>SUM(receitas_recorrentes!B:B)+SUMIF(receitas_pontuais!E:E,B928,receitas_pontuais!B:B)</f>
        <v>56919</v>
      </c>
      <c r="E928" s="51">
        <f t="shared" si="2"/>
        <v>22906</v>
      </c>
      <c r="F928" s="53">
        <f>IFERROR(SUMIF(contas!G:G, B928, contas!B:B),0)</f>
        <v>0</v>
      </c>
      <c r="G928" s="51">
        <f>SUMIFS(previsoes!D:D, previsoes!E:E, "&lt;=" &amp; EOMONTH(DATEVALUE(B928&amp;"-01"),0), previsoes!F:F, "&gt;=" &amp; DATEVALUE(B928&amp;"-01"))</f>
        <v>0</v>
      </c>
      <c r="H928" s="52">
        <f t="shared" si="5"/>
        <v>160491.8958</v>
      </c>
      <c r="I928" s="49">
        <f t="shared" si="3"/>
        <v>22906</v>
      </c>
      <c r="J928" s="52">
        <f>IF(A928&lt;&gt;"",SUMIFS(metas!N:N, metas!E:E, "&gt;=" &amp; DATEVALUE(B928&amp;"-01"),metas!D:D, "&lt;=" &amp; DATEVALUE(B928&amp;"-01")),"")</f>
        <v>3182.813937</v>
      </c>
      <c r="K928" s="49">
        <f t="shared" si="4"/>
        <v>19723.18606</v>
      </c>
      <c r="L928" s="49">
        <f t="shared" si="6"/>
        <v>17647276.82</v>
      </c>
      <c r="M928" s="49">
        <f>IF(A928&lt;&gt;"",IF(COUNTIF(investimento!F:F, B928) &gt; 0, SUM(investimento!B:B)+I928, M927+I928),"")</f>
        <v>21016520.68</v>
      </c>
    </row>
    <row r="929" ht="22.5" customHeight="1">
      <c r="A929" s="47">
        <v>50978.0</v>
      </c>
      <c r="B929" s="48" t="str">
        <f t="shared" si="1"/>
        <v>2039-07</v>
      </c>
      <c r="C929" s="49">
        <f>SUMIF(despesas_recorrentes!C:C, "&gt;="&amp;A929,despesas_recorrentes!B:B) 
+SUMIF(despesas_recorrentes!C:C, "",despesas_recorrentes!B:B)
-despesas_recorrentes!$B$12
+IF(SUMIF(gasto_cartao!E:E,saldo!B929,gasto_cartao!B:B)&gt;despesas_recorrentes!$B$12, SUMIF(gasto_cartao!E:E,saldo!B929,gasto_cartao!B:B),despesas_recorrentes!$B$12)</f>
        <v>34013</v>
      </c>
      <c r="D929" s="51">
        <f>SUM(receitas_recorrentes!B:B)+SUMIF(receitas_pontuais!E:E,B929,receitas_pontuais!B:B)</f>
        <v>56919</v>
      </c>
      <c r="E929" s="51">
        <f t="shared" si="2"/>
        <v>22906</v>
      </c>
      <c r="F929" s="53">
        <f>IFERROR(SUMIF(contas!G:G, B929, contas!B:B),0)</f>
        <v>0</v>
      </c>
      <c r="G929" s="51">
        <f>SUMIFS(previsoes!D:D, previsoes!E:E, "&lt;=" &amp; EOMONTH(DATEVALUE(B929&amp;"-01"),0), previsoes!F:F, "&gt;=" &amp; DATEVALUE(B929&amp;"-01"))</f>
        <v>0</v>
      </c>
      <c r="H929" s="52">
        <f t="shared" si="5"/>
        <v>160491.8958</v>
      </c>
      <c r="I929" s="49">
        <f t="shared" si="3"/>
        <v>22906</v>
      </c>
      <c r="J929" s="52">
        <f>IF(A929&lt;&gt;"",SUMIFS(metas!N:N, metas!E:E, "&gt;=" &amp; DATEVALUE(B929&amp;"-01"),metas!D:D, "&lt;=" &amp; DATEVALUE(B929&amp;"-01")),"")</f>
        <v>3182.813937</v>
      </c>
      <c r="K929" s="49">
        <f t="shared" si="4"/>
        <v>19723.18606</v>
      </c>
      <c r="L929" s="49">
        <f t="shared" si="6"/>
        <v>17667000.01</v>
      </c>
      <c r="M929" s="49">
        <f>IF(A929&lt;&gt;"",IF(COUNTIF(investimento!F:F, B929) &gt; 0, SUM(investimento!B:B)+I929, M928+I929),"")</f>
        <v>21039426.68</v>
      </c>
    </row>
    <row r="930" ht="22.5" customHeight="1">
      <c r="A930" s="47">
        <v>50979.0</v>
      </c>
      <c r="B930" s="48" t="str">
        <f t="shared" si="1"/>
        <v>2039-07</v>
      </c>
      <c r="C930" s="49">
        <f>SUMIF(despesas_recorrentes!C:C, "&gt;="&amp;A930,despesas_recorrentes!B:B) 
+SUMIF(despesas_recorrentes!C:C, "",despesas_recorrentes!B:B)
-despesas_recorrentes!$B$12
+IF(SUMIF(gasto_cartao!E:E,saldo!B930,gasto_cartao!B:B)&gt;despesas_recorrentes!$B$12, SUMIF(gasto_cartao!E:E,saldo!B930,gasto_cartao!B:B),despesas_recorrentes!$B$12)</f>
        <v>34013</v>
      </c>
      <c r="D930" s="51">
        <f>SUM(receitas_recorrentes!B:B)+SUMIF(receitas_pontuais!E:E,B930,receitas_pontuais!B:B)</f>
        <v>56919</v>
      </c>
      <c r="E930" s="51">
        <f t="shared" si="2"/>
        <v>22906</v>
      </c>
      <c r="F930" s="53">
        <f>IFERROR(SUMIF(contas!G:G, B930, contas!B:B),0)</f>
        <v>0</v>
      </c>
      <c r="G930" s="51">
        <f>SUMIFS(previsoes!D:D, previsoes!E:E, "&lt;=" &amp; EOMONTH(DATEVALUE(B930&amp;"-01"),0), previsoes!F:F, "&gt;=" &amp; DATEVALUE(B930&amp;"-01"))</f>
        <v>0</v>
      </c>
      <c r="H930" s="52">
        <f t="shared" si="5"/>
        <v>160491.8958</v>
      </c>
      <c r="I930" s="49">
        <f t="shared" si="3"/>
        <v>22906</v>
      </c>
      <c r="J930" s="52">
        <f>IF(A930&lt;&gt;"",SUMIFS(metas!N:N, metas!E:E, "&gt;=" &amp; DATEVALUE(B930&amp;"-01"),metas!D:D, "&lt;=" &amp; DATEVALUE(B930&amp;"-01")),"")</f>
        <v>3182.813937</v>
      </c>
      <c r="K930" s="49">
        <f t="shared" si="4"/>
        <v>19723.18606</v>
      </c>
      <c r="L930" s="49">
        <f t="shared" si="6"/>
        <v>17686723.2</v>
      </c>
      <c r="M930" s="49">
        <f>IF(A930&lt;&gt;"",IF(COUNTIF(investimento!F:F, B930) &gt; 0, SUM(investimento!B:B)+I930, M929+I930),"")</f>
        <v>21062332.68</v>
      </c>
    </row>
    <row r="931" ht="22.5" customHeight="1">
      <c r="A931" s="47">
        <v>50980.0</v>
      </c>
      <c r="B931" s="48" t="str">
        <f t="shared" si="1"/>
        <v>2039-07</v>
      </c>
      <c r="C931" s="49">
        <f>SUMIF(despesas_recorrentes!C:C, "&gt;="&amp;A931,despesas_recorrentes!B:B) 
+SUMIF(despesas_recorrentes!C:C, "",despesas_recorrentes!B:B)
-despesas_recorrentes!$B$12
+IF(SUMIF(gasto_cartao!E:E,saldo!B931,gasto_cartao!B:B)&gt;despesas_recorrentes!$B$12, SUMIF(gasto_cartao!E:E,saldo!B931,gasto_cartao!B:B),despesas_recorrentes!$B$12)</f>
        <v>34013</v>
      </c>
      <c r="D931" s="51">
        <f>SUM(receitas_recorrentes!B:B)+SUMIF(receitas_pontuais!E:E,B931,receitas_pontuais!B:B)</f>
        <v>56919</v>
      </c>
      <c r="E931" s="51">
        <f t="shared" si="2"/>
        <v>22906</v>
      </c>
      <c r="F931" s="53">
        <f>IFERROR(SUMIF(contas!G:G, B931, contas!B:B),0)</f>
        <v>0</v>
      </c>
      <c r="G931" s="51">
        <f>SUMIFS(previsoes!D:D, previsoes!E:E, "&lt;=" &amp; EOMONTH(DATEVALUE(B931&amp;"-01"),0), previsoes!F:F, "&gt;=" &amp; DATEVALUE(B931&amp;"-01"))</f>
        <v>0</v>
      </c>
      <c r="H931" s="52">
        <f t="shared" si="5"/>
        <v>160491.8958</v>
      </c>
      <c r="I931" s="49">
        <f t="shared" si="3"/>
        <v>22906</v>
      </c>
      <c r="J931" s="52">
        <f>IF(A931&lt;&gt;"",SUMIFS(metas!N:N, metas!E:E, "&gt;=" &amp; DATEVALUE(B931&amp;"-01"),metas!D:D, "&lt;=" &amp; DATEVALUE(B931&amp;"-01")),"")</f>
        <v>3182.813937</v>
      </c>
      <c r="K931" s="49">
        <f t="shared" si="4"/>
        <v>19723.18606</v>
      </c>
      <c r="L931" s="49">
        <f t="shared" si="6"/>
        <v>17706446.38</v>
      </c>
      <c r="M931" s="49">
        <f>IF(A931&lt;&gt;"",IF(COUNTIF(investimento!F:F, B931) &gt; 0, SUM(investimento!B:B)+I931, M930+I931),"")</f>
        <v>21085238.68</v>
      </c>
    </row>
    <row r="932" ht="22.5" customHeight="1">
      <c r="A932" s="47">
        <v>50981.0</v>
      </c>
      <c r="B932" s="48" t="str">
        <f t="shared" si="1"/>
        <v>2039-07</v>
      </c>
      <c r="C932" s="49">
        <f>SUMIF(despesas_recorrentes!C:C, "&gt;="&amp;A932,despesas_recorrentes!B:B) 
+SUMIF(despesas_recorrentes!C:C, "",despesas_recorrentes!B:B)
-despesas_recorrentes!$B$12
+IF(SUMIF(gasto_cartao!E:E,saldo!B932,gasto_cartao!B:B)&gt;despesas_recorrentes!$B$12, SUMIF(gasto_cartao!E:E,saldo!B932,gasto_cartao!B:B),despesas_recorrentes!$B$12)</f>
        <v>34013</v>
      </c>
      <c r="D932" s="51">
        <f>SUM(receitas_recorrentes!B:B)+SUMIF(receitas_pontuais!E:E,B932,receitas_pontuais!B:B)</f>
        <v>56919</v>
      </c>
      <c r="E932" s="51">
        <f t="shared" si="2"/>
        <v>22906</v>
      </c>
      <c r="F932" s="53">
        <f>IFERROR(SUMIF(contas!G:G, B932, contas!B:B),0)</f>
        <v>0</v>
      </c>
      <c r="G932" s="51">
        <f>SUMIFS(previsoes!D:D, previsoes!E:E, "&lt;=" &amp; EOMONTH(DATEVALUE(B932&amp;"-01"),0), previsoes!F:F, "&gt;=" &amp; DATEVALUE(B932&amp;"-01"))</f>
        <v>0</v>
      </c>
      <c r="H932" s="52">
        <f t="shared" si="5"/>
        <v>160491.8958</v>
      </c>
      <c r="I932" s="49">
        <f t="shared" si="3"/>
        <v>22906</v>
      </c>
      <c r="J932" s="52">
        <f>IF(A932&lt;&gt;"",SUMIFS(metas!N:N, metas!E:E, "&gt;=" &amp; DATEVALUE(B932&amp;"-01"),metas!D:D, "&lt;=" &amp; DATEVALUE(B932&amp;"-01")),"")</f>
        <v>3182.813937</v>
      </c>
      <c r="K932" s="49">
        <f t="shared" si="4"/>
        <v>19723.18606</v>
      </c>
      <c r="L932" s="49">
        <f t="shared" si="6"/>
        <v>17726169.57</v>
      </c>
      <c r="M932" s="49">
        <f>IF(A932&lt;&gt;"",IF(COUNTIF(investimento!F:F, B932) &gt; 0, SUM(investimento!B:B)+I932, M931+I932),"")</f>
        <v>21108144.68</v>
      </c>
    </row>
    <row r="933" ht="22.5" customHeight="1">
      <c r="A933" s="47">
        <v>50982.0</v>
      </c>
      <c r="B933" s="48" t="str">
        <f t="shared" si="1"/>
        <v>2039-07</v>
      </c>
      <c r="C933" s="49">
        <f>SUMIF(despesas_recorrentes!C:C, "&gt;="&amp;A933,despesas_recorrentes!B:B) 
+SUMIF(despesas_recorrentes!C:C, "",despesas_recorrentes!B:B)
-despesas_recorrentes!$B$12
+IF(SUMIF(gasto_cartao!E:E,saldo!B933,gasto_cartao!B:B)&gt;despesas_recorrentes!$B$12, SUMIF(gasto_cartao!E:E,saldo!B933,gasto_cartao!B:B),despesas_recorrentes!$B$12)</f>
        <v>34013</v>
      </c>
      <c r="D933" s="51">
        <f>SUM(receitas_recorrentes!B:B)+SUMIF(receitas_pontuais!E:E,B933,receitas_pontuais!B:B)</f>
        <v>56919</v>
      </c>
      <c r="E933" s="51">
        <f t="shared" si="2"/>
        <v>22906</v>
      </c>
      <c r="F933" s="53">
        <f>IFERROR(SUMIF(contas!G:G, B933, contas!B:B),0)</f>
        <v>0</v>
      </c>
      <c r="G933" s="51">
        <f>SUMIFS(previsoes!D:D, previsoes!E:E, "&lt;=" &amp; EOMONTH(DATEVALUE(B933&amp;"-01"),0), previsoes!F:F, "&gt;=" &amp; DATEVALUE(B933&amp;"-01"))</f>
        <v>0</v>
      </c>
      <c r="H933" s="52">
        <f t="shared" si="5"/>
        <v>160491.8958</v>
      </c>
      <c r="I933" s="49">
        <f t="shared" si="3"/>
        <v>22906</v>
      </c>
      <c r="J933" s="52">
        <f>IF(A933&lt;&gt;"",SUMIFS(metas!N:N, metas!E:E, "&gt;=" &amp; DATEVALUE(B933&amp;"-01"),metas!D:D, "&lt;=" &amp; DATEVALUE(B933&amp;"-01")),"")</f>
        <v>3182.813937</v>
      </c>
      <c r="K933" s="49">
        <f t="shared" si="4"/>
        <v>19723.18606</v>
      </c>
      <c r="L933" s="49">
        <f t="shared" si="6"/>
        <v>17745892.75</v>
      </c>
      <c r="M933" s="49">
        <f>IF(A933&lt;&gt;"",IF(COUNTIF(investimento!F:F, B933) &gt; 0, SUM(investimento!B:B)+I933, M932+I933),"")</f>
        <v>21131050.68</v>
      </c>
    </row>
    <row r="934" ht="22.5" customHeight="1">
      <c r="A934" s="47">
        <v>50983.0</v>
      </c>
      <c r="B934" s="48" t="str">
        <f t="shared" si="1"/>
        <v>2039-08</v>
      </c>
      <c r="C934" s="49">
        <f>SUMIF(despesas_recorrentes!C:C, "&gt;="&amp;A934,despesas_recorrentes!B:B) 
+SUMIF(despesas_recorrentes!C:C, "",despesas_recorrentes!B:B)
-despesas_recorrentes!$B$12
+IF(SUMIF(gasto_cartao!E:E,saldo!B934,gasto_cartao!B:B)&gt;despesas_recorrentes!$B$12, SUMIF(gasto_cartao!E:E,saldo!B934,gasto_cartao!B:B),despesas_recorrentes!$B$12)</f>
        <v>34013</v>
      </c>
      <c r="D934" s="51">
        <f>SUM(receitas_recorrentes!B:B)+SUMIF(receitas_pontuais!E:E,B934,receitas_pontuais!B:B)</f>
        <v>56919</v>
      </c>
      <c r="E934" s="51">
        <f t="shared" si="2"/>
        <v>22906</v>
      </c>
      <c r="F934" s="53">
        <f>IFERROR(SUMIF(contas!G:G, B934, contas!B:B),0)</f>
        <v>0</v>
      </c>
      <c r="G934" s="51">
        <f>SUMIFS(previsoes!D:D, previsoes!E:E, "&lt;=" &amp; EOMONTH(DATEVALUE(B934&amp;"-01"),0), previsoes!F:F, "&gt;=" &amp; DATEVALUE(B934&amp;"-01"))</f>
        <v>0</v>
      </c>
      <c r="H934" s="52">
        <f t="shared" si="5"/>
        <v>160491.8958</v>
      </c>
      <c r="I934" s="49">
        <f t="shared" si="3"/>
        <v>22906</v>
      </c>
      <c r="J934" s="52">
        <f>IF(A934&lt;&gt;"",SUMIFS(metas!N:N, metas!E:E, "&gt;=" &amp; DATEVALUE(B934&amp;"-01"),metas!D:D, "&lt;=" &amp; DATEVALUE(B934&amp;"-01")),"")</f>
        <v>3182.813937</v>
      </c>
      <c r="K934" s="49">
        <f t="shared" si="4"/>
        <v>19723.18606</v>
      </c>
      <c r="L934" s="49">
        <f t="shared" si="6"/>
        <v>17765615.94</v>
      </c>
      <c r="M934" s="49">
        <f>IF(A934&lt;&gt;"",IF(COUNTIF(investimento!F:F, B934) &gt; 0, SUM(investimento!B:B)+I934, M933+I934),"")</f>
        <v>21153956.68</v>
      </c>
    </row>
    <row r="935" ht="22.5" customHeight="1">
      <c r="A935" s="47">
        <v>50984.0</v>
      </c>
      <c r="B935" s="48" t="str">
        <f t="shared" si="1"/>
        <v>2039-08</v>
      </c>
      <c r="C935" s="49">
        <f>SUMIF(despesas_recorrentes!C:C, "&gt;="&amp;A935,despesas_recorrentes!B:B) 
+SUMIF(despesas_recorrentes!C:C, "",despesas_recorrentes!B:B)
-despesas_recorrentes!$B$12
+IF(SUMIF(gasto_cartao!E:E,saldo!B935,gasto_cartao!B:B)&gt;despesas_recorrentes!$B$12, SUMIF(gasto_cartao!E:E,saldo!B935,gasto_cartao!B:B),despesas_recorrentes!$B$12)</f>
        <v>34013</v>
      </c>
      <c r="D935" s="51">
        <f>SUM(receitas_recorrentes!B:B)+SUMIF(receitas_pontuais!E:E,B935,receitas_pontuais!B:B)</f>
        <v>56919</v>
      </c>
      <c r="E935" s="51">
        <f t="shared" si="2"/>
        <v>22906</v>
      </c>
      <c r="F935" s="53">
        <f>IFERROR(SUMIF(contas!G:G, B935, contas!B:B),0)</f>
        <v>0</v>
      </c>
      <c r="G935" s="51">
        <f>SUMIFS(previsoes!D:D, previsoes!E:E, "&lt;=" &amp; EOMONTH(DATEVALUE(B935&amp;"-01"),0), previsoes!F:F, "&gt;=" &amp; DATEVALUE(B935&amp;"-01"))</f>
        <v>0</v>
      </c>
      <c r="H935" s="52">
        <f t="shared" si="5"/>
        <v>160491.8958</v>
      </c>
      <c r="I935" s="49">
        <f t="shared" si="3"/>
        <v>22906</v>
      </c>
      <c r="J935" s="52">
        <f>IF(A935&lt;&gt;"",SUMIFS(metas!N:N, metas!E:E, "&gt;=" &amp; DATEVALUE(B935&amp;"-01"),metas!D:D, "&lt;=" &amp; DATEVALUE(B935&amp;"-01")),"")</f>
        <v>3182.813937</v>
      </c>
      <c r="K935" s="49">
        <f t="shared" si="4"/>
        <v>19723.18606</v>
      </c>
      <c r="L935" s="49">
        <f t="shared" si="6"/>
        <v>17785339.13</v>
      </c>
      <c r="M935" s="49">
        <f>IF(A935&lt;&gt;"",IF(COUNTIF(investimento!F:F, B935) &gt; 0, SUM(investimento!B:B)+I935, M934+I935),"")</f>
        <v>21176862.68</v>
      </c>
    </row>
    <row r="936" ht="22.5" customHeight="1">
      <c r="A936" s="47">
        <v>50985.0</v>
      </c>
      <c r="B936" s="48" t="str">
        <f t="shared" si="1"/>
        <v>2039-08</v>
      </c>
      <c r="C936" s="49">
        <f>SUMIF(despesas_recorrentes!C:C, "&gt;="&amp;A936,despesas_recorrentes!B:B) 
+SUMIF(despesas_recorrentes!C:C, "",despesas_recorrentes!B:B)
-despesas_recorrentes!$B$12
+IF(SUMIF(gasto_cartao!E:E,saldo!B936,gasto_cartao!B:B)&gt;despesas_recorrentes!$B$12, SUMIF(gasto_cartao!E:E,saldo!B936,gasto_cartao!B:B),despesas_recorrentes!$B$12)</f>
        <v>34013</v>
      </c>
      <c r="D936" s="51">
        <f>SUM(receitas_recorrentes!B:B)+SUMIF(receitas_pontuais!E:E,B936,receitas_pontuais!B:B)</f>
        <v>56919</v>
      </c>
      <c r="E936" s="51">
        <f t="shared" si="2"/>
        <v>22906</v>
      </c>
      <c r="F936" s="53">
        <f>IFERROR(SUMIF(contas!G:G, B936, contas!B:B),0)</f>
        <v>0</v>
      </c>
      <c r="G936" s="51">
        <f>SUMIFS(previsoes!D:D, previsoes!E:E, "&lt;=" &amp; EOMONTH(DATEVALUE(B936&amp;"-01"),0), previsoes!F:F, "&gt;=" &amp; DATEVALUE(B936&amp;"-01"))</f>
        <v>0</v>
      </c>
      <c r="H936" s="52">
        <f t="shared" si="5"/>
        <v>160491.8958</v>
      </c>
      <c r="I936" s="49">
        <f t="shared" si="3"/>
        <v>22906</v>
      </c>
      <c r="J936" s="52">
        <f>IF(A936&lt;&gt;"",SUMIFS(metas!N:N, metas!E:E, "&gt;=" &amp; DATEVALUE(B936&amp;"-01"),metas!D:D, "&lt;=" &amp; DATEVALUE(B936&amp;"-01")),"")</f>
        <v>3182.813937</v>
      </c>
      <c r="K936" s="49">
        <f t="shared" si="4"/>
        <v>19723.18606</v>
      </c>
      <c r="L936" s="49">
        <f t="shared" si="6"/>
        <v>17805062.31</v>
      </c>
      <c r="M936" s="49">
        <f>IF(A936&lt;&gt;"",IF(COUNTIF(investimento!F:F, B936) &gt; 0, SUM(investimento!B:B)+I936, M935+I936),"")</f>
        <v>21199768.68</v>
      </c>
    </row>
    <row r="937" ht="22.5" customHeight="1">
      <c r="A937" s="47">
        <v>50986.0</v>
      </c>
      <c r="B937" s="48" t="str">
        <f t="shared" si="1"/>
        <v>2039-08</v>
      </c>
      <c r="C937" s="49">
        <f>SUMIF(despesas_recorrentes!C:C, "&gt;="&amp;A937,despesas_recorrentes!B:B) 
+SUMIF(despesas_recorrentes!C:C, "",despesas_recorrentes!B:B)
-despesas_recorrentes!$B$12
+IF(SUMIF(gasto_cartao!E:E,saldo!B937,gasto_cartao!B:B)&gt;despesas_recorrentes!$B$12, SUMIF(gasto_cartao!E:E,saldo!B937,gasto_cartao!B:B),despesas_recorrentes!$B$12)</f>
        <v>34013</v>
      </c>
      <c r="D937" s="51">
        <f>SUM(receitas_recorrentes!B:B)+SUMIF(receitas_pontuais!E:E,B937,receitas_pontuais!B:B)</f>
        <v>56919</v>
      </c>
      <c r="E937" s="51">
        <f t="shared" si="2"/>
        <v>22906</v>
      </c>
      <c r="F937" s="53">
        <f>IFERROR(SUMIF(contas!G:G, B937, contas!B:B),0)</f>
        <v>0</v>
      </c>
      <c r="G937" s="51">
        <f>SUMIFS(previsoes!D:D, previsoes!E:E, "&lt;=" &amp; EOMONTH(DATEVALUE(B937&amp;"-01"),0), previsoes!F:F, "&gt;=" &amp; DATEVALUE(B937&amp;"-01"))</f>
        <v>0</v>
      </c>
      <c r="H937" s="52">
        <f t="shared" si="5"/>
        <v>160491.8958</v>
      </c>
      <c r="I937" s="49">
        <f t="shared" si="3"/>
        <v>22906</v>
      </c>
      <c r="J937" s="52">
        <f>IF(A937&lt;&gt;"",SUMIFS(metas!N:N, metas!E:E, "&gt;=" &amp; DATEVALUE(B937&amp;"-01"),metas!D:D, "&lt;=" &amp; DATEVALUE(B937&amp;"-01")),"")</f>
        <v>3182.813937</v>
      </c>
      <c r="K937" s="49">
        <f t="shared" si="4"/>
        <v>19723.18606</v>
      </c>
      <c r="L937" s="49">
        <f t="shared" si="6"/>
        <v>17824785.5</v>
      </c>
      <c r="M937" s="49">
        <f>IF(A937&lt;&gt;"",IF(COUNTIF(investimento!F:F, B937) &gt; 0, SUM(investimento!B:B)+I937, M936+I937),"")</f>
        <v>21222674.68</v>
      </c>
    </row>
    <row r="938" ht="22.5" customHeight="1">
      <c r="A938" s="47">
        <v>50987.0</v>
      </c>
      <c r="B938" s="48" t="str">
        <f t="shared" si="1"/>
        <v>2039-08</v>
      </c>
      <c r="C938" s="49">
        <f>SUMIF(despesas_recorrentes!C:C, "&gt;="&amp;A938,despesas_recorrentes!B:B) 
+SUMIF(despesas_recorrentes!C:C, "",despesas_recorrentes!B:B)
-despesas_recorrentes!$B$12
+IF(SUMIF(gasto_cartao!E:E,saldo!B938,gasto_cartao!B:B)&gt;despesas_recorrentes!$B$12, SUMIF(gasto_cartao!E:E,saldo!B938,gasto_cartao!B:B),despesas_recorrentes!$B$12)</f>
        <v>34013</v>
      </c>
      <c r="D938" s="51">
        <f>SUM(receitas_recorrentes!B:B)+SUMIF(receitas_pontuais!E:E,B938,receitas_pontuais!B:B)</f>
        <v>56919</v>
      </c>
      <c r="E938" s="51">
        <f t="shared" si="2"/>
        <v>22906</v>
      </c>
      <c r="F938" s="53">
        <f>IFERROR(SUMIF(contas!G:G, B938, contas!B:B),0)</f>
        <v>0</v>
      </c>
      <c r="G938" s="51">
        <f>SUMIFS(previsoes!D:D, previsoes!E:E, "&lt;=" &amp; EOMONTH(DATEVALUE(B938&amp;"-01"),0), previsoes!F:F, "&gt;=" &amp; DATEVALUE(B938&amp;"-01"))</f>
        <v>0</v>
      </c>
      <c r="H938" s="52">
        <f t="shared" si="5"/>
        <v>160491.8958</v>
      </c>
      <c r="I938" s="49">
        <f t="shared" si="3"/>
        <v>22906</v>
      </c>
      <c r="J938" s="52">
        <f>IF(A938&lt;&gt;"",SUMIFS(metas!N:N, metas!E:E, "&gt;=" &amp; DATEVALUE(B938&amp;"-01"),metas!D:D, "&lt;=" &amp; DATEVALUE(B938&amp;"-01")),"")</f>
        <v>3182.813937</v>
      </c>
      <c r="K938" s="49">
        <f t="shared" si="4"/>
        <v>19723.18606</v>
      </c>
      <c r="L938" s="49">
        <f t="shared" si="6"/>
        <v>17844508.68</v>
      </c>
      <c r="M938" s="49">
        <f>IF(A938&lt;&gt;"",IF(COUNTIF(investimento!F:F, B938) &gt; 0, SUM(investimento!B:B)+I938, M937+I938),"")</f>
        <v>21245580.68</v>
      </c>
    </row>
    <row r="939" ht="22.5" customHeight="1">
      <c r="A939" s="47">
        <v>50988.0</v>
      </c>
      <c r="B939" s="48" t="str">
        <f t="shared" si="1"/>
        <v>2039-08</v>
      </c>
      <c r="C939" s="49">
        <f>SUMIF(despesas_recorrentes!C:C, "&gt;="&amp;A939,despesas_recorrentes!B:B) 
+SUMIF(despesas_recorrentes!C:C, "",despesas_recorrentes!B:B)
-despesas_recorrentes!$B$12
+IF(SUMIF(gasto_cartao!E:E,saldo!B939,gasto_cartao!B:B)&gt;despesas_recorrentes!$B$12, SUMIF(gasto_cartao!E:E,saldo!B939,gasto_cartao!B:B),despesas_recorrentes!$B$12)</f>
        <v>34013</v>
      </c>
      <c r="D939" s="51">
        <f>SUM(receitas_recorrentes!B:B)+SUMIF(receitas_pontuais!E:E,B939,receitas_pontuais!B:B)</f>
        <v>56919</v>
      </c>
      <c r="E939" s="51">
        <f t="shared" si="2"/>
        <v>22906</v>
      </c>
      <c r="F939" s="53">
        <f>IFERROR(SUMIF(contas!G:G, B939, contas!B:B),0)</f>
        <v>0</v>
      </c>
      <c r="G939" s="51">
        <f>SUMIFS(previsoes!D:D, previsoes!E:E, "&lt;=" &amp; EOMONTH(DATEVALUE(B939&amp;"-01"),0), previsoes!F:F, "&gt;=" &amp; DATEVALUE(B939&amp;"-01"))</f>
        <v>0</v>
      </c>
      <c r="H939" s="52">
        <f t="shared" si="5"/>
        <v>160491.8958</v>
      </c>
      <c r="I939" s="49">
        <f t="shared" si="3"/>
        <v>22906</v>
      </c>
      <c r="J939" s="52">
        <f>IF(A939&lt;&gt;"",SUMIFS(metas!N:N, metas!E:E, "&gt;=" &amp; DATEVALUE(B939&amp;"-01"),metas!D:D, "&lt;=" &amp; DATEVALUE(B939&amp;"-01")),"")</f>
        <v>3182.813937</v>
      </c>
      <c r="K939" s="49">
        <f t="shared" si="4"/>
        <v>19723.18606</v>
      </c>
      <c r="L939" s="49">
        <f t="shared" si="6"/>
        <v>17864231.87</v>
      </c>
      <c r="M939" s="49">
        <f>IF(A939&lt;&gt;"",IF(COUNTIF(investimento!F:F, B939) &gt; 0, SUM(investimento!B:B)+I939, M938+I939),"")</f>
        <v>21268486.68</v>
      </c>
    </row>
    <row r="940" ht="22.5" customHeight="1">
      <c r="A940" s="47">
        <v>50989.0</v>
      </c>
      <c r="B940" s="48" t="str">
        <f t="shared" si="1"/>
        <v>2039-08</v>
      </c>
      <c r="C940" s="49">
        <f>SUMIF(despesas_recorrentes!C:C, "&gt;="&amp;A940,despesas_recorrentes!B:B) 
+SUMIF(despesas_recorrentes!C:C, "",despesas_recorrentes!B:B)
-despesas_recorrentes!$B$12
+IF(SUMIF(gasto_cartao!E:E,saldo!B940,gasto_cartao!B:B)&gt;despesas_recorrentes!$B$12, SUMIF(gasto_cartao!E:E,saldo!B940,gasto_cartao!B:B),despesas_recorrentes!$B$12)</f>
        <v>34013</v>
      </c>
      <c r="D940" s="51">
        <f>SUM(receitas_recorrentes!B:B)+SUMIF(receitas_pontuais!E:E,B940,receitas_pontuais!B:B)</f>
        <v>56919</v>
      </c>
      <c r="E940" s="51">
        <f t="shared" si="2"/>
        <v>22906</v>
      </c>
      <c r="F940" s="53">
        <f>IFERROR(SUMIF(contas!G:G, B940, contas!B:B),0)</f>
        <v>0</v>
      </c>
      <c r="G940" s="51">
        <f>SUMIFS(previsoes!D:D, previsoes!E:E, "&lt;=" &amp; EOMONTH(DATEVALUE(B940&amp;"-01"),0), previsoes!F:F, "&gt;=" &amp; DATEVALUE(B940&amp;"-01"))</f>
        <v>0</v>
      </c>
      <c r="H940" s="52">
        <f t="shared" si="5"/>
        <v>160491.8958</v>
      </c>
      <c r="I940" s="49">
        <f t="shared" si="3"/>
        <v>22906</v>
      </c>
      <c r="J940" s="52">
        <f>IF(A940&lt;&gt;"",SUMIFS(metas!N:N, metas!E:E, "&gt;=" &amp; DATEVALUE(B940&amp;"-01"),metas!D:D, "&lt;=" &amp; DATEVALUE(B940&amp;"-01")),"")</f>
        <v>3182.813937</v>
      </c>
      <c r="K940" s="49">
        <f t="shared" si="4"/>
        <v>19723.18606</v>
      </c>
      <c r="L940" s="49">
        <f t="shared" si="6"/>
        <v>17883955.06</v>
      </c>
      <c r="M940" s="49">
        <f>IF(A940&lt;&gt;"",IF(COUNTIF(investimento!F:F, B940) &gt; 0, SUM(investimento!B:B)+I940, M939+I940),"")</f>
        <v>21291392.68</v>
      </c>
    </row>
    <row r="941" ht="22.5" customHeight="1">
      <c r="A941" s="47">
        <v>50990.0</v>
      </c>
      <c r="B941" s="48" t="str">
        <f t="shared" si="1"/>
        <v>2039-08</v>
      </c>
      <c r="C941" s="49">
        <f>SUMIF(despesas_recorrentes!C:C, "&gt;="&amp;A941,despesas_recorrentes!B:B) 
+SUMIF(despesas_recorrentes!C:C, "",despesas_recorrentes!B:B)
-despesas_recorrentes!$B$12
+IF(SUMIF(gasto_cartao!E:E,saldo!B941,gasto_cartao!B:B)&gt;despesas_recorrentes!$B$12, SUMIF(gasto_cartao!E:E,saldo!B941,gasto_cartao!B:B),despesas_recorrentes!$B$12)</f>
        <v>34013</v>
      </c>
      <c r="D941" s="51">
        <f>SUM(receitas_recorrentes!B:B)+SUMIF(receitas_pontuais!E:E,B941,receitas_pontuais!B:B)</f>
        <v>56919</v>
      </c>
      <c r="E941" s="51">
        <f t="shared" si="2"/>
        <v>22906</v>
      </c>
      <c r="F941" s="53">
        <f>IFERROR(SUMIF(contas!G:G, B941, contas!B:B),0)</f>
        <v>0</v>
      </c>
      <c r="G941" s="51">
        <f>SUMIFS(previsoes!D:D, previsoes!E:E, "&lt;=" &amp; EOMONTH(DATEVALUE(B941&amp;"-01"),0), previsoes!F:F, "&gt;=" &amp; DATEVALUE(B941&amp;"-01"))</f>
        <v>0</v>
      </c>
      <c r="H941" s="52">
        <f t="shared" si="5"/>
        <v>160491.8958</v>
      </c>
      <c r="I941" s="49">
        <f t="shared" si="3"/>
        <v>22906</v>
      </c>
      <c r="J941" s="52">
        <f>IF(A941&lt;&gt;"",SUMIFS(metas!N:N, metas!E:E, "&gt;=" &amp; DATEVALUE(B941&amp;"-01"),metas!D:D, "&lt;=" &amp; DATEVALUE(B941&amp;"-01")),"")</f>
        <v>3182.813937</v>
      </c>
      <c r="K941" s="49">
        <f t="shared" si="4"/>
        <v>19723.18606</v>
      </c>
      <c r="L941" s="49">
        <f t="shared" si="6"/>
        <v>17903678.24</v>
      </c>
      <c r="M941" s="49">
        <f>IF(A941&lt;&gt;"",IF(COUNTIF(investimento!F:F, B941) &gt; 0, SUM(investimento!B:B)+I941, M940+I941),"")</f>
        <v>21314298.68</v>
      </c>
    </row>
    <row r="942" ht="22.5" customHeight="1">
      <c r="A942" s="47">
        <v>50991.0</v>
      </c>
      <c r="B942" s="48" t="str">
        <f t="shared" si="1"/>
        <v>2039-08</v>
      </c>
      <c r="C942" s="49">
        <f>SUMIF(despesas_recorrentes!C:C, "&gt;="&amp;A942,despesas_recorrentes!B:B) 
+SUMIF(despesas_recorrentes!C:C, "",despesas_recorrentes!B:B)
-despesas_recorrentes!$B$12
+IF(SUMIF(gasto_cartao!E:E,saldo!B942,gasto_cartao!B:B)&gt;despesas_recorrentes!$B$12, SUMIF(gasto_cartao!E:E,saldo!B942,gasto_cartao!B:B),despesas_recorrentes!$B$12)</f>
        <v>34013</v>
      </c>
      <c r="D942" s="51">
        <f>SUM(receitas_recorrentes!B:B)+SUMIF(receitas_pontuais!E:E,B942,receitas_pontuais!B:B)</f>
        <v>56919</v>
      </c>
      <c r="E942" s="51">
        <f t="shared" si="2"/>
        <v>22906</v>
      </c>
      <c r="F942" s="53">
        <f>IFERROR(SUMIF(contas!G:G, B942, contas!B:B),0)</f>
        <v>0</v>
      </c>
      <c r="G942" s="51">
        <f>SUMIFS(previsoes!D:D, previsoes!E:E, "&lt;=" &amp; EOMONTH(DATEVALUE(B942&amp;"-01"),0), previsoes!F:F, "&gt;=" &amp; DATEVALUE(B942&amp;"-01"))</f>
        <v>0</v>
      </c>
      <c r="H942" s="52">
        <f t="shared" si="5"/>
        <v>160491.8958</v>
      </c>
      <c r="I942" s="49">
        <f t="shared" si="3"/>
        <v>22906</v>
      </c>
      <c r="J942" s="52">
        <f>IF(A942&lt;&gt;"",SUMIFS(metas!N:N, metas!E:E, "&gt;=" &amp; DATEVALUE(B942&amp;"-01"),metas!D:D, "&lt;=" &amp; DATEVALUE(B942&amp;"-01")),"")</f>
        <v>3182.813937</v>
      </c>
      <c r="K942" s="49">
        <f t="shared" si="4"/>
        <v>19723.18606</v>
      </c>
      <c r="L942" s="49">
        <f t="shared" si="6"/>
        <v>17923401.43</v>
      </c>
      <c r="M942" s="49">
        <f>IF(A942&lt;&gt;"",IF(COUNTIF(investimento!F:F, B942) &gt; 0, SUM(investimento!B:B)+I942, M941+I942),"")</f>
        <v>21337204.68</v>
      </c>
    </row>
    <row r="943" ht="22.5" customHeight="1">
      <c r="A943" s="47">
        <v>50992.0</v>
      </c>
      <c r="B943" s="48" t="str">
        <f t="shared" si="1"/>
        <v>2039-08</v>
      </c>
      <c r="C943" s="49">
        <f>SUMIF(despesas_recorrentes!C:C, "&gt;="&amp;A943,despesas_recorrentes!B:B) 
+SUMIF(despesas_recorrentes!C:C, "",despesas_recorrentes!B:B)
-despesas_recorrentes!$B$12
+IF(SUMIF(gasto_cartao!E:E,saldo!B943,gasto_cartao!B:B)&gt;despesas_recorrentes!$B$12, SUMIF(gasto_cartao!E:E,saldo!B943,gasto_cartao!B:B),despesas_recorrentes!$B$12)</f>
        <v>34013</v>
      </c>
      <c r="D943" s="51">
        <f>SUM(receitas_recorrentes!B:B)+SUMIF(receitas_pontuais!E:E,B943,receitas_pontuais!B:B)</f>
        <v>56919</v>
      </c>
      <c r="E943" s="51">
        <f t="shared" si="2"/>
        <v>22906</v>
      </c>
      <c r="F943" s="53">
        <f>IFERROR(SUMIF(contas!G:G, B943, contas!B:B),0)</f>
        <v>0</v>
      </c>
      <c r="G943" s="51">
        <f>SUMIFS(previsoes!D:D, previsoes!E:E, "&lt;=" &amp; EOMONTH(DATEVALUE(B943&amp;"-01"),0), previsoes!F:F, "&gt;=" &amp; DATEVALUE(B943&amp;"-01"))</f>
        <v>0</v>
      </c>
      <c r="H943" s="52">
        <f t="shared" si="5"/>
        <v>160491.8958</v>
      </c>
      <c r="I943" s="49">
        <f t="shared" si="3"/>
        <v>22906</v>
      </c>
      <c r="J943" s="52">
        <f>IF(A943&lt;&gt;"",SUMIFS(metas!N:N, metas!E:E, "&gt;=" &amp; DATEVALUE(B943&amp;"-01"),metas!D:D, "&lt;=" &amp; DATEVALUE(B943&amp;"-01")),"")</f>
        <v>3182.813937</v>
      </c>
      <c r="K943" s="49">
        <f t="shared" si="4"/>
        <v>19723.18606</v>
      </c>
      <c r="L943" s="49">
        <f t="shared" si="6"/>
        <v>17943124.61</v>
      </c>
      <c r="M943" s="49">
        <f>IF(A943&lt;&gt;"",IF(COUNTIF(investimento!F:F, B943) &gt; 0, SUM(investimento!B:B)+I943, M942+I943),"")</f>
        <v>21360110.68</v>
      </c>
    </row>
    <row r="944" ht="22.5" customHeight="1">
      <c r="A944" s="47">
        <v>50993.0</v>
      </c>
      <c r="B944" s="48" t="str">
        <f t="shared" si="1"/>
        <v>2039-08</v>
      </c>
      <c r="C944" s="49">
        <f>SUMIF(despesas_recorrentes!C:C, "&gt;="&amp;A944,despesas_recorrentes!B:B) 
+SUMIF(despesas_recorrentes!C:C, "",despesas_recorrentes!B:B)
-despesas_recorrentes!$B$12
+IF(SUMIF(gasto_cartao!E:E,saldo!B944,gasto_cartao!B:B)&gt;despesas_recorrentes!$B$12, SUMIF(gasto_cartao!E:E,saldo!B944,gasto_cartao!B:B),despesas_recorrentes!$B$12)</f>
        <v>34013</v>
      </c>
      <c r="D944" s="51">
        <f>SUM(receitas_recorrentes!B:B)+SUMIF(receitas_pontuais!E:E,B944,receitas_pontuais!B:B)</f>
        <v>56919</v>
      </c>
      <c r="E944" s="51">
        <f t="shared" si="2"/>
        <v>22906</v>
      </c>
      <c r="F944" s="53">
        <f>IFERROR(SUMIF(contas!G:G, B944, contas!B:B),0)</f>
        <v>0</v>
      </c>
      <c r="G944" s="51">
        <f>SUMIFS(previsoes!D:D, previsoes!E:E, "&lt;=" &amp; EOMONTH(DATEVALUE(B944&amp;"-01"),0), previsoes!F:F, "&gt;=" &amp; DATEVALUE(B944&amp;"-01"))</f>
        <v>0</v>
      </c>
      <c r="H944" s="52">
        <f t="shared" si="5"/>
        <v>160491.8958</v>
      </c>
      <c r="I944" s="49">
        <f t="shared" si="3"/>
        <v>22906</v>
      </c>
      <c r="J944" s="52">
        <f>IF(A944&lt;&gt;"",SUMIFS(metas!N:N, metas!E:E, "&gt;=" &amp; DATEVALUE(B944&amp;"-01"),metas!D:D, "&lt;=" &amp; DATEVALUE(B944&amp;"-01")),"")</f>
        <v>3182.813937</v>
      </c>
      <c r="K944" s="49">
        <f t="shared" si="4"/>
        <v>19723.18606</v>
      </c>
      <c r="L944" s="49">
        <f t="shared" si="6"/>
        <v>17962847.8</v>
      </c>
      <c r="M944" s="49">
        <f>IF(A944&lt;&gt;"",IF(COUNTIF(investimento!F:F, B944) &gt; 0, SUM(investimento!B:B)+I944, M943+I944),"")</f>
        <v>21383016.68</v>
      </c>
    </row>
    <row r="945" ht="22.5" customHeight="1">
      <c r="A945" s="47">
        <v>50994.0</v>
      </c>
      <c r="B945" s="48" t="str">
        <f t="shared" si="1"/>
        <v>2039-08</v>
      </c>
      <c r="C945" s="49">
        <f>SUMIF(despesas_recorrentes!C:C, "&gt;="&amp;A945,despesas_recorrentes!B:B) 
+SUMIF(despesas_recorrentes!C:C, "",despesas_recorrentes!B:B)
-despesas_recorrentes!$B$12
+IF(SUMIF(gasto_cartao!E:E,saldo!B945,gasto_cartao!B:B)&gt;despesas_recorrentes!$B$12, SUMIF(gasto_cartao!E:E,saldo!B945,gasto_cartao!B:B),despesas_recorrentes!$B$12)</f>
        <v>34013</v>
      </c>
      <c r="D945" s="51">
        <f>SUM(receitas_recorrentes!B:B)+SUMIF(receitas_pontuais!E:E,B945,receitas_pontuais!B:B)</f>
        <v>56919</v>
      </c>
      <c r="E945" s="51">
        <f t="shared" si="2"/>
        <v>22906</v>
      </c>
      <c r="F945" s="53">
        <f>IFERROR(SUMIF(contas!G:G, B945, contas!B:B),0)</f>
        <v>0</v>
      </c>
      <c r="G945" s="51">
        <f>SUMIFS(previsoes!D:D, previsoes!E:E, "&lt;=" &amp; EOMONTH(DATEVALUE(B945&amp;"-01"),0), previsoes!F:F, "&gt;=" &amp; DATEVALUE(B945&amp;"-01"))</f>
        <v>0</v>
      </c>
      <c r="H945" s="52">
        <f t="shared" si="5"/>
        <v>160491.8958</v>
      </c>
      <c r="I945" s="49">
        <f t="shared" si="3"/>
        <v>22906</v>
      </c>
      <c r="J945" s="52">
        <f>IF(A945&lt;&gt;"",SUMIFS(metas!N:N, metas!E:E, "&gt;=" &amp; DATEVALUE(B945&amp;"-01"),metas!D:D, "&lt;=" &amp; DATEVALUE(B945&amp;"-01")),"")</f>
        <v>3182.813937</v>
      </c>
      <c r="K945" s="49">
        <f t="shared" si="4"/>
        <v>19723.18606</v>
      </c>
      <c r="L945" s="49">
        <f t="shared" si="6"/>
        <v>17982570.99</v>
      </c>
      <c r="M945" s="49">
        <f>IF(A945&lt;&gt;"",IF(COUNTIF(investimento!F:F, B945) &gt; 0, SUM(investimento!B:B)+I945, M944+I945),"")</f>
        <v>21405922.68</v>
      </c>
    </row>
    <row r="946" ht="22.5" customHeight="1">
      <c r="A946" s="47">
        <v>50995.0</v>
      </c>
      <c r="B946" s="48" t="str">
        <f t="shared" si="1"/>
        <v>2039-08</v>
      </c>
      <c r="C946" s="49">
        <f>SUMIF(despesas_recorrentes!C:C, "&gt;="&amp;A946,despesas_recorrentes!B:B) 
+SUMIF(despesas_recorrentes!C:C, "",despesas_recorrentes!B:B)
-despesas_recorrentes!$B$12
+IF(SUMIF(gasto_cartao!E:E,saldo!B946,gasto_cartao!B:B)&gt;despesas_recorrentes!$B$12, SUMIF(gasto_cartao!E:E,saldo!B946,gasto_cartao!B:B),despesas_recorrentes!$B$12)</f>
        <v>34013</v>
      </c>
      <c r="D946" s="51">
        <f>SUM(receitas_recorrentes!B:B)+SUMIF(receitas_pontuais!E:E,B946,receitas_pontuais!B:B)</f>
        <v>56919</v>
      </c>
      <c r="E946" s="51">
        <f t="shared" si="2"/>
        <v>22906</v>
      </c>
      <c r="F946" s="53">
        <f>IFERROR(SUMIF(contas!G:G, B946, contas!B:B),0)</f>
        <v>0</v>
      </c>
      <c r="G946" s="51">
        <f>SUMIFS(previsoes!D:D, previsoes!E:E, "&lt;=" &amp; EOMONTH(DATEVALUE(B946&amp;"-01"),0), previsoes!F:F, "&gt;=" &amp; DATEVALUE(B946&amp;"-01"))</f>
        <v>0</v>
      </c>
      <c r="H946" s="52">
        <f t="shared" si="5"/>
        <v>160491.8958</v>
      </c>
      <c r="I946" s="49">
        <f t="shared" si="3"/>
        <v>22906</v>
      </c>
      <c r="J946" s="52">
        <f>IF(A946&lt;&gt;"",SUMIFS(metas!N:N, metas!E:E, "&gt;=" &amp; DATEVALUE(B946&amp;"-01"),metas!D:D, "&lt;=" &amp; DATEVALUE(B946&amp;"-01")),"")</f>
        <v>3182.813937</v>
      </c>
      <c r="K946" s="49">
        <f t="shared" si="4"/>
        <v>19723.18606</v>
      </c>
      <c r="L946" s="49">
        <f t="shared" si="6"/>
        <v>18002294.17</v>
      </c>
      <c r="M946" s="49">
        <f>IF(A946&lt;&gt;"",IF(COUNTIF(investimento!F:F, B946) &gt; 0, SUM(investimento!B:B)+I946, M945+I946),"")</f>
        <v>21428828.68</v>
      </c>
    </row>
    <row r="947" ht="22.5" customHeight="1">
      <c r="A947" s="47">
        <v>50996.0</v>
      </c>
      <c r="B947" s="48" t="str">
        <f t="shared" si="1"/>
        <v>2039-08</v>
      </c>
      <c r="C947" s="49">
        <f>SUMIF(despesas_recorrentes!C:C, "&gt;="&amp;A947,despesas_recorrentes!B:B) 
+SUMIF(despesas_recorrentes!C:C, "",despesas_recorrentes!B:B)
-despesas_recorrentes!$B$12
+IF(SUMIF(gasto_cartao!E:E,saldo!B947,gasto_cartao!B:B)&gt;despesas_recorrentes!$B$12, SUMIF(gasto_cartao!E:E,saldo!B947,gasto_cartao!B:B),despesas_recorrentes!$B$12)</f>
        <v>34013</v>
      </c>
      <c r="D947" s="51">
        <f>SUM(receitas_recorrentes!B:B)+SUMIF(receitas_pontuais!E:E,B947,receitas_pontuais!B:B)</f>
        <v>56919</v>
      </c>
      <c r="E947" s="51">
        <f t="shared" si="2"/>
        <v>22906</v>
      </c>
      <c r="F947" s="53">
        <f>IFERROR(SUMIF(contas!G:G, B947, contas!B:B),0)</f>
        <v>0</v>
      </c>
      <c r="G947" s="51">
        <f>SUMIFS(previsoes!D:D, previsoes!E:E, "&lt;=" &amp; EOMONTH(DATEVALUE(B947&amp;"-01"),0), previsoes!F:F, "&gt;=" &amp; DATEVALUE(B947&amp;"-01"))</f>
        <v>0</v>
      </c>
      <c r="H947" s="52">
        <f t="shared" si="5"/>
        <v>160491.8958</v>
      </c>
      <c r="I947" s="49">
        <f t="shared" si="3"/>
        <v>22906</v>
      </c>
      <c r="J947" s="52">
        <f>IF(A947&lt;&gt;"",SUMIFS(metas!N:N, metas!E:E, "&gt;=" &amp; DATEVALUE(B947&amp;"-01"),metas!D:D, "&lt;=" &amp; DATEVALUE(B947&amp;"-01")),"")</f>
        <v>3182.813937</v>
      </c>
      <c r="K947" s="49">
        <f t="shared" si="4"/>
        <v>19723.18606</v>
      </c>
      <c r="L947" s="49">
        <f t="shared" si="6"/>
        <v>18022017.36</v>
      </c>
      <c r="M947" s="49">
        <f>IF(A947&lt;&gt;"",IF(COUNTIF(investimento!F:F, B947) &gt; 0, SUM(investimento!B:B)+I947, M946+I947),"")</f>
        <v>21451734.68</v>
      </c>
    </row>
    <row r="948" ht="22.5" customHeight="1">
      <c r="A948" s="47">
        <v>50997.0</v>
      </c>
      <c r="B948" s="48" t="str">
        <f t="shared" si="1"/>
        <v>2039-08</v>
      </c>
      <c r="C948" s="49">
        <f>SUMIF(despesas_recorrentes!C:C, "&gt;="&amp;A948,despesas_recorrentes!B:B) 
+SUMIF(despesas_recorrentes!C:C, "",despesas_recorrentes!B:B)
-despesas_recorrentes!$B$12
+IF(SUMIF(gasto_cartao!E:E,saldo!B948,gasto_cartao!B:B)&gt;despesas_recorrentes!$B$12, SUMIF(gasto_cartao!E:E,saldo!B948,gasto_cartao!B:B),despesas_recorrentes!$B$12)</f>
        <v>34013</v>
      </c>
      <c r="D948" s="51">
        <f>SUM(receitas_recorrentes!B:B)+SUMIF(receitas_pontuais!E:E,B948,receitas_pontuais!B:B)</f>
        <v>56919</v>
      </c>
      <c r="E948" s="51">
        <f t="shared" si="2"/>
        <v>22906</v>
      </c>
      <c r="F948" s="53">
        <f>IFERROR(SUMIF(contas!G:G, B948, contas!B:B),0)</f>
        <v>0</v>
      </c>
      <c r="G948" s="51">
        <f>SUMIFS(previsoes!D:D, previsoes!E:E, "&lt;=" &amp; EOMONTH(DATEVALUE(B948&amp;"-01"),0), previsoes!F:F, "&gt;=" &amp; DATEVALUE(B948&amp;"-01"))</f>
        <v>0</v>
      </c>
      <c r="H948" s="52">
        <f t="shared" si="5"/>
        <v>160491.8958</v>
      </c>
      <c r="I948" s="49">
        <f t="shared" si="3"/>
        <v>22906</v>
      </c>
      <c r="J948" s="52">
        <f>IF(A948&lt;&gt;"",SUMIFS(metas!N:N, metas!E:E, "&gt;=" &amp; DATEVALUE(B948&amp;"-01"),metas!D:D, "&lt;=" &amp; DATEVALUE(B948&amp;"-01")),"")</f>
        <v>3182.813937</v>
      </c>
      <c r="K948" s="49">
        <f t="shared" si="4"/>
        <v>19723.18606</v>
      </c>
      <c r="L948" s="49">
        <f t="shared" si="6"/>
        <v>18041740.54</v>
      </c>
      <c r="M948" s="49">
        <f>IF(A948&lt;&gt;"",IF(COUNTIF(investimento!F:F, B948) &gt; 0, SUM(investimento!B:B)+I948, M947+I948),"")</f>
        <v>21474640.68</v>
      </c>
    </row>
    <row r="949" ht="22.5" customHeight="1">
      <c r="A949" s="47">
        <v>50998.0</v>
      </c>
      <c r="B949" s="48" t="str">
        <f t="shared" si="1"/>
        <v>2039-08</v>
      </c>
      <c r="C949" s="49">
        <f>SUMIF(despesas_recorrentes!C:C, "&gt;="&amp;A949,despesas_recorrentes!B:B) 
+SUMIF(despesas_recorrentes!C:C, "",despesas_recorrentes!B:B)
-despesas_recorrentes!$B$12
+IF(SUMIF(gasto_cartao!E:E,saldo!B949,gasto_cartao!B:B)&gt;despesas_recorrentes!$B$12, SUMIF(gasto_cartao!E:E,saldo!B949,gasto_cartao!B:B),despesas_recorrentes!$B$12)</f>
        <v>34013</v>
      </c>
      <c r="D949" s="51">
        <f>SUM(receitas_recorrentes!B:B)+SUMIF(receitas_pontuais!E:E,B949,receitas_pontuais!B:B)</f>
        <v>56919</v>
      </c>
      <c r="E949" s="51">
        <f t="shared" si="2"/>
        <v>22906</v>
      </c>
      <c r="F949" s="53">
        <f>IFERROR(SUMIF(contas!G:G, B949, contas!B:B),0)</f>
        <v>0</v>
      </c>
      <c r="G949" s="51">
        <f>SUMIFS(previsoes!D:D, previsoes!E:E, "&lt;=" &amp; EOMONTH(DATEVALUE(B949&amp;"-01"),0), previsoes!F:F, "&gt;=" &amp; DATEVALUE(B949&amp;"-01"))</f>
        <v>0</v>
      </c>
      <c r="H949" s="52">
        <f t="shared" si="5"/>
        <v>160491.8958</v>
      </c>
      <c r="I949" s="49">
        <f t="shared" si="3"/>
        <v>22906</v>
      </c>
      <c r="J949" s="52">
        <f>IF(A949&lt;&gt;"",SUMIFS(metas!N:N, metas!E:E, "&gt;=" &amp; DATEVALUE(B949&amp;"-01"),metas!D:D, "&lt;=" &amp; DATEVALUE(B949&amp;"-01")),"")</f>
        <v>3182.813937</v>
      </c>
      <c r="K949" s="49">
        <f t="shared" si="4"/>
        <v>19723.18606</v>
      </c>
      <c r="L949" s="49">
        <f t="shared" si="6"/>
        <v>18061463.73</v>
      </c>
      <c r="M949" s="49">
        <f>IF(A949&lt;&gt;"",IF(COUNTIF(investimento!F:F, B949) &gt; 0, SUM(investimento!B:B)+I949, M948+I949),"")</f>
        <v>21497546.68</v>
      </c>
    </row>
    <row r="950" ht="22.5" customHeight="1">
      <c r="A950" s="47">
        <v>50999.0</v>
      </c>
      <c r="B950" s="48" t="str">
        <f t="shared" si="1"/>
        <v>2039-08</v>
      </c>
      <c r="C950" s="49">
        <f>SUMIF(despesas_recorrentes!C:C, "&gt;="&amp;A950,despesas_recorrentes!B:B) 
+SUMIF(despesas_recorrentes!C:C, "",despesas_recorrentes!B:B)
-despesas_recorrentes!$B$12
+IF(SUMIF(gasto_cartao!E:E,saldo!B950,gasto_cartao!B:B)&gt;despesas_recorrentes!$B$12, SUMIF(gasto_cartao!E:E,saldo!B950,gasto_cartao!B:B),despesas_recorrentes!$B$12)</f>
        <v>34013</v>
      </c>
      <c r="D950" s="51">
        <f>SUM(receitas_recorrentes!B:B)+SUMIF(receitas_pontuais!E:E,B950,receitas_pontuais!B:B)</f>
        <v>56919</v>
      </c>
      <c r="E950" s="51">
        <f t="shared" si="2"/>
        <v>22906</v>
      </c>
      <c r="F950" s="53">
        <f>IFERROR(SUMIF(contas!G:G, B950, contas!B:B),0)</f>
        <v>0</v>
      </c>
      <c r="G950" s="51">
        <f>SUMIFS(previsoes!D:D, previsoes!E:E, "&lt;=" &amp; EOMONTH(DATEVALUE(B950&amp;"-01"),0), previsoes!F:F, "&gt;=" &amp; DATEVALUE(B950&amp;"-01"))</f>
        <v>0</v>
      </c>
      <c r="H950" s="52">
        <f t="shared" si="5"/>
        <v>160491.8958</v>
      </c>
      <c r="I950" s="49">
        <f t="shared" si="3"/>
        <v>22906</v>
      </c>
      <c r="J950" s="52">
        <f>IF(A950&lt;&gt;"",SUMIFS(metas!N:N, metas!E:E, "&gt;=" &amp; DATEVALUE(B950&amp;"-01"),metas!D:D, "&lt;=" &amp; DATEVALUE(B950&amp;"-01")),"")</f>
        <v>3182.813937</v>
      </c>
      <c r="K950" s="49">
        <f t="shared" si="4"/>
        <v>19723.18606</v>
      </c>
      <c r="L950" s="49">
        <f t="shared" si="6"/>
        <v>18081186.92</v>
      </c>
      <c r="M950" s="49">
        <f>IF(A950&lt;&gt;"",IF(COUNTIF(investimento!F:F, B950) &gt; 0, SUM(investimento!B:B)+I950, M949+I950),"")</f>
        <v>21520452.68</v>
      </c>
    </row>
    <row r="951" ht="22.5" customHeight="1">
      <c r="A951" s="47">
        <v>51000.0</v>
      </c>
      <c r="B951" s="48" t="str">
        <f t="shared" si="1"/>
        <v>2039-08</v>
      </c>
      <c r="C951" s="49">
        <f>SUMIF(despesas_recorrentes!C:C, "&gt;="&amp;A951,despesas_recorrentes!B:B) 
+SUMIF(despesas_recorrentes!C:C, "",despesas_recorrentes!B:B)
-despesas_recorrentes!$B$12
+IF(SUMIF(gasto_cartao!E:E,saldo!B951,gasto_cartao!B:B)&gt;despesas_recorrentes!$B$12, SUMIF(gasto_cartao!E:E,saldo!B951,gasto_cartao!B:B),despesas_recorrentes!$B$12)</f>
        <v>34013</v>
      </c>
      <c r="D951" s="51">
        <f>SUM(receitas_recorrentes!B:B)+SUMIF(receitas_pontuais!E:E,B951,receitas_pontuais!B:B)</f>
        <v>56919</v>
      </c>
      <c r="E951" s="51">
        <f t="shared" si="2"/>
        <v>22906</v>
      </c>
      <c r="F951" s="53">
        <f>IFERROR(SUMIF(contas!G:G, B951, contas!B:B),0)</f>
        <v>0</v>
      </c>
      <c r="G951" s="51">
        <f>SUMIFS(previsoes!D:D, previsoes!E:E, "&lt;=" &amp; EOMONTH(DATEVALUE(B951&amp;"-01"),0), previsoes!F:F, "&gt;=" &amp; DATEVALUE(B951&amp;"-01"))</f>
        <v>0</v>
      </c>
      <c r="H951" s="52">
        <f t="shared" si="5"/>
        <v>160491.8958</v>
      </c>
      <c r="I951" s="49">
        <f t="shared" si="3"/>
        <v>22906</v>
      </c>
      <c r="J951" s="52">
        <f>IF(A951&lt;&gt;"",SUMIFS(metas!N:N, metas!E:E, "&gt;=" &amp; DATEVALUE(B951&amp;"-01"),metas!D:D, "&lt;=" &amp; DATEVALUE(B951&amp;"-01")),"")</f>
        <v>3182.813937</v>
      </c>
      <c r="K951" s="49">
        <f t="shared" si="4"/>
        <v>19723.18606</v>
      </c>
      <c r="L951" s="49">
        <f t="shared" si="6"/>
        <v>18100910.1</v>
      </c>
      <c r="M951" s="49">
        <f>IF(A951&lt;&gt;"",IF(COUNTIF(investimento!F:F, B951) &gt; 0, SUM(investimento!B:B)+I951, M950+I951),"")</f>
        <v>21543358.68</v>
      </c>
    </row>
    <row r="952" ht="22.5" customHeight="1">
      <c r="A952" s="47">
        <v>51001.0</v>
      </c>
      <c r="B952" s="48" t="str">
        <f t="shared" si="1"/>
        <v>2039-08</v>
      </c>
      <c r="C952" s="49">
        <f>SUMIF(despesas_recorrentes!C:C, "&gt;="&amp;A952,despesas_recorrentes!B:B) 
+SUMIF(despesas_recorrentes!C:C, "",despesas_recorrentes!B:B)
-despesas_recorrentes!$B$12
+IF(SUMIF(gasto_cartao!E:E,saldo!B952,gasto_cartao!B:B)&gt;despesas_recorrentes!$B$12, SUMIF(gasto_cartao!E:E,saldo!B952,gasto_cartao!B:B),despesas_recorrentes!$B$12)</f>
        <v>34013</v>
      </c>
      <c r="D952" s="51">
        <f>SUM(receitas_recorrentes!B:B)+SUMIF(receitas_pontuais!E:E,B952,receitas_pontuais!B:B)</f>
        <v>56919</v>
      </c>
      <c r="E952" s="51">
        <f t="shared" si="2"/>
        <v>22906</v>
      </c>
      <c r="F952" s="53">
        <f>IFERROR(SUMIF(contas!G:G, B952, contas!B:B),0)</f>
        <v>0</v>
      </c>
      <c r="G952" s="51">
        <f>SUMIFS(previsoes!D:D, previsoes!E:E, "&lt;=" &amp; EOMONTH(DATEVALUE(B952&amp;"-01"),0), previsoes!F:F, "&gt;=" &amp; DATEVALUE(B952&amp;"-01"))</f>
        <v>0</v>
      </c>
      <c r="H952" s="52">
        <f t="shared" si="5"/>
        <v>160491.8958</v>
      </c>
      <c r="I952" s="49">
        <f t="shared" si="3"/>
        <v>22906</v>
      </c>
      <c r="J952" s="52">
        <f>IF(A952&lt;&gt;"",SUMIFS(metas!N:N, metas!E:E, "&gt;=" &amp; DATEVALUE(B952&amp;"-01"),metas!D:D, "&lt;=" &amp; DATEVALUE(B952&amp;"-01")),"")</f>
        <v>3182.813937</v>
      </c>
      <c r="K952" s="49">
        <f t="shared" si="4"/>
        <v>19723.18606</v>
      </c>
      <c r="L952" s="49">
        <f t="shared" si="6"/>
        <v>18120633.29</v>
      </c>
      <c r="M952" s="49">
        <f>IF(A952&lt;&gt;"",IF(COUNTIF(investimento!F:F, B952) &gt; 0, SUM(investimento!B:B)+I952, M951+I952),"")</f>
        <v>21566264.68</v>
      </c>
    </row>
    <row r="953" ht="22.5" customHeight="1">
      <c r="A953" s="47">
        <v>51002.0</v>
      </c>
      <c r="B953" s="48" t="str">
        <f t="shared" si="1"/>
        <v>2039-08</v>
      </c>
      <c r="C953" s="49">
        <f>SUMIF(despesas_recorrentes!C:C, "&gt;="&amp;A953,despesas_recorrentes!B:B) 
+SUMIF(despesas_recorrentes!C:C, "",despesas_recorrentes!B:B)
-despesas_recorrentes!$B$12
+IF(SUMIF(gasto_cartao!E:E,saldo!B953,gasto_cartao!B:B)&gt;despesas_recorrentes!$B$12, SUMIF(gasto_cartao!E:E,saldo!B953,gasto_cartao!B:B),despesas_recorrentes!$B$12)</f>
        <v>34013</v>
      </c>
      <c r="D953" s="51">
        <f>SUM(receitas_recorrentes!B:B)+SUMIF(receitas_pontuais!E:E,B953,receitas_pontuais!B:B)</f>
        <v>56919</v>
      </c>
      <c r="E953" s="51">
        <f t="shared" si="2"/>
        <v>22906</v>
      </c>
      <c r="F953" s="53">
        <f>IFERROR(SUMIF(contas!G:G, B953, contas!B:B),0)</f>
        <v>0</v>
      </c>
      <c r="G953" s="51">
        <f>SUMIFS(previsoes!D:D, previsoes!E:E, "&lt;=" &amp; EOMONTH(DATEVALUE(B953&amp;"-01"),0), previsoes!F:F, "&gt;=" &amp; DATEVALUE(B953&amp;"-01"))</f>
        <v>0</v>
      </c>
      <c r="H953" s="52">
        <f t="shared" si="5"/>
        <v>160491.8958</v>
      </c>
      <c r="I953" s="49">
        <f t="shared" si="3"/>
        <v>22906</v>
      </c>
      <c r="J953" s="52">
        <f>IF(A953&lt;&gt;"",SUMIFS(metas!N:N, metas!E:E, "&gt;=" &amp; DATEVALUE(B953&amp;"-01"),metas!D:D, "&lt;=" &amp; DATEVALUE(B953&amp;"-01")),"")</f>
        <v>3182.813937</v>
      </c>
      <c r="K953" s="49">
        <f t="shared" si="4"/>
        <v>19723.18606</v>
      </c>
      <c r="L953" s="49">
        <f t="shared" si="6"/>
        <v>18140356.47</v>
      </c>
      <c r="M953" s="49">
        <f>IF(A953&lt;&gt;"",IF(COUNTIF(investimento!F:F, B953) &gt; 0, SUM(investimento!B:B)+I953, M952+I953),"")</f>
        <v>21589170.68</v>
      </c>
    </row>
    <row r="954" ht="22.5" customHeight="1">
      <c r="A954" s="47">
        <v>51003.0</v>
      </c>
      <c r="B954" s="48" t="str">
        <f t="shared" si="1"/>
        <v>2039-08</v>
      </c>
      <c r="C954" s="49">
        <f>SUMIF(despesas_recorrentes!C:C, "&gt;="&amp;A954,despesas_recorrentes!B:B) 
+SUMIF(despesas_recorrentes!C:C, "",despesas_recorrentes!B:B)
-despesas_recorrentes!$B$12
+IF(SUMIF(gasto_cartao!E:E,saldo!B954,gasto_cartao!B:B)&gt;despesas_recorrentes!$B$12, SUMIF(gasto_cartao!E:E,saldo!B954,gasto_cartao!B:B),despesas_recorrentes!$B$12)</f>
        <v>34013</v>
      </c>
      <c r="D954" s="51">
        <f>SUM(receitas_recorrentes!B:B)+SUMIF(receitas_pontuais!E:E,B954,receitas_pontuais!B:B)</f>
        <v>56919</v>
      </c>
      <c r="E954" s="51">
        <f t="shared" si="2"/>
        <v>22906</v>
      </c>
      <c r="F954" s="53">
        <f>IFERROR(SUMIF(contas!G:G, B954, contas!B:B),0)</f>
        <v>0</v>
      </c>
      <c r="G954" s="51">
        <f>SUMIFS(previsoes!D:D, previsoes!E:E, "&lt;=" &amp; EOMONTH(DATEVALUE(B954&amp;"-01"),0), previsoes!F:F, "&gt;=" &amp; DATEVALUE(B954&amp;"-01"))</f>
        <v>0</v>
      </c>
      <c r="H954" s="52">
        <f t="shared" si="5"/>
        <v>160491.8958</v>
      </c>
      <c r="I954" s="49">
        <f t="shared" si="3"/>
        <v>22906</v>
      </c>
      <c r="J954" s="52">
        <f>IF(A954&lt;&gt;"",SUMIFS(metas!N:N, metas!E:E, "&gt;=" &amp; DATEVALUE(B954&amp;"-01"),metas!D:D, "&lt;=" &amp; DATEVALUE(B954&amp;"-01")),"")</f>
        <v>3182.813937</v>
      </c>
      <c r="K954" s="49">
        <f t="shared" si="4"/>
        <v>19723.18606</v>
      </c>
      <c r="L954" s="49">
        <f t="shared" si="6"/>
        <v>18160079.66</v>
      </c>
      <c r="M954" s="49">
        <f>IF(A954&lt;&gt;"",IF(COUNTIF(investimento!F:F, B954) &gt; 0, SUM(investimento!B:B)+I954, M953+I954),"")</f>
        <v>21612076.68</v>
      </c>
    </row>
    <row r="955" ht="22.5" customHeight="1">
      <c r="A955" s="47">
        <v>51004.0</v>
      </c>
      <c r="B955" s="48" t="str">
        <f t="shared" si="1"/>
        <v>2039-08</v>
      </c>
      <c r="C955" s="49">
        <f>SUMIF(despesas_recorrentes!C:C, "&gt;="&amp;A955,despesas_recorrentes!B:B) 
+SUMIF(despesas_recorrentes!C:C, "",despesas_recorrentes!B:B)
-despesas_recorrentes!$B$12
+IF(SUMIF(gasto_cartao!E:E,saldo!B955,gasto_cartao!B:B)&gt;despesas_recorrentes!$B$12, SUMIF(gasto_cartao!E:E,saldo!B955,gasto_cartao!B:B),despesas_recorrentes!$B$12)</f>
        <v>34013</v>
      </c>
      <c r="D955" s="51">
        <f>SUM(receitas_recorrentes!B:B)+SUMIF(receitas_pontuais!E:E,B955,receitas_pontuais!B:B)</f>
        <v>56919</v>
      </c>
      <c r="E955" s="51">
        <f t="shared" si="2"/>
        <v>22906</v>
      </c>
      <c r="F955" s="53">
        <f>IFERROR(SUMIF(contas!G:G, B955, contas!B:B),0)</f>
        <v>0</v>
      </c>
      <c r="G955" s="51">
        <f>SUMIFS(previsoes!D:D, previsoes!E:E, "&lt;=" &amp; EOMONTH(DATEVALUE(B955&amp;"-01"),0), previsoes!F:F, "&gt;=" &amp; DATEVALUE(B955&amp;"-01"))</f>
        <v>0</v>
      </c>
      <c r="H955" s="52">
        <f t="shared" si="5"/>
        <v>160491.8958</v>
      </c>
      <c r="I955" s="49">
        <f t="shared" si="3"/>
        <v>22906</v>
      </c>
      <c r="J955" s="52">
        <f>IF(A955&lt;&gt;"",SUMIFS(metas!N:N, metas!E:E, "&gt;=" &amp; DATEVALUE(B955&amp;"-01"),metas!D:D, "&lt;=" &amp; DATEVALUE(B955&amp;"-01")),"")</f>
        <v>3182.813937</v>
      </c>
      <c r="K955" s="49">
        <f t="shared" si="4"/>
        <v>19723.18606</v>
      </c>
      <c r="L955" s="49">
        <f t="shared" si="6"/>
        <v>18179802.85</v>
      </c>
      <c r="M955" s="49">
        <f>IF(A955&lt;&gt;"",IF(COUNTIF(investimento!F:F, B955) &gt; 0, SUM(investimento!B:B)+I955, M954+I955),"")</f>
        <v>21634982.68</v>
      </c>
    </row>
    <row r="956" ht="22.5" customHeight="1">
      <c r="A956" s="47">
        <v>51005.0</v>
      </c>
      <c r="B956" s="48" t="str">
        <f t="shared" si="1"/>
        <v>2039-08</v>
      </c>
      <c r="C956" s="49">
        <f>SUMIF(despesas_recorrentes!C:C, "&gt;="&amp;A956,despesas_recorrentes!B:B) 
+SUMIF(despesas_recorrentes!C:C, "",despesas_recorrentes!B:B)
-despesas_recorrentes!$B$12
+IF(SUMIF(gasto_cartao!E:E,saldo!B956,gasto_cartao!B:B)&gt;despesas_recorrentes!$B$12, SUMIF(gasto_cartao!E:E,saldo!B956,gasto_cartao!B:B),despesas_recorrentes!$B$12)</f>
        <v>34013</v>
      </c>
      <c r="D956" s="51">
        <f>SUM(receitas_recorrentes!B:B)+SUMIF(receitas_pontuais!E:E,B956,receitas_pontuais!B:B)</f>
        <v>56919</v>
      </c>
      <c r="E956" s="51">
        <f t="shared" si="2"/>
        <v>22906</v>
      </c>
      <c r="F956" s="53">
        <f>IFERROR(SUMIF(contas!G:G, B956, contas!B:B),0)</f>
        <v>0</v>
      </c>
      <c r="G956" s="51">
        <f>SUMIFS(previsoes!D:D, previsoes!E:E, "&lt;=" &amp; EOMONTH(DATEVALUE(B956&amp;"-01"),0), previsoes!F:F, "&gt;=" &amp; DATEVALUE(B956&amp;"-01"))</f>
        <v>0</v>
      </c>
      <c r="H956" s="52">
        <f t="shared" si="5"/>
        <v>160491.8958</v>
      </c>
      <c r="I956" s="49">
        <f t="shared" si="3"/>
        <v>22906</v>
      </c>
      <c r="J956" s="52">
        <f>IF(A956&lt;&gt;"",SUMIFS(metas!N:N, metas!E:E, "&gt;=" &amp; DATEVALUE(B956&amp;"-01"),metas!D:D, "&lt;=" &amp; DATEVALUE(B956&amp;"-01")),"")</f>
        <v>3182.813937</v>
      </c>
      <c r="K956" s="49">
        <f t="shared" si="4"/>
        <v>19723.18606</v>
      </c>
      <c r="L956" s="49">
        <f t="shared" si="6"/>
        <v>18199526.03</v>
      </c>
      <c r="M956" s="49">
        <f>IF(A956&lt;&gt;"",IF(COUNTIF(investimento!F:F, B956) &gt; 0, SUM(investimento!B:B)+I956, M955+I956),"")</f>
        <v>21657888.68</v>
      </c>
    </row>
    <row r="957" ht="22.5" customHeight="1">
      <c r="A957" s="47">
        <v>51006.0</v>
      </c>
      <c r="B957" s="48" t="str">
        <f t="shared" si="1"/>
        <v>2039-08</v>
      </c>
      <c r="C957" s="49">
        <f>SUMIF(despesas_recorrentes!C:C, "&gt;="&amp;A957,despesas_recorrentes!B:B) 
+SUMIF(despesas_recorrentes!C:C, "",despesas_recorrentes!B:B)
-despesas_recorrentes!$B$12
+IF(SUMIF(gasto_cartao!E:E,saldo!B957,gasto_cartao!B:B)&gt;despesas_recorrentes!$B$12, SUMIF(gasto_cartao!E:E,saldo!B957,gasto_cartao!B:B),despesas_recorrentes!$B$12)</f>
        <v>34013</v>
      </c>
      <c r="D957" s="51">
        <f>SUM(receitas_recorrentes!B:B)+SUMIF(receitas_pontuais!E:E,B957,receitas_pontuais!B:B)</f>
        <v>56919</v>
      </c>
      <c r="E957" s="51">
        <f t="shared" si="2"/>
        <v>22906</v>
      </c>
      <c r="F957" s="53">
        <f>IFERROR(SUMIF(contas!G:G, B957, contas!B:B),0)</f>
        <v>0</v>
      </c>
      <c r="G957" s="51">
        <f>SUMIFS(previsoes!D:D, previsoes!E:E, "&lt;=" &amp; EOMONTH(DATEVALUE(B957&amp;"-01"),0), previsoes!F:F, "&gt;=" &amp; DATEVALUE(B957&amp;"-01"))</f>
        <v>0</v>
      </c>
      <c r="H957" s="52">
        <f t="shared" si="5"/>
        <v>160491.8958</v>
      </c>
      <c r="I957" s="49">
        <f t="shared" si="3"/>
        <v>22906</v>
      </c>
      <c r="J957" s="52">
        <f>IF(A957&lt;&gt;"",SUMIFS(metas!N:N, metas!E:E, "&gt;=" &amp; DATEVALUE(B957&amp;"-01"),metas!D:D, "&lt;=" &amp; DATEVALUE(B957&amp;"-01")),"")</f>
        <v>3182.813937</v>
      </c>
      <c r="K957" s="49">
        <f t="shared" si="4"/>
        <v>19723.18606</v>
      </c>
      <c r="L957" s="49">
        <f t="shared" si="6"/>
        <v>18219249.22</v>
      </c>
      <c r="M957" s="49">
        <f>IF(A957&lt;&gt;"",IF(COUNTIF(investimento!F:F, B957) &gt; 0, SUM(investimento!B:B)+I957, M956+I957),"")</f>
        <v>21680794.68</v>
      </c>
    </row>
    <row r="958" ht="22.5" customHeight="1">
      <c r="A958" s="47">
        <v>51007.0</v>
      </c>
      <c r="B958" s="48" t="str">
        <f t="shared" si="1"/>
        <v>2039-08</v>
      </c>
      <c r="C958" s="49">
        <f>SUMIF(despesas_recorrentes!C:C, "&gt;="&amp;A958,despesas_recorrentes!B:B) 
+SUMIF(despesas_recorrentes!C:C, "",despesas_recorrentes!B:B)
-despesas_recorrentes!$B$12
+IF(SUMIF(gasto_cartao!E:E,saldo!B958,gasto_cartao!B:B)&gt;despesas_recorrentes!$B$12, SUMIF(gasto_cartao!E:E,saldo!B958,gasto_cartao!B:B),despesas_recorrentes!$B$12)</f>
        <v>34013</v>
      </c>
      <c r="D958" s="51">
        <f>SUM(receitas_recorrentes!B:B)+SUMIF(receitas_pontuais!E:E,B958,receitas_pontuais!B:B)</f>
        <v>56919</v>
      </c>
      <c r="E958" s="51">
        <f t="shared" si="2"/>
        <v>22906</v>
      </c>
      <c r="F958" s="53">
        <f>IFERROR(SUMIF(contas!G:G, B958, contas!B:B),0)</f>
        <v>0</v>
      </c>
      <c r="G958" s="51">
        <f>SUMIFS(previsoes!D:D, previsoes!E:E, "&lt;=" &amp; EOMONTH(DATEVALUE(B958&amp;"-01"),0), previsoes!F:F, "&gt;=" &amp; DATEVALUE(B958&amp;"-01"))</f>
        <v>0</v>
      </c>
      <c r="H958" s="52">
        <f t="shared" si="5"/>
        <v>160491.8958</v>
      </c>
      <c r="I958" s="49">
        <f t="shared" si="3"/>
        <v>22906</v>
      </c>
      <c r="J958" s="52">
        <f>IF(A958&lt;&gt;"",SUMIFS(metas!N:N, metas!E:E, "&gt;=" &amp; DATEVALUE(B958&amp;"-01"),metas!D:D, "&lt;=" &amp; DATEVALUE(B958&amp;"-01")),"")</f>
        <v>3182.813937</v>
      </c>
      <c r="K958" s="49">
        <f t="shared" si="4"/>
        <v>19723.18606</v>
      </c>
      <c r="L958" s="49">
        <f t="shared" si="6"/>
        <v>18238972.41</v>
      </c>
      <c r="M958" s="49">
        <f>IF(A958&lt;&gt;"",IF(COUNTIF(investimento!F:F, B958) &gt; 0, SUM(investimento!B:B)+I958, M957+I958),"")</f>
        <v>21703700.68</v>
      </c>
    </row>
    <row r="959" ht="22.5" customHeight="1">
      <c r="A959" s="47">
        <v>51008.0</v>
      </c>
      <c r="B959" s="48" t="str">
        <f t="shared" si="1"/>
        <v>2039-08</v>
      </c>
      <c r="C959" s="49">
        <f>SUMIF(despesas_recorrentes!C:C, "&gt;="&amp;A959,despesas_recorrentes!B:B) 
+SUMIF(despesas_recorrentes!C:C, "",despesas_recorrentes!B:B)
-despesas_recorrentes!$B$12
+IF(SUMIF(gasto_cartao!E:E,saldo!B959,gasto_cartao!B:B)&gt;despesas_recorrentes!$B$12, SUMIF(gasto_cartao!E:E,saldo!B959,gasto_cartao!B:B),despesas_recorrentes!$B$12)</f>
        <v>34013</v>
      </c>
      <c r="D959" s="51">
        <f>SUM(receitas_recorrentes!B:B)+SUMIF(receitas_pontuais!E:E,B959,receitas_pontuais!B:B)</f>
        <v>56919</v>
      </c>
      <c r="E959" s="51">
        <f t="shared" si="2"/>
        <v>22906</v>
      </c>
      <c r="F959" s="53">
        <f>IFERROR(SUMIF(contas!G:G, B959, contas!B:B),0)</f>
        <v>0</v>
      </c>
      <c r="G959" s="51">
        <f>SUMIFS(previsoes!D:D, previsoes!E:E, "&lt;=" &amp; EOMONTH(DATEVALUE(B959&amp;"-01"),0), previsoes!F:F, "&gt;=" &amp; DATEVALUE(B959&amp;"-01"))</f>
        <v>0</v>
      </c>
      <c r="H959" s="52">
        <f t="shared" si="5"/>
        <v>160491.8958</v>
      </c>
      <c r="I959" s="49">
        <f t="shared" si="3"/>
        <v>22906</v>
      </c>
      <c r="J959" s="52">
        <f>IF(A959&lt;&gt;"",SUMIFS(metas!N:N, metas!E:E, "&gt;=" &amp; DATEVALUE(B959&amp;"-01"),metas!D:D, "&lt;=" &amp; DATEVALUE(B959&amp;"-01")),"")</f>
        <v>3182.813937</v>
      </c>
      <c r="K959" s="49">
        <f t="shared" si="4"/>
        <v>19723.18606</v>
      </c>
      <c r="L959" s="49">
        <f t="shared" si="6"/>
        <v>18258695.59</v>
      </c>
      <c r="M959" s="49">
        <f>IF(A959&lt;&gt;"",IF(COUNTIF(investimento!F:F, B959) &gt; 0, SUM(investimento!B:B)+I959, M958+I959),"")</f>
        <v>21726606.68</v>
      </c>
    </row>
    <row r="960" ht="22.5" customHeight="1">
      <c r="A960" s="47">
        <v>51009.0</v>
      </c>
      <c r="B960" s="48" t="str">
        <f t="shared" si="1"/>
        <v>2039-08</v>
      </c>
      <c r="C960" s="49">
        <f>SUMIF(despesas_recorrentes!C:C, "&gt;="&amp;A960,despesas_recorrentes!B:B) 
+SUMIF(despesas_recorrentes!C:C, "",despesas_recorrentes!B:B)
-despesas_recorrentes!$B$12
+IF(SUMIF(gasto_cartao!E:E,saldo!B960,gasto_cartao!B:B)&gt;despesas_recorrentes!$B$12, SUMIF(gasto_cartao!E:E,saldo!B960,gasto_cartao!B:B),despesas_recorrentes!$B$12)</f>
        <v>34013</v>
      </c>
      <c r="D960" s="51">
        <f>SUM(receitas_recorrentes!B:B)+SUMIF(receitas_pontuais!E:E,B960,receitas_pontuais!B:B)</f>
        <v>56919</v>
      </c>
      <c r="E960" s="51">
        <f t="shared" si="2"/>
        <v>22906</v>
      </c>
      <c r="F960" s="53">
        <f>IFERROR(SUMIF(contas!G:G, B960, contas!B:B),0)</f>
        <v>0</v>
      </c>
      <c r="G960" s="51">
        <f>SUMIFS(previsoes!D:D, previsoes!E:E, "&lt;=" &amp; EOMONTH(DATEVALUE(B960&amp;"-01"),0), previsoes!F:F, "&gt;=" &amp; DATEVALUE(B960&amp;"-01"))</f>
        <v>0</v>
      </c>
      <c r="H960" s="52">
        <f t="shared" si="5"/>
        <v>160491.8958</v>
      </c>
      <c r="I960" s="49">
        <f t="shared" si="3"/>
        <v>22906</v>
      </c>
      <c r="J960" s="52">
        <f>IF(A960&lt;&gt;"",SUMIFS(metas!N:N, metas!E:E, "&gt;=" &amp; DATEVALUE(B960&amp;"-01"),metas!D:D, "&lt;=" &amp; DATEVALUE(B960&amp;"-01")),"")</f>
        <v>3182.813937</v>
      </c>
      <c r="K960" s="49">
        <f t="shared" si="4"/>
        <v>19723.18606</v>
      </c>
      <c r="L960" s="49">
        <f t="shared" si="6"/>
        <v>18278418.78</v>
      </c>
      <c r="M960" s="49">
        <f>IF(A960&lt;&gt;"",IF(COUNTIF(investimento!F:F, B960) &gt; 0, SUM(investimento!B:B)+I960, M959+I960),"")</f>
        <v>21749512.68</v>
      </c>
    </row>
    <row r="961" ht="22.5" customHeight="1">
      <c r="A961" s="47">
        <v>51010.0</v>
      </c>
      <c r="B961" s="48" t="str">
        <f t="shared" si="1"/>
        <v>2039-08</v>
      </c>
      <c r="C961" s="49">
        <f>SUMIF(despesas_recorrentes!C:C, "&gt;="&amp;A961,despesas_recorrentes!B:B) 
+SUMIF(despesas_recorrentes!C:C, "",despesas_recorrentes!B:B)
-despesas_recorrentes!$B$12
+IF(SUMIF(gasto_cartao!E:E,saldo!B961,gasto_cartao!B:B)&gt;despesas_recorrentes!$B$12, SUMIF(gasto_cartao!E:E,saldo!B961,gasto_cartao!B:B),despesas_recorrentes!$B$12)</f>
        <v>34013</v>
      </c>
      <c r="D961" s="51">
        <f>SUM(receitas_recorrentes!B:B)+SUMIF(receitas_pontuais!E:E,B961,receitas_pontuais!B:B)</f>
        <v>56919</v>
      </c>
      <c r="E961" s="51">
        <f t="shared" si="2"/>
        <v>22906</v>
      </c>
      <c r="F961" s="53">
        <f>IFERROR(SUMIF(contas!G:G, B961, contas!B:B),0)</f>
        <v>0</v>
      </c>
      <c r="G961" s="51">
        <f>SUMIFS(previsoes!D:D, previsoes!E:E, "&lt;=" &amp; EOMONTH(DATEVALUE(B961&amp;"-01"),0), previsoes!F:F, "&gt;=" &amp; DATEVALUE(B961&amp;"-01"))</f>
        <v>0</v>
      </c>
      <c r="H961" s="52">
        <f t="shared" si="5"/>
        <v>160491.8958</v>
      </c>
      <c r="I961" s="49">
        <f t="shared" si="3"/>
        <v>22906</v>
      </c>
      <c r="J961" s="52">
        <f>IF(A961&lt;&gt;"",SUMIFS(metas!N:N, metas!E:E, "&gt;=" &amp; DATEVALUE(B961&amp;"-01"),metas!D:D, "&lt;=" &amp; DATEVALUE(B961&amp;"-01")),"")</f>
        <v>3182.813937</v>
      </c>
      <c r="K961" s="49">
        <f t="shared" si="4"/>
        <v>19723.18606</v>
      </c>
      <c r="L961" s="49">
        <f t="shared" si="6"/>
        <v>18298141.96</v>
      </c>
      <c r="M961" s="49">
        <f>IF(A961&lt;&gt;"",IF(COUNTIF(investimento!F:F, B961) &gt; 0, SUM(investimento!B:B)+I961, M960+I961),"")</f>
        <v>21772418.68</v>
      </c>
    </row>
    <row r="962" ht="22.5" customHeight="1">
      <c r="A962" s="47">
        <v>51011.0</v>
      </c>
      <c r="B962" s="48" t="str">
        <f t="shared" si="1"/>
        <v>2039-08</v>
      </c>
      <c r="C962" s="49">
        <f>SUMIF(despesas_recorrentes!C:C, "&gt;="&amp;A962,despesas_recorrentes!B:B) 
+SUMIF(despesas_recorrentes!C:C, "",despesas_recorrentes!B:B)
-despesas_recorrentes!$B$12
+IF(SUMIF(gasto_cartao!E:E,saldo!B962,gasto_cartao!B:B)&gt;despesas_recorrentes!$B$12, SUMIF(gasto_cartao!E:E,saldo!B962,gasto_cartao!B:B),despesas_recorrentes!$B$12)</f>
        <v>34013</v>
      </c>
      <c r="D962" s="51">
        <f>SUM(receitas_recorrentes!B:B)+SUMIF(receitas_pontuais!E:E,B962,receitas_pontuais!B:B)</f>
        <v>56919</v>
      </c>
      <c r="E962" s="51">
        <f t="shared" si="2"/>
        <v>22906</v>
      </c>
      <c r="F962" s="53">
        <f>IFERROR(SUMIF(contas!G:G, B962, contas!B:B),0)</f>
        <v>0</v>
      </c>
      <c r="G962" s="51">
        <f>SUMIFS(previsoes!D:D, previsoes!E:E, "&lt;=" &amp; EOMONTH(DATEVALUE(B962&amp;"-01"),0), previsoes!F:F, "&gt;=" &amp; DATEVALUE(B962&amp;"-01"))</f>
        <v>0</v>
      </c>
      <c r="H962" s="52">
        <f t="shared" si="5"/>
        <v>160491.8958</v>
      </c>
      <c r="I962" s="49">
        <f t="shared" si="3"/>
        <v>22906</v>
      </c>
      <c r="J962" s="52">
        <f>IF(A962&lt;&gt;"",SUMIFS(metas!N:N, metas!E:E, "&gt;=" &amp; DATEVALUE(B962&amp;"-01"),metas!D:D, "&lt;=" &amp; DATEVALUE(B962&amp;"-01")),"")</f>
        <v>3182.813937</v>
      </c>
      <c r="K962" s="49">
        <f t="shared" si="4"/>
        <v>19723.18606</v>
      </c>
      <c r="L962" s="49">
        <f t="shared" si="6"/>
        <v>18317865.15</v>
      </c>
      <c r="M962" s="49">
        <f>IF(A962&lt;&gt;"",IF(COUNTIF(investimento!F:F, B962) &gt; 0, SUM(investimento!B:B)+I962, M961+I962),"")</f>
        <v>21795324.68</v>
      </c>
    </row>
    <row r="963" ht="22.5" customHeight="1">
      <c r="A963" s="47">
        <v>51012.0</v>
      </c>
      <c r="B963" s="48" t="str">
        <f t="shared" si="1"/>
        <v>2039-08</v>
      </c>
      <c r="C963" s="49">
        <f>SUMIF(despesas_recorrentes!C:C, "&gt;="&amp;A963,despesas_recorrentes!B:B) 
+SUMIF(despesas_recorrentes!C:C, "",despesas_recorrentes!B:B)
-despesas_recorrentes!$B$12
+IF(SUMIF(gasto_cartao!E:E,saldo!B963,gasto_cartao!B:B)&gt;despesas_recorrentes!$B$12, SUMIF(gasto_cartao!E:E,saldo!B963,gasto_cartao!B:B),despesas_recorrentes!$B$12)</f>
        <v>34013</v>
      </c>
      <c r="D963" s="51">
        <f>SUM(receitas_recorrentes!B:B)+SUMIF(receitas_pontuais!E:E,B963,receitas_pontuais!B:B)</f>
        <v>56919</v>
      </c>
      <c r="E963" s="51">
        <f t="shared" si="2"/>
        <v>22906</v>
      </c>
      <c r="F963" s="53">
        <f>IFERROR(SUMIF(contas!G:G, B963, contas!B:B),0)</f>
        <v>0</v>
      </c>
      <c r="G963" s="51">
        <f>SUMIFS(previsoes!D:D, previsoes!E:E, "&lt;=" &amp; EOMONTH(DATEVALUE(B963&amp;"-01"),0), previsoes!F:F, "&gt;=" &amp; DATEVALUE(B963&amp;"-01"))</f>
        <v>0</v>
      </c>
      <c r="H963" s="52">
        <f t="shared" si="5"/>
        <v>160491.8958</v>
      </c>
      <c r="I963" s="49">
        <f t="shared" si="3"/>
        <v>22906</v>
      </c>
      <c r="J963" s="52">
        <f>IF(A963&lt;&gt;"",SUMIFS(metas!N:N, metas!E:E, "&gt;=" &amp; DATEVALUE(B963&amp;"-01"),metas!D:D, "&lt;=" &amp; DATEVALUE(B963&amp;"-01")),"")</f>
        <v>3182.813937</v>
      </c>
      <c r="K963" s="49">
        <f t="shared" si="4"/>
        <v>19723.18606</v>
      </c>
      <c r="L963" s="49">
        <f t="shared" si="6"/>
        <v>18337588.34</v>
      </c>
      <c r="M963" s="49">
        <f>IF(A963&lt;&gt;"",IF(COUNTIF(investimento!F:F, B963) &gt; 0, SUM(investimento!B:B)+I963, M962+I963),"")</f>
        <v>21818230.68</v>
      </c>
    </row>
    <row r="964" ht="22.5" customHeight="1">
      <c r="A964" s="47">
        <v>51013.0</v>
      </c>
      <c r="B964" s="48" t="str">
        <f t="shared" si="1"/>
        <v>2039-08</v>
      </c>
      <c r="C964" s="49">
        <f>SUMIF(despesas_recorrentes!C:C, "&gt;="&amp;A964,despesas_recorrentes!B:B) 
+SUMIF(despesas_recorrentes!C:C, "",despesas_recorrentes!B:B)
-despesas_recorrentes!$B$12
+IF(SUMIF(gasto_cartao!E:E,saldo!B964,gasto_cartao!B:B)&gt;despesas_recorrentes!$B$12, SUMIF(gasto_cartao!E:E,saldo!B964,gasto_cartao!B:B),despesas_recorrentes!$B$12)</f>
        <v>34013</v>
      </c>
      <c r="D964" s="51">
        <f>SUM(receitas_recorrentes!B:B)+SUMIF(receitas_pontuais!E:E,B964,receitas_pontuais!B:B)</f>
        <v>56919</v>
      </c>
      <c r="E964" s="51">
        <f t="shared" si="2"/>
        <v>22906</v>
      </c>
      <c r="F964" s="53">
        <f>IFERROR(SUMIF(contas!G:G, B964, contas!B:B),0)</f>
        <v>0</v>
      </c>
      <c r="G964" s="51">
        <f>SUMIFS(previsoes!D:D, previsoes!E:E, "&lt;=" &amp; EOMONTH(DATEVALUE(B964&amp;"-01"),0), previsoes!F:F, "&gt;=" &amp; DATEVALUE(B964&amp;"-01"))</f>
        <v>0</v>
      </c>
      <c r="H964" s="52">
        <f t="shared" si="5"/>
        <v>160491.8958</v>
      </c>
      <c r="I964" s="49">
        <f t="shared" si="3"/>
        <v>22906</v>
      </c>
      <c r="J964" s="52">
        <f>IF(A964&lt;&gt;"",SUMIFS(metas!N:N, metas!E:E, "&gt;=" &amp; DATEVALUE(B964&amp;"-01"),metas!D:D, "&lt;=" &amp; DATEVALUE(B964&amp;"-01")),"")</f>
        <v>3182.813937</v>
      </c>
      <c r="K964" s="49">
        <f t="shared" si="4"/>
        <v>19723.18606</v>
      </c>
      <c r="L964" s="49">
        <f t="shared" si="6"/>
        <v>18357311.52</v>
      </c>
      <c r="M964" s="49">
        <f>IF(A964&lt;&gt;"",IF(COUNTIF(investimento!F:F, B964) &gt; 0, SUM(investimento!B:B)+I964, M963+I964),"")</f>
        <v>21841136.68</v>
      </c>
    </row>
    <row r="965" ht="22.5" customHeight="1">
      <c r="A965" s="47">
        <v>51014.0</v>
      </c>
      <c r="B965" s="48" t="str">
        <f t="shared" si="1"/>
        <v>2039-09</v>
      </c>
      <c r="C965" s="49">
        <f>SUMIF(despesas_recorrentes!C:C, "&gt;="&amp;A965,despesas_recorrentes!B:B) 
+SUMIF(despesas_recorrentes!C:C, "",despesas_recorrentes!B:B)
-despesas_recorrentes!$B$12
+IF(SUMIF(gasto_cartao!E:E,saldo!B965,gasto_cartao!B:B)&gt;despesas_recorrentes!$B$12, SUMIF(gasto_cartao!E:E,saldo!B965,gasto_cartao!B:B),despesas_recorrentes!$B$12)</f>
        <v>34013</v>
      </c>
      <c r="D965" s="51">
        <f>SUM(receitas_recorrentes!B:B)+SUMIF(receitas_pontuais!E:E,B965,receitas_pontuais!B:B)</f>
        <v>56919</v>
      </c>
      <c r="E965" s="51">
        <f t="shared" si="2"/>
        <v>22906</v>
      </c>
      <c r="F965" s="53">
        <f>IFERROR(SUMIF(contas!G:G, B965, contas!B:B),0)</f>
        <v>0</v>
      </c>
      <c r="G965" s="51">
        <f>SUMIFS(previsoes!D:D, previsoes!E:E, "&lt;=" &amp; EOMONTH(DATEVALUE(B965&amp;"-01"),0), previsoes!F:F, "&gt;=" &amp; DATEVALUE(B965&amp;"-01"))</f>
        <v>0</v>
      </c>
      <c r="H965" s="52">
        <f t="shared" si="5"/>
        <v>160491.8958</v>
      </c>
      <c r="I965" s="49">
        <f t="shared" si="3"/>
        <v>22906</v>
      </c>
      <c r="J965" s="52">
        <f>IF(A965&lt;&gt;"",SUMIFS(metas!N:N, metas!E:E, "&gt;=" &amp; DATEVALUE(B965&amp;"-01"),metas!D:D, "&lt;=" &amp; DATEVALUE(B965&amp;"-01")),"")</f>
        <v>3182.813937</v>
      </c>
      <c r="K965" s="49">
        <f t="shared" si="4"/>
        <v>19723.18606</v>
      </c>
      <c r="L965" s="49">
        <f t="shared" si="6"/>
        <v>18377034.71</v>
      </c>
      <c r="M965" s="49">
        <f>IF(A965&lt;&gt;"",IF(COUNTIF(investimento!F:F, B965) &gt; 0, SUM(investimento!B:B)+I965, M964+I965),"")</f>
        <v>21864042.68</v>
      </c>
    </row>
    <row r="966" ht="22.5" customHeight="1">
      <c r="A966" s="47">
        <v>51015.0</v>
      </c>
      <c r="B966" s="48" t="str">
        <f t="shared" si="1"/>
        <v>2039-09</v>
      </c>
      <c r="C966" s="49">
        <f>SUMIF(despesas_recorrentes!C:C, "&gt;="&amp;A966,despesas_recorrentes!B:B) 
+SUMIF(despesas_recorrentes!C:C, "",despesas_recorrentes!B:B)
-despesas_recorrentes!$B$12
+IF(SUMIF(gasto_cartao!E:E,saldo!B966,gasto_cartao!B:B)&gt;despesas_recorrentes!$B$12, SUMIF(gasto_cartao!E:E,saldo!B966,gasto_cartao!B:B),despesas_recorrentes!$B$12)</f>
        <v>34013</v>
      </c>
      <c r="D966" s="51">
        <f>SUM(receitas_recorrentes!B:B)+SUMIF(receitas_pontuais!E:E,B966,receitas_pontuais!B:B)</f>
        <v>56919</v>
      </c>
      <c r="E966" s="51">
        <f t="shared" si="2"/>
        <v>22906</v>
      </c>
      <c r="F966" s="53">
        <f>IFERROR(SUMIF(contas!G:G, B966, contas!B:B),0)</f>
        <v>0</v>
      </c>
      <c r="G966" s="51">
        <f>SUMIFS(previsoes!D:D, previsoes!E:E, "&lt;=" &amp; EOMONTH(DATEVALUE(B966&amp;"-01"),0), previsoes!F:F, "&gt;=" &amp; DATEVALUE(B966&amp;"-01"))</f>
        <v>0</v>
      </c>
      <c r="H966" s="52">
        <f t="shared" si="5"/>
        <v>160491.8958</v>
      </c>
      <c r="I966" s="49">
        <f t="shared" si="3"/>
        <v>22906</v>
      </c>
      <c r="J966" s="52">
        <f>IF(A966&lt;&gt;"",SUMIFS(metas!N:N, metas!E:E, "&gt;=" &amp; DATEVALUE(B966&amp;"-01"),metas!D:D, "&lt;=" &amp; DATEVALUE(B966&amp;"-01")),"")</f>
        <v>3182.813937</v>
      </c>
      <c r="K966" s="49">
        <f t="shared" si="4"/>
        <v>19723.18606</v>
      </c>
      <c r="L966" s="49">
        <f t="shared" si="6"/>
        <v>18396757.89</v>
      </c>
      <c r="M966" s="49">
        <f>IF(A966&lt;&gt;"",IF(COUNTIF(investimento!F:F, B966) &gt; 0, SUM(investimento!B:B)+I966, M965+I966),"")</f>
        <v>21886948.68</v>
      </c>
    </row>
    <row r="967" ht="22.5" customHeight="1">
      <c r="A967" s="47">
        <v>51016.0</v>
      </c>
      <c r="B967" s="48" t="str">
        <f t="shared" si="1"/>
        <v>2039-09</v>
      </c>
      <c r="C967" s="49">
        <f>SUMIF(despesas_recorrentes!C:C, "&gt;="&amp;A967,despesas_recorrentes!B:B) 
+SUMIF(despesas_recorrentes!C:C, "",despesas_recorrentes!B:B)
-despesas_recorrentes!$B$12
+IF(SUMIF(gasto_cartao!E:E,saldo!B967,gasto_cartao!B:B)&gt;despesas_recorrentes!$B$12, SUMIF(gasto_cartao!E:E,saldo!B967,gasto_cartao!B:B),despesas_recorrentes!$B$12)</f>
        <v>34013</v>
      </c>
      <c r="D967" s="51">
        <f>SUM(receitas_recorrentes!B:B)+SUMIF(receitas_pontuais!E:E,B967,receitas_pontuais!B:B)</f>
        <v>56919</v>
      </c>
      <c r="E967" s="51">
        <f t="shared" si="2"/>
        <v>22906</v>
      </c>
      <c r="F967" s="53">
        <f>IFERROR(SUMIF(contas!G:G, B967, contas!B:B),0)</f>
        <v>0</v>
      </c>
      <c r="G967" s="51">
        <f>SUMIFS(previsoes!D:D, previsoes!E:E, "&lt;=" &amp; EOMONTH(DATEVALUE(B967&amp;"-01"),0), previsoes!F:F, "&gt;=" &amp; DATEVALUE(B967&amp;"-01"))</f>
        <v>0</v>
      </c>
      <c r="H967" s="52">
        <f t="shared" si="5"/>
        <v>160491.8958</v>
      </c>
      <c r="I967" s="49">
        <f t="shared" si="3"/>
        <v>22906</v>
      </c>
      <c r="J967" s="52">
        <f>IF(A967&lt;&gt;"",SUMIFS(metas!N:N, metas!E:E, "&gt;=" &amp; DATEVALUE(B967&amp;"-01"),metas!D:D, "&lt;=" &amp; DATEVALUE(B967&amp;"-01")),"")</f>
        <v>3182.813937</v>
      </c>
      <c r="K967" s="49">
        <f t="shared" si="4"/>
        <v>19723.18606</v>
      </c>
      <c r="L967" s="49">
        <f t="shared" si="6"/>
        <v>18416481.08</v>
      </c>
      <c r="M967" s="49">
        <f>IF(A967&lt;&gt;"",IF(COUNTIF(investimento!F:F, B967) &gt; 0, SUM(investimento!B:B)+I967, M966+I967),"")</f>
        <v>21909854.68</v>
      </c>
    </row>
    <row r="968" ht="22.5" customHeight="1">
      <c r="A968" s="47">
        <v>51017.0</v>
      </c>
      <c r="B968" s="48" t="str">
        <f t="shared" si="1"/>
        <v>2039-09</v>
      </c>
      <c r="C968" s="49">
        <f>SUMIF(despesas_recorrentes!C:C, "&gt;="&amp;A968,despesas_recorrentes!B:B) 
+SUMIF(despesas_recorrentes!C:C, "",despesas_recorrentes!B:B)
-despesas_recorrentes!$B$12
+IF(SUMIF(gasto_cartao!E:E,saldo!B968,gasto_cartao!B:B)&gt;despesas_recorrentes!$B$12, SUMIF(gasto_cartao!E:E,saldo!B968,gasto_cartao!B:B),despesas_recorrentes!$B$12)</f>
        <v>34013</v>
      </c>
      <c r="D968" s="51">
        <f>SUM(receitas_recorrentes!B:B)+SUMIF(receitas_pontuais!E:E,B968,receitas_pontuais!B:B)</f>
        <v>56919</v>
      </c>
      <c r="E968" s="51">
        <f t="shared" si="2"/>
        <v>22906</v>
      </c>
      <c r="F968" s="53">
        <f>IFERROR(SUMIF(contas!G:G, B968, contas!B:B),0)</f>
        <v>0</v>
      </c>
      <c r="G968" s="51">
        <f>SUMIFS(previsoes!D:D, previsoes!E:E, "&lt;=" &amp; EOMONTH(DATEVALUE(B968&amp;"-01"),0), previsoes!F:F, "&gt;=" &amp; DATEVALUE(B968&amp;"-01"))</f>
        <v>0</v>
      </c>
      <c r="H968" s="52">
        <f t="shared" si="5"/>
        <v>160491.8958</v>
      </c>
      <c r="I968" s="49">
        <f t="shared" si="3"/>
        <v>22906</v>
      </c>
      <c r="J968" s="52">
        <f>IF(A968&lt;&gt;"",SUMIFS(metas!N:N, metas!E:E, "&gt;=" &amp; DATEVALUE(B968&amp;"-01"),metas!D:D, "&lt;=" &amp; DATEVALUE(B968&amp;"-01")),"")</f>
        <v>3182.813937</v>
      </c>
      <c r="K968" s="49">
        <f t="shared" si="4"/>
        <v>19723.18606</v>
      </c>
      <c r="L968" s="49">
        <f t="shared" si="6"/>
        <v>18436204.27</v>
      </c>
      <c r="M968" s="49">
        <f>IF(A968&lt;&gt;"",IF(COUNTIF(investimento!F:F, B968) &gt; 0, SUM(investimento!B:B)+I968, M967+I968),"")</f>
        <v>21932760.68</v>
      </c>
    </row>
    <row r="969" ht="22.5" customHeight="1">
      <c r="A969" s="47">
        <v>51018.0</v>
      </c>
      <c r="B969" s="48" t="str">
        <f t="shared" si="1"/>
        <v>2039-09</v>
      </c>
      <c r="C969" s="49">
        <f>SUMIF(despesas_recorrentes!C:C, "&gt;="&amp;A969,despesas_recorrentes!B:B) 
+SUMIF(despesas_recorrentes!C:C, "",despesas_recorrentes!B:B)
-despesas_recorrentes!$B$12
+IF(SUMIF(gasto_cartao!E:E,saldo!B969,gasto_cartao!B:B)&gt;despesas_recorrentes!$B$12, SUMIF(gasto_cartao!E:E,saldo!B969,gasto_cartao!B:B),despesas_recorrentes!$B$12)</f>
        <v>34013</v>
      </c>
      <c r="D969" s="51">
        <f>SUM(receitas_recorrentes!B:B)+SUMIF(receitas_pontuais!E:E,B969,receitas_pontuais!B:B)</f>
        <v>56919</v>
      </c>
      <c r="E969" s="51">
        <f t="shared" si="2"/>
        <v>22906</v>
      </c>
      <c r="F969" s="53">
        <f>IFERROR(SUMIF(contas!G:G, B969, contas!B:B),0)</f>
        <v>0</v>
      </c>
      <c r="G969" s="51">
        <f>SUMIFS(previsoes!D:D, previsoes!E:E, "&lt;=" &amp; EOMONTH(DATEVALUE(B969&amp;"-01"),0), previsoes!F:F, "&gt;=" &amp; DATEVALUE(B969&amp;"-01"))</f>
        <v>0</v>
      </c>
      <c r="H969" s="52">
        <f t="shared" si="5"/>
        <v>160491.8958</v>
      </c>
      <c r="I969" s="49">
        <f t="shared" si="3"/>
        <v>22906</v>
      </c>
      <c r="J969" s="52">
        <f>IF(A969&lt;&gt;"",SUMIFS(metas!N:N, metas!E:E, "&gt;=" &amp; DATEVALUE(B969&amp;"-01"),metas!D:D, "&lt;=" &amp; DATEVALUE(B969&amp;"-01")),"")</f>
        <v>3182.813937</v>
      </c>
      <c r="K969" s="49">
        <f t="shared" si="4"/>
        <v>19723.18606</v>
      </c>
      <c r="L969" s="49">
        <f t="shared" si="6"/>
        <v>18455927.45</v>
      </c>
      <c r="M969" s="49">
        <f>IF(A969&lt;&gt;"",IF(COUNTIF(investimento!F:F, B969) &gt; 0, SUM(investimento!B:B)+I969, M968+I969),"")</f>
        <v>21955666.68</v>
      </c>
    </row>
    <row r="970" ht="22.5" customHeight="1">
      <c r="A970" s="47">
        <v>51019.0</v>
      </c>
      <c r="B970" s="48" t="str">
        <f t="shared" si="1"/>
        <v>2039-09</v>
      </c>
      <c r="C970" s="49">
        <f>SUMIF(despesas_recorrentes!C:C, "&gt;="&amp;A970,despesas_recorrentes!B:B) 
+SUMIF(despesas_recorrentes!C:C, "",despesas_recorrentes!B:B)
-despesas_recorrentes!$B$12
+IF(SUMIF(gasto_cartao!E:E,saldo!B970,gasto_cartao!B:B)&gt;despesas_recorrentes!$B$12, SUMIF(gasto_cartao!E:E,saldo!B970,gasto_cartao!B:B),despesas_recorrentes!$B$12)</f>
        <v>34013</v>
      </c>
      <c r="D970" s="51">
        <f>SUM(receitas_recorrentes!B:B)+SUMIF(receitas_pontuais!E:E,B970,receitas_pontuais!B:B)</f>
        <v>56919</v>
      </c>
      <c r="E970" s="51">
        <f t="shared" si="2"/>
        <v>22906</v>
      </c>
      <c r="F970" s="53">
        <f>IFERROR(SUMIF(contas!G:G, B970, contas!B:B),0)</f>
        <v>0</v>
      </c>
      <c r="G970" s="51">
        <f>SUMIFS(previsoes!D:D, previsoes!E:E, "&lt;=" &amp; EOMONTH(DATEVALUE(B970&amp;"-01"),0), previsoes!F:F, "&gt;=" &amp; DATEVALUE(B970&amp;"-01"))</f>
        <v>0</v>
      </c>
      <c r="H970" s="52">
        <f t="shared" si="5"/>
        <v>160491.8958</v>
      </c>
      <c r="I970" s="49">
        <f t="shared" si="3"/>
        <v>22906</v>
      </c>
      <c r="J970" s="52">
        <f>IF(A970&lt;&gt;"",SUMIFS(metas!N:N, metas!E:E, "&gt;=" &amp; DATEVALUE(B970&amp;"-01"),metas!D:D, "&lt;=" &amp; DATEVALUE(B970&amp;"-01")),"")</f>
        <v>3182.813937</v>
      </c>
      <c r="K970" s="49">
        <f t="shared" si="4"/>
        <v>19723.18606</v>
      </c>
      <c r="L970" s="49">
        <f t="shared" si="6"/>
        <v>18475650.64</v>
      </c>
      <c r="M970" s="49">
        <f>IF(A970&lt;&gt;"",IF(COUNTIF(investimento!F:F, B970) &gt; 0, SUM(investimento!B:B)+I970, M969+I970),"")</f>
        <v>21978572.68</v>
      </c>
    </row>
    <row r="971" ht="22.5" customHeight="1">
      <c r="A971" s="47">
        <v>51020.0</v>
      </c>
      <c r="B971" s="48" t="str">
        <f t="shared" si="1"/>
        <v>2039-09</v>
      </c>
      <c r="C971" s="49">
        <f>SUMIF(despesas_recorrentes!C:C, "&gt;="&amp;A971,despesas_recorrentes!B:B) 
+SUMIF(despesas_recorrentes!C:C, "",despesas_recorrentes!B:B)
-despesas_recorrentes!$B$12
+IF(SUMIF(gasto_cartao!E:E,saldo!B971,gasto_cartao!B:B)&gt;despesas_recorrentes!$B$12, SUMIF(gasto_cartao!E:E,saldo!B971,gasto_cartao!B:B),despesas_recorrentes!$B$12)</f>
        <v>34013</v>
      </c>
      <c r="D971" s="51">
        <f>SUM(receitas_recorrentes!B:B)+SUMIF(receitas_pontuais!E:E,B971,receitas_pontuais!B:B)</f>
        <v>56919</v>
      </c>
      <c r="E971" s="51">
        <f t="shared" si="2"/>
        <v>22906</v>
      </c>
      <c r="F971" s="53">
        <f>IFERROR(SUMIF(contas!G:G, B971, contas!B:B),0)</f>
        <v>0</v>
      </c>
      <c r="G971" s="51">
        <f>SUMIFS(previsoes!D:D, previsoes!E:E, "&lt;=" &amp; EOMONTH(DATEVALUE(B971&amp;"-01"),0), previsoes!F:F, "&gt;=" &amp; DATEVALUE(B971&amp;"-01"))</f>
        <v>0</v>
      </c>
      <c r="H971" s="52">
        <f t="shared" si="5"/>
        <v>160491.8958</v>
      </c>
      <c r="I971" s="49">
        <f t="shared" si="3"/>
        <v>22906</v>
      </c>
      <c r="J971" s="52">
        <f>IF(A971&lt;&gt;"",SUMIFS(metas!N:N, metas!E:E, "&gt;=" &amp; DATEVALUE(B971&amp;"-01"),metas!D:D, "&lt;=" &amp; DATEVALUE(B971&amp;"-01")),"")</f>
        <v>3182.813937</v>
      </c>
      <c r="K971" s="49">
        <f t="shared" si="4"/>
        <v>19723.18606</v>
      </c>
      <c r="L971" s="49">
        <f t="shared" si="6"/>
        <v>18495373.82</v>
      </c>
      <c r="M971" s="49">
        <f>IF(A971&lt;&gt;"",IF(COUNTIF(investimento!F:F, B971) &gt; 0, SUM(investimento!B:B)+I971, M970+I971),"")</f>
        <v>22001478.68</v>
      </c>
    </row>
    <row r="972" ht="22.5" customHeight="1">
      <c r="A972" s="47">
        <v>51021.0</v>
      </c>
      <c r="B972" s="48" t="str">
        <f t="shared" si="1"/>
        <v>2039-09</v>
      </c>
      <c r="C972" s="49">
        <f>SUMIF(despesas_recorrentes!C:C, "&gt;="&amp;A972,despesas_recorrentes!B:B) 
+SUMIF(despesas_recorrentes!C:C, "",despesas_recorrentes!B:B)
-despesas_recorrentes!$B$12
+IF(SUMIF(gasto_cartao!E:E,saldo!B972,gasto_cartao!B:B)&gt;despesas_recorrentes!$B$12, SUMIF(gasto_cartao!E:E,saldo!B972,gasto_cartao!B:B),despesas_recorrentes!$B$12)</f>
        <v>34013</v>
      </c>
      <c r="D972" s="51">
        <f>SUM(receitas_recorrentes!B:B)+SUMIF(receitas_pontuais!E:E,B972,receitas_pontuais!B:B)</f>
        <v>56919</v>
      </c>
      <c r="E972" s="51">
        <f t="shared" si="2"/>
        <v>22906</v>
      </c>
      <c r="F972" s="53">
        <f>IFERROR(SUMIF(contas!G:G, B972, contas!B:B),0)</f>
        <v>0</v>
      </c>
      <c r="G972" s="51">
        <f>SUMIFS(previsoes!D:D, previsoes!E:E, "&lt;=" &amp; EOMONTH(DATEVALUE(B972&amp;"-01"),0), previsoes!F:F, "&gt;=" &amp; DATEVALUE(B972&amp;"-01"))</f>
        <v>0</v>
      </c>
      <c r="H972" s="52">
        <f t="shared" si="5"/>
        <v>160491.8958</v>
      </c>
      <c r="I972" s="49">
        <f t="shared" si="3"/>
        <v>22906</v>
      </c>
      <c r="J972" s="52">
        <f>IF(A972&lt;&gt;"",SUMIFS(metas!N:N, metas!E:E, "&gt;=" &amp; DATEVALUE(B972&amp;"-01"),metas!D:D, "&lt;=" &amp; DATEVALUE(B972&amp;"-01")),"")</f>
        <v>3182.813937</v>
      </c>
      <c r="K972" s="49">
        <f t="shared" si="4"/>
        <v>19723.18606</v>
      </c>
      <c r="L972" s="49">
        <f t="shared" si="6"/>
        <v>18515097.01</v>
      </c>
      <c r="M972" s="49">
        <f>IF(A972&lt;&gt;"",IF(COUNTIF(investimento!F:F, B972) &gt; 0, SUM(investimento!B:B)+I972, M971+I972),"")</f>
        <v>22024384.68</v>
      </c>
    </row>
    <row r="973" ht="22.5" customHeight="1">
      <c r="A973" s="47">
        <v>51022.0</v>
      </c>
      <c r="B973" s="48" t="str">
        <f t="shared" si="1"/>
        <v>2039-09</v>
      </c>
      <c r="C973" s="49">
        <f>SUMIF(despesas_recorrentes!C:C, "&gt;="&amp;A973,despesas_recorrentes!B:B) 
+SUMIF(despesas_recorrentes!C:C, "",despesas_recorrentes!B:B)
-despesas_recorrentes!$B$12
+IF(SUMIF(gasto_cartao!E:E,saldo!B973,gasto_cartao!B:B)&gt;despesas_recorrentes!$B$12, SUMIF(gasto_cartao!E:E,saldo!B973,gasto_cartao!B:B),despesas_recorrentes!$B$12)</f>
        <v>34013</v>
      </c>
      <c r="D973" s="51">
        <f>SUM(receitas_recorrentes!B:B)+SUMIF(receitas_pontuais!E:E,B973,receitas_pontuais!B:B)</f>
        <v>56919</v>
      </c>
      <c r="E973" s="51">
        <f t="shared" si="2"/>
        <v>22906</v>
      </c>
      <c r="F973" s="53">
        <f>IFERROR(SUMIF(contas!G:G, B973, contas!B:B),0)</f>
        <v>0</v>
      </c>
      <c r="G973" s="51">
        <f>SUMIFS(previsoes!D:D, previsoes!E:E, "&lt;=" &amp; EOMONTH(DATEVALUE(B973&amp;"-01"),0), previsoes!F:F, "&gt;=" &amp; DATEVALUE(B973&amp;"-01"))</f>
        <v>0</v>
      </c>
      <c r="H973" s="52">
        <f t="shared" si="5"/>
        <v>160491.8958</v>
      </c>
      <c r="I973" s="49">
        <f t="shared" si="3"/>
        <v>22906</v>
      </c>
      <c r="J973" s="52">
        <f>IF(A973&lt;&gt;"",SUMIFS(metas!N:N, metas!E:E, "&gt;=" &amp; DATEVALUE(B973&amp;"-01"),metas!D:D, "&lt;=" &amp; DATEVALUE(B973&amp;"-01")),"")</f>
        <v>3182.813937</v>
      </c>
      <c r="K973" s="49">
        <f t="shared" si="4"/>
        <v>19723.18606</v>
      </c>
      <c r="L973" s="49">
        <f t="shared" si="6"/>
        <v>18534820.2</v>
      </c>
      <c r="M973" s="49">
        <f>IF(A973&lt;&gt;"",IF(COUNTIF(investimento!F:F, B973) &gt; 0, SUM(investimento!B:B)+I973, M972+I973),"")</f>
        <v>22047290.68</v>
      </c>
    </row>
    <row r="974" ht="22.5" customHeight="1">
      <c r="A974" s="47">
        <v>51023.0</v>
      </c>
      <c r="B974" s="48" t="str">
        <f t="shared" si="1"/>
        <v>2039-09</v>
      </c>
      <c r="C974" s="49">
        <f>SUMIF(despesas_recorrentes!C:C, "&gt;="&amp;A974,despesas_recorrentes!B:B) 
+SUMIF(despesas_recorrentes!C:C, "",despesas_recorrentes!B:B)
-despesas_recorrentes!$B$12
+IF(SUMIF(gasto_cartao!E:E,saldo!B974,gasto_cartao!B:B)&gt;despesas_recorrentes!$B$12, SUMIF(gasto_cartao!E:E,saldo!B974,gasto_cartao!B:B),despesas_recorrentes!$B$12)</f>
        <v>34013</v>
      </c>
      <c r="D974" s="51">
        <f>SUM(receitas_recorrentes!B:B)+SUMIF(receitas_pontuais!E:E,B974,receitas_pontuais!B:B)</f>
        <v>56919</v>
      </c>
      <c r="E974" s="51">
        <f t="shared" si="2"/>
        <v>22906</v>
      </c>
      <c r="F974" s="53">
        <f>IFERROR(SUMIF(contas!G:G, B974, contas!B:B),0)</f>
        <v>0</v>
      </c>
      <c r="G974" s="51">
        <f>SUMIFS(previsoes!D:D, previsoes!E:E, "&lt;=" &amp; EOMONTH(DATEVALUE(B974&amp;"-01"),0), previsoes!F:F, "&gt;=" &amp; DATEVALUE(B974&amp;"-01"))</f>
        <v>0</v>
      </c>
      <c r="H974" s="52">
        <f t="shared" si="5"/>
        <v>160491.8958</v>
      </c>
      <c r="I974" s="49">
        <f t="shared" si="3"/>
        <v>22906</v>
      </c>
      <c r="J974" s="52">
        <f>IF(A974&lt;&gt;"",SUMIFS(metas!N:N, metas!E:E, "&gt;=" &amp; DATEVALUE(B974&amp;"-01"),metas!D:D, "&lt;=" &amp; DATEVALUE(B974&amp;"-01")),"")</f>
        <v>3182.813937</v>
      </c>
      <c r="K974" s="49">
        <f t="shared" si="4"/>
        <v>19723.18606</v>
      </c>
      <c r="L974" s="49">
        <f t="shared" si="6"/>
        <v>18554543.38</v>
      </c>
      <c r="M974" s="49">
        <f>IF(A974&lt;&gt;"",IF(COUNTIF(investimento!F:F, B974) &gt; 0, SUM(investimento!B:B)+I974, M973+I974),"")</f>
        <v>22070196.68</v>
      </c>
    </row>
    <row r="975" ht="22.5" customHeight="1">
      <c r="A975" s="47">
        <v>51024.0</v>
      </c>
      <c r="B975" s="48" t="str">
        <f t="shared" si="1"/>
        <v>2039-09</v>
      </c>
      <c r="C975" s="49">
        <f>SUMIF(despesas_recorrentes!C:C, "&gt;="&amp;A975,despesas_recorrentes!B:B) 
+SUMIF(despesas_recorrentes!C:C, "",despesas_recorrentes!B:B)
-despesas_recorrentes!$B$12
+IF(SUMIF(gasto_cartao!E:E,saldo!B975,gasto_cartao!B:B)&gt;despesas_recorrentes!$B$12, SUMIF(gasto_cartao!E:E,saldo!B975,gasto_cartao!B:B),despesas_recorrentes!$B$12)</f>
        <v>34013</v>
      </c>
      <c r="D975" s="51">
        <f>SUM(receitas_recorrentes!B:B)+SUMIF(receitas_pontuais!E:E,B975,receitas_pontuais!B:B)</f>
        <v>56919</v>
      </c>
      <c r="E975" s="51">
        <f t="shared" si="2"/>
        <v>22906</v>
      </c>
      <c r="F975" s="53">
        <f>IFERROR(SUMIF(contas!G:G, B975, contas!B:B),0)</f>
        <v>0</v>
      </c>
      <c r="G975" s="51">
        <f>SUMIFS(previsoes!D:D, previsoes!E:E, "&lt;=" &amp; EOMONTH(DATEVALUE(B975&amp;"-01"),0), previsoes!F:F, "&gt;=" &amp; DATEVALUE(B975&amp;"-01"))</f>
        <v>0</v>
      </c>
      <c r="H975" s="52">
        <f t="shared" si="5"/>
        <v>160491.8958</v>
      </c>
      <c r="I975" s="49">
        <f t="shared" si="3"/>
        <v>22906</v>
      </c>
      <c r="J975" s="52">
        <f>IF(A975&lt;&gt;"",SUMIFS(metas!N:N, metas!E:E, "&gt;=" &amp; DATEVALUE(B975&amp;"-01"),metas!D:D, "&lt;=" &amp; DATEVALUE(B975&amp;"-01")),"")</f>
        <v>3182.813937</v>
      </c>
      <c r="K975" s="49">
        <f t="shared" si="4"/>
        <v>19723.18606</v>
      </c>
      <c r="L975" s="49">
        <f t="shared" si="6"/>
        <v>18574266.57</v>
      </c>
      <c r="M975" s="49">
        <f>IF(A975&lt;&gt;"",IF(COUNTIF(investimento!F:F, B975) &gt; 0, SUM(investimento!B:B)+I975, M974+I975),"")</f>
        <v>22093102.68</v>
      </c>
    </row>
    <row r="976" ht="22.5" customHeight="1">
      <c r="A976" s="47">
        <v>51025.0</v>
      </c>
      <c r="B976" s="48" t="str">
        <f t="shared" si="1"/>
        <v>2039-09</v>
      </c>
      <c r="C976" s="49">
        <f>SUMIF(despesas_recorrentes!C:C, "&gt;="&amp;A976,despesas_recorrentes!B:B) 
+SUMIF(despesas_recorrentes!C:C, "",despesas_recorrentes!B:B)
-despesas_recorrentes!$B$12
+IF(SUMIF(gasto_cartao!E:E,saldo!B976,gasto_cartao!B:B)&gt;despesas_recorrentes!$B$12, SUMIF(gasto_cartao!E:E,saldo!B976,gasto_cartao!B:B),despesas_recorrentes!$B$12)</f>
        <v>34013</v>
      </c>
      <c r="D976" s="51">
        <f>SUM(receitas_recorrentes!B:B)+SUMIF(receitas_pontuais!E:E,B976,receitas_pontuais!B:B)</f>
        <v>56919</v>
      </c>
      <c r="E976" s="51">
        <f t="shared" si="2"/>
        <v>22906</v>
      </c>
      <c r="F976" s="53">
        <f>IFERROR(SUMIF(contas!G:G, B976, contas!B:B),0)</f>
        <v>0</v>
      </c>
      <c r="G976" s="51">
        <f>SUMIFS(previsoes!D:D, previsoes!E:E, "&lt;=" &amp; EOMONTH(DATEVALUE(B976&amp;"-01"),0), previsoes!F:F, "&gt;=" &amp; DATEVALUE(B976&amp;"-01"))</f>
        <v>0</v>
      </c>
      <c r="H976" s="52">
        <f t="shared" si="5"/>
        <v>160491.8958</v>
      </c>
      <c r="I976" s="49">
        <f t="shared" si="3"/>
        <v>22906</v>
      </c>
      <c r="J976" s="52">
        <f>IF(A976&lt;&gt;"",SUMIFS(metas!N:N, metas!E:E, "&gt;=" &amp; DATEVALUE(B976&amp;"-01"),metas!D:D, "&lt;=" &amp; DATEVALUE(B976&amp;"-01")),"")</f>
        <v>3182.813937</v>
      </c>
      <c r="K976" s="49">
        <f t="shared" si="4"/>
        <v>19723.18606</v>
      </c>
      <c r="L976" s="49">
        <f t="shared" si="6"/>
        <v>18593989.75</v>
      </c>
      <c r="M976" s="49">
        <f>IF(A976&lt;&gt;"",IF(COUNTIF(investimento!F:F, B976) &gt; 0, SUM(investimento!B:B)+I976, M975+I976),"")</f>
        <v>22116008.68</v>
      </c>
    </row>
    <row r="977" ht="22.5" customHeight="1">
      <c r="A977" s="47">
        <v>51026.0</v>
      </c>
      <c r="B977" s="48" t="str">
        <f t="shared" si="1"/>
        <v>2039-09</v>
      </c>
      <c r="C977" s="49">
        <f>SUMIF(despesas_recorrentes!C:C, "&gt;="&amp;A977,despesas_recorrentes!B:B) 
+SUMIF(despesas_recorrentes!C:C, "",despesas_recorrentes!B:B)
-despesas_recorrentes!$B$12
+IF(SUMIF(gasto_cartao!E:E,saldo!B977,gasto_cartao!B:B)&gt;despesas_recorrentes!$B$12, SUMIF(gasto_cartao!E:E,saldo!B977,gasto_cartao!B:B),despesas_recorrentes!$B$12)</f>
        <v>34013</v>
      </c>
      <c r="D977" s="51">
        <f>SUM(receitas_recorrentes!B:B)+SUMIF(receitas_pontuais!E:E,B977,receitas_pontuais!B:B)</f>
        <v>56919</v>
      </c>
      <c r="E977" s="51">
        <f t="shared" si="2"/>
        <v>22906</v>
      </c>
      <c r="F977" s="53">
        <f>IFERROR(SUMIF(contas!G:G, B977, contas!B:B),0)</f>
        <v>0</v>
      </c>
      <c r="G977" s="51">
        <f>SUMIFS(previsoes!D:D, previsoes!E:E, "&lt;=" &amp; EOMONTH(DATEVALUE(B977&amp;"-01"),0), previsoes!F:F, "&gt;=" &amp; DATEVALUE(B977&amp;"-01"))</f>
        <v>0</v>
      </c>
      <c r="H977" s="52">
        <f t="shared" si="5"/>
        <v>160491.8958</v>
      </c>
      <c r="I977" s="49">
        <f t="shared" si="3"/>
        <v>22906</v>
      </c>
      <c r="J977" s="52">
        <f>IF(A977&lt;&gt;"",SUMIFS(metas!N:N, metas!E:E, "&gt;=" &amp; DATEVALUE(B977&amp;"-01"),metas!D:D, "&lt;=" &amp; DATEVALUE(B977&amp;"-01")),"")</f>
        <v>3182.813937</v>
      </c>
      <c r="K977" s="49">
        <f t="shared" si="4"/>
        <v>19723.18606</v>
      </c>
      <c r="L977" s="49">
        <f t="shared" si="6"/>
        <v>18613712.94</v>
      </c>
      <c r="M977" s="49">
        <f>IF(A977&lt;&gt;"",IF(COUNTIF(investimento!F:F, B977) &gt; 0, SUM(investimento!B:B)+I977, M976+I977),"")</f>
        <v>22138914.68</v>
      </c>
    </row>
    <row r="978" ht="22.5" customHeight="1">
      <c r="A978" s="47">
        <v>51027.0</v>
      </c>
      <c r="B978" s="48" t="str">
        <f t="shared" si="1"/>
        <v>2039-09</v>
      </c>
      <c r="C978" s="49">
        <f>SUMIF(despesas_recorrentes!C:C, "&gt;="&amp;A978,despesas_recorrentes!B:B) 
+SUMIF(despesas_recorrentes!C:C, "",despesas_recorrentes!B:B)
-despesas_recorrentes!$B$12
+IF(SUMIF(gasto_cartao!E:E,saldo!B978,gasto_cartao!B:B)&gt;despesas_recorrentes!$B$12, SUMIF(gasto_cartao!E:E,saldo!B978,gasto_cartao!B:B),despesas_recorrentes!$B$12)</f>
        <v>34013</v>
      </c>
      <c r="D978" s="51">
        <f>SUM(receitas_recorrentes!B:B)+SUMIF(receitas_pontuais!E:E,B978,receitas_pontuais!B:B)</f>
        <v>56919</v>
      </c>
      <c r="E978" s="51">
        <f t="shared" si="2"/>
        <v>22906</v>
      </c>
      <c r="F978" s="53">
        <f>IFERROR(SUMIF(contas!G:G, B978, contas!B:B),0)</f>
        <v>0</v>
      </c>
      <c r="G978" s="51">
        <f>SUMIFS(previsoes!D:D, previsoes!E:E, "&lt;=" &amp; EOMONTH(DATEVALUE(B978&amp;"-01"),0), previsoes!F:F, "&gt;=" &amp; DATEVALUE(B978&amp;"-01"))</f>
        <v>0</v>
      </c>
      <c r="H978" s="52">
        <f t="shared" si="5"/>
        <v>160491.8958</v>
      </c>
      <c r="I978" s="49">
        <f t="shared" si="3"/>
        <v>22906</v>
      </c>
      <c r="J978" s="52">
        <f>IF(A978&lt;&gt;"",SUMIFS(metas!N:N, metas!E:E, "&gt;=" &amp; DATEVALUE(B978&amp;"-01"),metas!D:D, "&lt;=" &amp; DATEVALUE(B978&amp;"-01")),"")</f>
        <v>3182.813937</v>
      </c>
      <c r="K978" s="49">
        <f t="shared" si="4"/>
        <v>19723.18606</v>
      </c>
      <c r="L978" s="49">
        <f t="shared" si="6"/>
        <v>18633436.13</v>
      </c>
      <c r="M978" s="49">
        <f>IF(A978&lt;&gt;"",IF(COUNTIF(investimento!F:F, B978) &gt; 0, SUM(investimento!B:B)+I978, M977+I978),"")</f>
        <v>22161820.68</v>
      </c>
    </row>
    <row r="979" ht="22.5" customHeight="1">
      <c r="A979" s="47">
        <v>51028.0</v>
      </c>
      <c r="B979" s="48" t="str">
        <f t="shared" si="1"/>
        <v>2039-09</v>
      </c>
      <c r="C979" s="49">
        <f>SUMIF(despesas_recorrentes!C:C, "&gt;="&amp;A979,despesas_recorrentes!B:B) 
+SUMIF(despesas_recorrentes!C:C, "",despesas_recorrentes!B:B)
-despesas_recorrentes!$B$12
+IF(SUMIF(gasto_cartao!E:E,saldo!B979,gasto_cartao!B:B)&gt;despesas_recorrentes!$B$12, SUMIF(gasto_cartao!E:E,saldo!B979,gasto_cartao!B:B),despesas_recorrentes!$B$12)</f>
        <v>34013</v>
      </c>
      <c r="D979" s="51">
        <f>SUM(receitas_recorrentes!B:B)+SUMIF(receitas_pontuais!E:E,B979,receitas_pontuais!B:B)</f>
        <v>56919</v>
      </c>
      <c r="E979" s="51">
        <f t="shared" si="2"/>
        <v>22906</v>
      </c>
      <c r="F979" s="53">
        <f>IFERROR(SUMIF(contas!G:G, B979, contas!B:B),0)</f>
        <v>0</v>
      </c>
      <c r="G979" s="51">
        <f>SUMIFS(previsoes!D:D, previsoes!E:E, "&lt;=" &amp; EOMONTH(DATEVALUE(B979&amp;"-01"),0), previsoes!F:F, "&gt;=" &amp; DATEVALUE(B979&amp;"-01"))</f>
        <v>0</v>
      </c>
      <c r="H979" s="52">
        <f t="shared" si="5"/>
        <v>160491.8958</v>
      </c>
      <c r="I979" s="49">
        <f t="shared" si="3"/>
        <v>22906</v>
      </c>
      <c r="J979" s="52">
        <f>IF(A979&lt;&gt;"",SUMIFS(metas!N:N, metas!E:E, "&gt;=" &amp; DATEVALUE(B979&amp;"-01"),metas!D:D, "&lt;=" &amp; DATEVALUE(B979&amp;"-01")),"")</f>
        <v>3182.813937</v>
      </c>
      <c r="K979" s="49">
        <f t="shared" si="4"/>
        <v>19723.18606</v>
      </c>
      <c r="L979" s="49">
        <f t="shared" si="6"/>
        <v>18653159.31</v>
      </c>
      <c r="M979" s="49">
        <f>IF(A979&lt;&gt;"",IF(COUNTIF(investimento!F:F, B979) &gt; 0, SUM(investimento!B:B)+I979, M978+I979),"")</f>
        <v>22184726.68</v>
      </c>
    </row>
    <row r="980" ht="22.5" customHeight="1">
      <c r="A980" s="47">
        <v>51029.0</v>
      </c>
      <c r="B980" s="48" t="str">
        <f t="shared" si="1"/>
        <v>2039-09</v>
      </c>
      <c r="C980" s="49">
        <f>SUMIF(despesas_recorrentes!C:C, "&gt;="&amp;A980,despesas_recorrentes!B:B) 
+SUMIF(despesas_recorrentes!C:C, "",despesas_recorrentes!B:B)
-despesas_recorrentes!$B$12
+IF(SUMIF(gasto_cartao!E:E,saldo!B980,gasto_cartao!B:B)&gt;despesas_recorrentes!$B$12, SUMIF(gasto_cartao!E:E,saldo!B980,gasto_cartao!B:B),despesas_recorrentes!$B$12)</f>
        <v>34013</v>
      </c>
      <c r="D980" s="51">
        <f>SUM(receitas_recorrentes!B:B)+SUMIF(receitas_pontuais!E:E,B980,receitas_pontuais!B:B)</f>
        <v>56919</v>
      </c>
      <c r="E980" s="51">
        <f t="shared" si="2"/>
        <v>22906</v>
      </c>
      <c r="F980" s="53">
        <f>IFERROR(SUMIF(contas!G:G, B980, contas!B:B),0)</f>
        <v>0</v>
      </c>
      <c r="G980" s="51">
        <f>SUMIFS(previsoes!D:D, previsoes!E:E, "&lt;=" &amp; EOMONTH(DATEVALUE(B980&amp;"-01"),0), previsoes!F:F, "&gt;=" &amp; DATEVALUE(B980&amp;"-01"))</f>
        <v>0</v>
      </c>
      <c r="H980" s="52">
        <f t="shared" si="5"/>
        <v>160491.8958</v>
      </c>
      <c r="I980" s="49">
        <f t="shared" si="3"/>
        <v>22906</v>
      </c>
      <c r="J980" s="52">
        <f>IF(A980&lt;&gt;"",SUMIFS(metas!N:N, metas!E:E, "&gt;=" &amp; DATEVALUE(B980&amp;"-01"),metas!D:D, "&lt;=" &amp; DATEVALUE(B980&amp;"-01")),"")</f>
        <v>3182.813937</v>
      </c>
      <c r="K980" s="49">
        <f t="shared" si="4"/>
        <v>19723.18606</v>
      </c>
      <c r="L980" s="49">
        <f t="shared" si="6"/>
        <v>18672882.5</v>
      </c>
      <c r="M980" s="49">
        <f>IF(A980&lt;&gt;"",IF(COUNTIF(investimento!F:F, B980) &gt; 0, SUM(investimento!B:B)+I980, M979+I980),"")</f>
        <v>22207632.68</v>
      </c>
    </row>
    <row r="981" ht="22.5" customHeight="1">
      <c r="A981" s="47">
        <v>51030.0</v>
      </c>
      <c r="B981" s="48" t="str">
        <f t="shared" si="1"/>
        <v>2039-09</v>
      </c>
      <c r="C981" s="49">
        <f>SUMIF(despesas_recorrentes!C:C, "&gt;="&amp;A981,despesas_recorrentes!B:B) 
+SUMIF(despesas_recorrentes!C:C, "",despesas_recorrentes!B:B)
-despesas_recorrentes!$B$12
+IF(SUMIF(gasto_cartao!E:E,saldo!B981,gasto_cartao!B:B)&gt;despesas_recorrentes!$B$12, SUMIF(gasto_cartao!E:E,saldo!B981,gasto_cartao!B:B),despesas_recorrentes!$B$12)</f>
        <v>34013</v>
      </c>
      <c r="D981" s="51">
        <f>SUM(receitas_recorrentes!B:B)+SUMIF(receitas_pontuais!E:E,B981,receitas_pontuais!B:B)</f>
        <v>56919</v>
      </c>
      <c r="E981" s="51">
        <f t="shared" si="2"/>
        <v>22906</v>
      </c>
      <c r="F981" s="53">
        <f>IFERROR(SUMIF(contas!G:G, B981, contas!B:B),0)</f>
        <v>0</v>
      </c>
      <c r="G981" s="51">
        <f>SUMIFS(previsoes!D:D, previsoes!E:E, "&lt;=" &amp; EOMONTH(DATEVALUE(B981&amp;"-01"),0), previsoes!F:F, "&gt;=" &amp; DATEVALUE(B981&amp;"-01"))</f>
        <v>0</v>
      </c>
      <c r="H981" s="52">
        <f t="shared" si="5"/>
        <v>160491.8958</v>
      </c>
      <c r="I981" s="49">
        <f t="shared" si="3"/>
        <v>22906</v>
      </c>
      <c r="J981" s="52">
        <f>IF(A981&lt;&gt;"",SUMIFS(metas!N:N, metas!E:E, "&gt;=" &amp; DATEVALUE(B981&amp;"-01"),metas!D:D, "&lt;=" &amp; DATEVALUE(B981&amp;"-01")),"")</f>
        <v>3182.813937</v>
      </c>
      <c r="K981" s="49">
        <f t="shared" si="4"/>
        <v>19723.18606</v>
      </c>
      <c r="L981" s="49">
        <f t="shared" si="6"/>
        <v>18692605.68</v>
      </c>
      <c r="M981" s="49">
        <f>IF(A981&lt;&gt;"",IF(COUNTIF(investimento!F:F, B981) &gt; 0, SUM(investimento!B:B)+I981, M980+I981),"")</f>
        <v>22230538.68</v>
      </c>
    </row>
    <row r="982" ht="22.5" customHeight="1">
      <c r="A982" s="47">
        <v>51031.0</v>
      </c>
      <c r="B982" s="48" t="str">
        <f t="shared" si="1"/>
        <v>2039-09</v>
      </c>
      <c r="C982" s="49">
        <f>SUMIF(despesas_recorrentes!C:C, "&gt;="&amp;A982,despesas_recorrentes!B:B) 
+SUMIF(despesas_recorrentes!C:C, "",despesas_recorrentes!B:B)
-despesas_recorrentes!$B$12
+IF(SUMIF(gasto_cartao!E:E,saldo!B982,gasto_cartao!B:B)&gt;despesas_recorrentes!$B$12, SUMIF(gasto_cartao!E:E,saldo!B982,gasto_cartao!B:B),despesas_recorrentes!$B$12)</f>
        <v>34013</v>
      </c>
      <c r="D982" s="51">
        <f>SUM(receitas_recorrentes!B:B)+SUMIF(receitas_pontuais!E:E,B982,receitas_pontuais!B:B)</f>
        <v>56919</v>
      </c>
      <c r="E982" s="51">
        <f t="shared" si="2"/>
        <v>22906</v>
      </c>
      <c r="F982" s="53">
        <f>IFERROR(SUMIF(contas!G:G, B982, contas!B:B),0)</f>
        <v>0</v>
      </c>
      <c r="G982" s="51">
        <f>SUMIFS(previsoes!D:D, previsoes!E:E, "&lt;=" &amp; EOMONTH(DATEVALUE(B982&amp;"-01"),0), previsoes!F:F, "&gt;=" &amp; DATEVALUE(B982&amp;"-01"))</f>
        <v>0</v>
      </c>
      <c r="H982" s="52">
        <f t="shared" si="5"/>
        <v>160491.8958</v>
      </c>
      <c r="I982" s="49">
        <f t="shared" si="3"/>
        <v>22906</v>
      </c>
      <c r="J982" s="52">
        <f>IF(A982&lt;&gt;"",SUMIFS(metas!N:N, metas!E:E, "&gt;=" &amp; DATEVALUE(B982&amp;"-01"),metas!D:D, "&lt;=" &amp; DATEVALUE(B982&amp;"-01")),"")</f>
        <v>3182.813937</v>
      </c>
      <c r="K982" s="49">
        <f t="shared" si="4"/>
        <v>19723.18606</v>
      </c>
      <c r="L982" s="49">
        <f t="shared" si="6"/>
        <v>18712328.87</v>
      </c>
      <c r="M982" s="49">
        <f>IF(A982&lt;&gt;"",IF(COUNTIF(investimento!F:F, B982) &gt; 0, SUM(investimento!B:B)+I982, M981+I982),"")</f>
        <v>22253444.68</v>
      </c>
    </row>
    <row r="983" ht="22.5" customHeight="1">
      <c r="A983" s="47">
        <v>51032.0</v>
      </c>
      <c r="B983" s="48" t="str">
        <f t="shared" si="1"/>
        <v>2039-09</v>
      </c>
      <c r="C983" s="49">
        <f>SUMIF(despesas_recorrentes!C:C, "&gt;="&amp;A983,despesas_recorrentes!B:B) 
+SUMIF(despesas_recorrentes!C:C, "",despesas_recorrentes!B:B)
-despesas_recorrentes!$B$12
+IF(SUMIF(gasto_cartao!E:E,saldo!B983,gasto_cartao!B:B)&gt;despesas_recorrentes!$B$12, SUMIF(gasto_cartao!E:E,saldo!B983,gasto_cartao!B:B),despesas_recorrentes!$B$12)</f>
        <v>34013</v>
      </c>
      <c r="D983" s="51">
        <f>SUM(receitas_recorrentes!B:B)+SUMIF(receitas_pontuais!E:E,B983,receitas_pontuais!B:B)</f>
        <v>56919</v>
      </c>
      <c r="E983" s="51">
        <f t="shared" si="2"/>
        <v>22906</v>
      </c>
      <c r="F983" s="53">
        <f>IFERROR(SUMIF(contas!G:G, B983, contas!B:B),0)</f>
        <v>0</v>
      </c>
      <c r="G983" s="51">
        <f>SUMIFS(previsoes!D:D, previsoes!E:E, "&lt;=" &amp; EOMONTH(DATEVALUE(B983&amp;"-01"),0), previsoes!F:F, "&gt;=" &amp; DATEVALUE(B983&amp;"-01"))</f>
        <v>0</v>
      </c>
      <c r="H983" s="52">
        <f t="shared" si="5"/>
        <v>160491.8958</v>
      </c>
      <c r="I983" s="49">
        <f t="shared" si="3"/>
        <v>22906</v>
      </c>
      <c r="J983" s="52">
        <f>IF(A983&lt;&gt;"",SUMIFS(metas!N:N, metas!E:E, "&gt;=" &amp; DATEVALUE(B983&amp;"-01"),metas!D:D, "&lt;=" &amp; DATEVALUE(B983&amp;"-01")),"")</f>
        <v>3182.813937</v>
      </c>
      <c r="K983" s="49">
        <f t="shared" si="4"/>
        <v>19723.18606</v>
      </c>
      <c r="L983" s="49">
        <f t="shared" si="6"/>
        <v>18732052.06</v>
      </c>
      <c r="M983" s="49">
        <f>IF(A983&lt;&gt;"",IF(COUNTIF(investimento!F:F, B983) &gt; 0, SUM(investimento!B:B)+I983, M982+I983),"")</f>
        <v>22276350.68</v>
      </c>
    </row>
    <row r="984" ht="22.5" customHeight="1">
      <c r="A984" s="47">
        <v>51033.0</v>
      </c>
      <c r="B984" s="48" t="str">
        <f t="shared" si="1"/>
        <v>2039-09</v>
      </c>
      <c r="C984" s="49">
        <f>SUMIF(despesas_recorrentes!C:C, "&gt;="&amp;A984,despesas_recorrentes!B:B) 
+SUMIF(despesas_recorrentes!C:C, "",despesas_recorrentes!B:B)
-despesas_recorrentes!$B$12
+IF(SUMIF(gasto_cartao!E:E,saldo!B984,gasto_cartao!B:B)&gt;despesas_recorrentes!$B$12, SUMIF(gasto_cartao!E:E,saldo!B984,gasto_cartao!B:B),despesas_recorrentes!$B$12)</f>
        <v>34013</v>
      </c>
      <c r="D984" s="51">
        <f>SUM(receitas_recorrentes!B:B)+SUMIF(receitas_pontuais!E:E,B984,receitas_pontuais!B:B)</f>
        <v>56919</v>
      </c>
      <c r="E984" s="51">
        <f t="shared" si="2"/>
        <v>22906</v>
      </c>
      <c r="F984" s="53">
        <f>IFERROR(SUMIF(contas!G:G, B984, contas!B:B),0)</f>
        <v>0</v>
      </c>
      <c r="G984" s="51">
        <f>SUMIFS(previsoes!D:D, previsoes!E:E, "&lt;=" &amp; EOMONTH(DATEVALUE(B984&amp;"-01"),0), previsoes!F:F, "&gt;=" &amp; DATEVALUE(B984&amp;"-01"))</f>
        <v>0</v>
      </c>
      <c r="H984" s="52">
        <f t="shared" si="5"/>
        <v>160491.8958</v>
      </c>
      <c r="I984" s="49">
        <f t="shared" si="3"/>
        <v>22906</v>
      </c>
      <c r="J984" s="52">
        <f>IF(A984&lt;&gt;"",SUMIFS(metas!N:N, metas!E:E, "&gt;=" &amp; DATEVALUE(B984&amp;"-01"),metas!D:D, "&lt;=" &amp; DATEVALUE(B984&amp;"-01")),"")</f>
        <v>3182.813937</v>
      </c>
      <c r="K984" s="49">
        <f t="shared" si="4"/>
        <v>19723.18606</v>
      </c>
      <c r="L984" s="49">
        <f t="shared" si="6"/>
        <v>18751775.24</v>
      </c>
      <c r="M984" s="49">
        <f>IF(A984&lt;&gt;"",IF(COUNTIF(investimento!F:F, B984) &gt; 0, SUM(investimento!B:B)+I984, M983+I984),"")</f>
        <v>22299256.68</v>
      </c>
    </row>
    <row r="985" ht="22.5" customHeight="1">
      <c r="A985" s="47">
        <v>51034.0</v>
      </c>
      <c r="B985" s="48" t="str">
        <f t="shared" si="1"/>
        <v>2039-09</v>
      </c>
      <c r="C985" s="49">
        <f>SUMIF(despesas_recorrentes!C:C, "&gt;="&amp;A985,despesas_recorrentes!B:B) 
+SUMIF(despesas_recorrentes!C:C, "",despesas_recorrentes!B:B)
-despesas_recorrentes!$B$12
+IF(SUMIF(gasto_cartao!E:E,saldo!B985,gasto_cartao!B:B)&gt;despesas_recorrentes!$B$12, SUMIF(gasto_cartao!E:E,saldo!B985,gasto_cartao!B:B),despesas_recorrentes!$B$12)</f>
        <v>34013</v>
      </c>
      <c r="D985" s="51">
        <f>SUM(receitas_recorrentes!B:B)+SUMIF(receitas_pontuais!E:E,B985,receitas_pontuais!B:B)</f>
        <v>56919</v>
      </c>
      <c r="E985" s="51">
        <f t="shared" si="2"/>
        <v>22906</v>
      </c>
      <c r="F985" s="53">
        <f>IFERROR(SUMIF(contas!G:G, B985, contas!B:B),0)</f>
        <v>0</v>
      </c>
      <c r="G985" s="51">
        <f>SUMIFS(previsoes!D:D, previsoes!E:E, "&lt;=" &amp; EOMONTH(DATEVALUE(B985&amp;"-01"),0), previsoes!F:F, "&gt;=" &amp; DATEVALUE(B985&amp;"-01"))</f>
        <v>0</v>
      </c>
      <c r="H985" s="52">
        <f t="shared" si="5"/>
        <v>160491.8958</v>
      </c>
      <c r="I985" s="49">
        <f t="shared" si="3"/>
        <v>22906</v>
      </c>
      <c r="J985" s="52">
        <f>IF(A985&lt;&gt;"",SUMIFS(metas!N:N, metas!E:E, "&gt;=" &amp; DATEVALUE(B985&amp;"-01"),metas!D:D, "&lt;=" &amp; DATEVALUE(B985&amp;"-01")),"")</f>
        <v>3182.813937</v>
      </c>
      <c r="K985" s="49">
        <f t="shared" si="4"/>
        <v>19723.18606</v>
      </c>
      <c r="L985" s="49">
        <f t="shared" si="6"/>
        <v>18771498.43</v>
      </c>
      <c r="M985" s="49">
        <f>IF(A985&lt;&gt;"",IF(COUNTIF(investimento!F:F, B985) &gt; 0, SUM(investimento!B:B)+I985, M984+I985),"")</f>
        <v>22322162.68</v>
      </c>
    </row>
    <row r="986" ht="22.5" customHeight="1">
      <c r="A986" s="47">
        <v>51035.0</v>
      </c>
      <c r="B986" s="48" t="str">
        <f t="shared" si="1"/>
        <v>2039-09</v>
      </c>
      <c r="C986" s="49">
        <f>SUMIF(despesas_recorrentes!C:C, "&gt;="&amp;A986,despesas_recorrentes!B:B) 
+SUMIF(despesas_recorrentes!C:C, "",despesas_recorrentes!B:B)
-despesas_recorrentes!$B$12
+IF(SUMIF(gasto_cartao!E:E,saldo!B986,gasto_cartao!B:B)&gt;despesas_recorrentes!$B$12, SUMIF(gasto_cartao!E:E,saldo!B986,gasto_cartao!B:B),despesas_recorrentes!$B$12)</f>
        <v>34013</v>
      </c>
      <c r="D986" s="51">
        <f>SUM(receitas_recorrentes!B:B)+SUMIF(receitas_pontuais!E:E,B986,receitas_pontuais!B:B)</f>
        <v>56919</v>
      </c>
      <c r="E986" s="51">
        <f t="shared" si="2"/>
        <v>22906</v>
      </c>
      <c r="F986" s="53">
        <f>IFERROR(SUMIF(contas!G:G, B986, contas!B:B),0)</f>
        <v>0</v>
      </c>
      <c r="G986" s="51">
        <f>SUMIFS(previsoes!D:D, previsoes!E:E, "&lt;=" &amp; EOMONTH(DATEVALUE(B986&amp;"-01"),0), previsoes!F:F, "&gt;=" &amp; DATEVALUE(B986&amp;"-01"))</f>
        <v>0</v>
      </c>
      <c r="H986" s="52">
        <f t="shared" si="5"/>
        <v>160491.8958</v>
      </c>
      <c r="I986" s="49">
        <f t="shared" si="3"/>
        <v>22906</v>
      </c>
      <c r="J986" s="52">
        <f>IF(A986&lt;&gt;"",SUMIFS(metas!N:N, metas!E:E, "&gt;=" &amp; DATEVALUE(B986&amp;"-01"),metas!D:D, "&lt;=" &amp; DATEVALUE(B986&amp;"-01")),"")</f>
        <v>3182.813937</v>
      </c>
      <c r="K986" s="49">
        <f t="shared" si="4"/>
        <v>19723.18606</v>
      </c>
      <c r="L986" s="49">
        <f t="shared" si="6"/>
        <v>18791221.61</v>
      </c>
      <c r="M986" s="49">
        <f>IF(A986&lt;&gt;"",IF(COUNTIF(investimento!F:F, B986) &gt; 0, SUM(investimento!B:B)+I986, M985+I986),"")</f>
        <v>22345068.68</v>
      </c>
    </row>
    <row r="987" ht="22.5" customHeight="1">
      <c r="A987" s="47">
        <v>51036.0</v>
      </c>
      <c r="B987" s="48" t="str">
        <f t="shared" si="1"/>
        <v>2039-09</v>
      </c>
      <c r="C987" s="49">
        <f>SUMIF(despesas_recorrentes!C:C, "&gt;="&amp;A987,despesas_recorrentes!B:B) 
+SUMIF(despesas_recorrentes!C:C, "",despesas_recorrentes!B:B)
-despesas_recorrentes!$B$12
+IF(SUMIF(gasto_cartao!E:E,saldo!B987,gasto_cartao!B:B)&gt;despesas_recorrentes!$B$12, SUMIF(gasto_cartao!E:E,saldo!B987,gasto_cartao!B:B),despesas_recorrentes!$B$12)</f>
        <v>34013</v>
      </c>
      <c r="D987" s="51">
        <f>SUM(receitas_recorrentes!B:B)+SUMIF(receitas_pontuais!E:E,B987,receitas_pontuais!B:B)</f>
        <v>56919</v>
      </c>
      <c r="E987" s="51">
        <f t="shared" si="2"/>
        <v>22906</v>
      </c>
      <c r="F987" s="53">
        <f>IFERROR(SUMIF(contas!G:G, B987, contas!B:B),0)</f>
        <v>0</v>
      </c>
      <c r="G987" s="51">
        <f>SUMIFS(previsoes!D:D, previsoes!E:E, "&lt;=" &amp; EOMONTH(DATEVALUE(B987&amp;"-01"),0), previsoes!F:F, "&gt;=" &amp; DATEVALUE(B987&amp;"-01"))</f>
        <v>0</v>
      </c>
      <c r="H987" s="52">
        <f t="shared" si="5"/>
        <v>160491.8958</v>
      </c>
      <c r="I987" s="49">
        <f t="shared" si="3"/>
        <v>22906</v>
      </c>
      <c r="J987" s="52">
        <f>IF(A987&lt;&gt;"",SUMIFS(metas!N:N, metas!E:E, "&gt;=" &amp; DATEVALUE(B987&amp;"-01"),metas!D:D, "&lt;=" &amp; DATEVALUE(B987&amp;"-01")),"")</f>
        <v>3182.813937</v>
      </c>
      <c r="K987" s="49">
        <f t="shared" si="4"/>
        <v>19723.18606</v>
      </c>
      <c r="L987" s="49">
        <f t="shared" si="6"/>
        <v>18810944.8</v>
      </c>
      <c r="M987" s="49">
        <f>IF(A987&lt;&gt;"",IF(COUNTIF(investimento!F:F, B987) &gt; 0, SUM(investimento!B:B)+I987, M986+I987),"")</f>
        <v>22367974.68</v>
      </c>
    </row>
    <row r="988" ht="22.5" customHeight="1">
      <c r="A988" s="47">
        <v>51037.0</v>
      </c>
      <c r="B988" s="48" t="str">
        <f t="shared" si="1"/>
        <v>2039-09</v>
      </c>
      <c r="C988" s="49">
        <f>SUMIF(despesas_recorrentes!C:C, "&gt;="&amp;A988,despesas_recorrentes!B:B) 
+SUMIF(despesas_recorrentes!C:C, "",despesas_recorrentes!B:B)
-despesas_recorrentes!$B$12
+IF(SUMIF(gasto_cartao!E:E,saldo!B988,gasto_cartao!B:B)&gt;despesas_recorrentes!$B$12, SUMIF(gasto_cartao!E:E,saldo!B988,gasto_cartao!B:B),despesas_recorrentes!$B$12)</f>
        <v>34013</v>
      </c>
      <c r="D988" s="51">
        <f>SUM(receitas_recorrentes!B:B)+SUMIF(receitas_pontuais!E:E,B988,receitas_pontuais!B:B)</f>
        <v>56919</v>
      </c>
      <c r="E988" s="51">
        <f t="shared" si="2"/>
        <v>22906</v>
      </c>
      <c r="F988" s="53">
        <f>IFERROR(SUMIF(contas!G:G, B988, contas!B:B),0)</f>
        <v>0</v>
      </c>
      <c r="G988" s="51">
        <f>SUMIFS(previsoes!D:D, previsoes!E:E, "&lt;=" &amp; EOMONTH(DATEVALUE(B988&amp;"-01"),0), previsoes!F:F, "&gt;=" &amp; DATEVALUE(B988&amp;"-01"))</f>
        <v>0</v>
      </c>
      <c r="H988" s="52">
        <f t="shared" si="5"/>
        <v>160491.8958</v>
      </c>
      <c r="I988" s="49">
        <f t="shared" si="3"/>
        <v>22906</v>
      </c>
      <c r="J988" s="52">
        <f>IF(A988&lt;&gt;"",SUMIFS(metas!N:N, metas!E:E, "&gt;=" &amp; DATEVALUE(B988&amp;"-01"),metas!D:D, "&lt;=" &amp; DATEVALUE(B988&amp;"-01")),"")</f>
        <v>3182.813937</v>
      </c>
      <c r="K988" s="49">
        <f t="shared" si="4"/>
        <v>19723.18606</v>
      </c>
      <c r="L988" s="49">
        <f t="shared" si="6"/>
        <v>18830667.99</v>
      </c>
      <c r="M988" s="49">
        <f>IF(A988&lt;&gt;"",IF(COUNTIF(investimento!F:F, B988) &gt; 0, SUM(investimento!B:B)+I988, M987+I988),"")</f>
        <v>22390880.68</v>
      </c>
    </row>
    <row r="989" ht="22.5" customHeight="1">
      <c r="A989" s="47">
        <v>51038.0</v>
      </c>
      <c r="B989" s="48" t="str">
        <f t="shared" si="1"/>
        <v>2039-09</v>
      </c>
      <c r="C989" s="49">
        <f>SUMIF(despesas_recorrentes!C:C, "&gt;="&amp;A989,despesas_recorrentes!B:B) 
+SUMIF(despesas_recorrentes!C:C, "",despesas_recorrentes!B:B)
-despesas_recorrentes!$B$12
+IF(SUMIF(gasto_cartao!E:E,saldo!B989,gasto_cartao!B:B)&gt;despesas_recorrentes!$B$12, SUMIF(gasto_cartao!E:E,saldo!B989,gasto_cartao!B:B),despesas_recorrentes!$B$12)</f>
        <v>34013</v>
      </c>
      <c r="D989" s="51">
        <f>SUM(receitas_recorrentes!B:B)+SUMIF(receitas_pontuais!E:E,B989,receitas_pontuais!B:B)</f>
        <v>56919</v>
      </c>
      <c r="E989" s="51">
        <f t="shared" si="2"/>
        <v>22906</v>
      </c>
      <c r="F989" s="53">
        <f>IFERROR(SUMIF(contas!G:G, B989, contas!B:B),0)</f>
        <v>0</v>
      </c>
      <c r="G989" s="51">
        <f>SUMIFS(previsoes!D:D, previsoes!E:E, "&lt;=" &amp; EOMONTH(DATEVALUE(B989&amp;"-01"),0), previsoes!F:F, "&gt;=" &amp; DATEVALUE(B989&amp;"-01"))</f>
        <v>0</v>
      </c>
      <c r="H989" s="52">
        <f t="shared" si="5"/>
        <v>160491.8958</v>
      </c>
      <c r="I989" s="49">
        <f t="shared" si="3"/>
        <v>22906</v>
      </c>
      <c r="J989" s="52">
        <f>IF(A989&lt;&gt;"",SUMIFS(metas!N:N, metas!E:E, "&gt;=" &amp; DATEVALUE(B989&amp;"-01"),metas!D:D, "&lt;=" &amp; DATEVALUE(B989&amp;"-01")),"")</f>
        <v>3182.813937</v>
      </c>
      <c r="K989" s="49">
        <f t="shared" si="4"/>
        <v>19723.18606</v>
      </c>
      <c r="L989" s="49">
        <f t="shared" si="6"/>
        <v>18850391.17</v>
      </c>
      <c r="M989" s="49">
        <f>IF(A989&lt;&gt;"",IF(COUNTIF(investimento!F:F, B989) &gt; 0, SUM(investimento!B:B)+I989, M988+I989),"")</f>
        <v>22413786.68</v>
      </c>
    </row>
    <row r="990" ht="22.5" customHeight="1">
      <c r="A990" s="47">
        <v>51039.0</v>
      </c>
      <c r="B990" s="48" t="str">
        <f t="shared" si="1"/>
        <v>2039-09</v>
      </c>
      <c r="C990" s="49">
        <f>SUMIF(despesas_recorrentes!C:C, "&gt;="&amp;A990,despesas_recorrentes!B:B) 
+SUMIF(despesas_recorrentes!C:C, "",despesas_recorrentes!B:B)
-despesas_recorrentes!$B$12
+IF(SUMIF(gasto_cartao!E:E,saldo!B990,gasto_cartao!B:B)&gt;despesas_recorrentes!$B$12, SUMIF(gasto_cartao!E:E,saldo!B990,gasto_cartao!B:B),despesas_recorrentes!$B$12)</f>
        <v>34013</v>
      </c>
      <c r="D990" s="51">
        <f>SUM(receitas_recorrentes!B:B)+SUMIF(receitas_pontuais!E:E,B990,receitas_pontuais!B:B)</f>
        <v>56919</v>
      </c>
      <c r="E990" s="51">
        <f t="shared" si="2"/>
        <v>22906</v>
      </c>
      <c r="F990" s="53">
        <f>IFERROR(SUMIF(contas!G:G, B990, contas!B:B),0)</f>
        <v>0</v>
      </c>
      <c r="G990" s="51">
        <f>SUMIFS(previsoes!D:D, previsoes!E:E, "&lt;=" &amp; EOMONTH(DATEVALUE(B990&amp;"-01"),0), previsoes!F:F, "&gt;=" &amp; DATEVALUE(B990&amp;"-01"))</f>
        <v>0</v>
      </c>
      <c r="H990" s="52">
        <f t="shared" si="5"/>
        <v>160491.8958</v>
      </c>
      <c r="I990" s="49">
        <f t="shared" si="3"/>
        <v>22906</v>
      </c>
      <c r="J990" s="52">
        <f>IF(A990&lt;&gt;"",SUMIFS(metas!N:N, metas!E:E, "&gt;=" &amp; DATEVALUE(B990&amp;"-01"),metas!D:D, "&lt;=" &amp; DATEVALUE(B990&amp;"-01")),"")</f>
        <v>3182.813937</v>
      </c>
      <c r="K990" s="49">
        <f t="shared" si="4"/>
        <v>19723.18606</v>
      </c>
      <c r="L990" s="49">
        <f t="shared" si="6"/>
        <v>18870114.36</v>
      </c>
      <c r="M990" s="49">
        <f>IF(A990&lt;&gt;"",IF(COUNTIF(investimento!F:F, B990) &gt; 0, SUM(investimento!B:B)+I990, M989+I990),"")</f>
        <v>22436692.68</v>
      </c>
    </row>
    <row r="991" ht="22.5" customHeight="1">
      <c r="A991" s="47">
        <v>51040.0</v>
      </c>
      <c r="B991" s="48" t="str">
        <f t="shared" si="1"/>
        <v>2039-09</v>
      </c>
      <c r="C991" s="49">
        <f>SUMIF(despesas_recorrentes!C:C, "&gt;="&amp;A991,despesas_recorrentes!B:B) 
+SUMIF(despesas_recorrentes!C:C, "",despesas_recorrentes!B:B)
-despesas_recorrentes!$B$12
+IF(SUMIF(gasto_cartao!E:E,saldo!B991,gasto_cartao!B:B)&gt;despesas_recorrentes!$B$12, SUMIF(gasto_cartao!E:E,saldo!B991,gasto_cartao!B:B),despesas_recorrentes!$B$12)</f>
        <v>34013</v>
      </c>
      <c r="D991" s="51">
        <f>SUM(receitas_recorrentes!B:B)+SUMIF(receitas_pontuais!E:E,B991,receitas_pontuais!B:B)</f>
        <v>56919</v>
      </c>
      <c r="E991" s="51">
        <f t="shared" si="2"/>
        <v>22906</v>
      </c>
      <c r="F991" s="53">
        <f>IFERROR(SUMIF(contas!G:G, B991, contas!B:B),0)</f>
        <v>0</v>
      </c>
      <c r="G991" s="51">
        <f>SUMIFS(previsoes!D:D, previsoes!E:E, "&lt;=" &amp; EOMONTH(DATEVALUE(B991&amp;"-01"),0), previsoes!F:F, "&gt;=" &amp; DATEVALUE(B991&amp;"-01"))</f>
        <v>0</v>
      </c>
      <c r="H991" s="52">
        <f t="shared" si="5"/>
        <v>160491.8958</v>
      </c>
      <c r="I991" s="49">
        <f t="shared" si="3"/>
        <v>22906</v>
      </c>
      <c r="J991" s="52">
        <f>IF(A991&lt;&gt;"",SUMIFS(metas!N:N, metas!E:E, "&gt;=" &amp; DATEVALUE(B991&amp;"-01"),metas!D:D, "&lt;=" &amp; DATEVALUE(B991&amp;"-01")),"")</f>
        <v>3182.813937</v>
      </c>
      <c r="K991" s="49">
        <f t="shared" si="4"/>
        <v>19723.18606</v>
      </c>
      <c r="L991" s="49">
        <f t="shared" si="6"/>
        <v>18889837.55</v>
      </c>
      <c r="M991" s="49">
        <f>IF(A991&lt;&gt;"",IF(COUNTIF(investimento!F:F, B991) &gt; 0, SUM(investimento!B:B)+I991, M990+I991),"")</f>
        <v>22459598.68</v>
      </c>
    </row>
    <row r="992" ht="22.5" customHeight="1">
      <c r="A992" s="47">
        <v>51041.0</v>
      </c>
      <c r="B992" s="48" t="str">
        <f t="shared" si="1"/>
        <v>2039-09</v>
      </c>
      <c r="C992" s="49">
        <f>SUMIF(despesas_recorrentes!C:C, "&gt;="&amp;A992,despesas_recorrentes!B:B) 
+SUMIF(despesas_recorrentes!C:C, "",despesas_recorrentes!B:B)
-despesas_recorrentes!$B$12
+IF(SUMIF(gasto_cartao!E:E,saldo!B992,gasto_cartao!B:B)&gt;despesas_recorrentes!$B$12, SUMIF(gasto_cartao!E:E,saldo!B992,gasto_cartao!B:B),despesas_recorrentes!$B$12)</f>
        <v>34013</v>
      </c>
      <c r="D992" s="51">
        <f>SUM(receitas_recorrentes!B:B)+SUMIF(receitas_pontuais!E:E,B992,receitas_pontuais!B:B)</f>
        <v>56919</v>
      </c>
      <c r="E992" s="51">
        <f t="shared" si="2"/>
        <v>22906</v>
      </c>
      <c r="F992" s="53">
        <f>IFERROR(SUMIF(contas!G:G, B992, contas!B:B),0)</f>
        <v>0</v>
      </c>
      <c r="G992" s="51">
        <f>SUMIFS(previsoes!D:D, previsoes!E:E, "&lt;=" &amp; EOMONTH(DATEVALUE(B992&amp;"-01"),0), previsoes!F:F, "&gt;=" &amp; DATEVALUE(B992&amp;"-01"))</f>
        <v>0</v>
      </c>
      <c r="H992" s="52">
        <f t="shared" si="5"/>
        <v>160491.8958</v>
      </c>
      <c r="I992" s="49">
        <f t="shared" si="3"/>
        <v>22906</v>
      </c>
      <c r="J992" s="52">
        <f>IF(A992&lt;&gt;"",SUMIFS(metas!N:N, metas!E:E, "&gt;=" &amp; DATEVALUE(B992&amp;"-01"),metas!D:D, "&lt;=" &amp; DATEVALUE(B992&amp;"-01")),"")</f>
        <v>3182.813937</v>
      </c>
      <c r="K992" s="49">
        <f t="shared" si="4"/>
        <v>19723.18606</v>
      </c>
      <c r="L992" s="49">
        <f t="shared" si="6"/>
        <v>18909560.73</v>
      </c>
      <c r="M992" s="49">
        <f>IF(A992&lt;&gt;"",IF(COUNTIF(investimento!F:F, B992) &gt; 0, SUM(investimento!B:B)+I992, M991+I992),"")</f>
        <v>22482504.68</v>
      </c>
    </row>
    <row r="993" ht="22.5" customHeight="1">
      <c r="A993" s="47">
        <v>51042.0</v>
      </c>
      <c r="B993" s="48" t="str">
        <f t="shared" si="1"/>
        <v>2039-09</v>
      </c>
      <c r="C993" s="49">
        <f>SUMIF(despesas_recorrentes!C:C, "&gt;="&amp;A993,despesas_recorrentes!B:B) 
+SUMIF(despesas_recorrentes!C:C, "",despesas_recorrentes!B:B)
-despesas_recorrentes!$B$12
+IF(SUMIF(gasto_cartao!E:E,saldo!B993,gasto_cartao!B:B)&gt;despesas_recorrentes!$B$12, SUMIF(gasto_cartao!E:E,saldo!B993,gasto_cartao!B:B),despesas_recorrentes!$B$12)</f>
        <v>34013</v>
      </c>
      <c r="D993" s="51">
        <f>SUM(receitas_recorrentes!B:B)+SUMIF(receitas_pontuais!E:E,B993,receitas_pontuais!B:B)</f>
        <v>56919</v>
      </c>
      <c r="E993" s="51">
        <f t="shared" si="2"/>
        <v>22906</v>
      </c>
      <c r="F993" s="53">
        <f>IFERROR(SUMIF(contas!G:G, B993, contas!B:B),0)</f>
        <v>0</v>
      </c>
      <c r="G993" s="51">
        <f>SUMIFS(previsoes!D:D, previsoes!E:E, "&lt;=" &amp; EOMONTH(DATEVALUE(B993&amp;"-01"),0), previsoes!F:F, "&gt;=" &amp; DATEVALUE(B993&amp;"-01"))</f>
        <v>0</v>
      </c>
      <c r="H993" s="52">
        <f t="shared" si="5"/>
        <v>160491.8958</v>
      </c>
      <c r="I993" s="49">
        <f t="shared" si="3"/>
        <v>22906</v>
      </c>
      <c r="J993" s="52">
        <f>IF(A993&lt;&gt;"",SUMIFS(metas!N:N, metas!E:E, "&gt;=" &amp; DATEVALUE(B993&amp;"-01"),metas!D:D, "&lt;=" &amp; DATEVALUE(B993&amp;"-01")),"")</f>
        <v>3182.813937</v>
      </c>
      <c r="K993" s="49">
        <f t="shared" si="4"/>
        <v>19723.18606</v>
      </c>
      <c r="L993" s="49">
        <f t="shared" si="6"/>
        <v>18929283.92</v>
      </c>
      <c r="M993" s="49">
        <f>IF(A993&lt;&gt;"",IF(COUNTIF(investimento!F:F, B993) &gt; 0, SUM(investimento!B:B)+I993, M992+I993),"")</f>
        <v>22505410.68</v>
      </c>
    </row>
    <row r="994" ht="22.5" customHeight="1">
      <c r="A994" s="47">
        <v>51043.0</v>
      </c>
      <c r="B994" s="48" t="str">
        <f t="shared" si="1"/>
        <v>2039-09</v>
      </c>
      <c r="C994" s="49">
        <f>SUMIF(despesas_recorrentes!C:C, "&gt;="&amp;A994,despesas_recorrentes!B:B) 
+SUMIF(despesas_recorrentes!C:C, "",despesas_recorrentes!B:B)
-despesas_recorrentes!$B$12
+IF(SUMIF(gasto_cartao!E:E,saldo!B994,gasto_cartao!B:B)&gt;despesas_recorrentes!$B$12, SUMIF(gasto_cartao!E:E,saldo!B994,gasto_cartao!B:B),despesas_recorrentes!$B$12)</f>
        <v>34013</v>
      </c>
      <c r="D994" s="51">
        <f>SUM(receitas_recorrentes!B:B)+SUMIF(receitas_pontuais!E:E,B994,receitas_pontuais!B:B)</f>
        <v>56919</v>
      </c>
      <c r="E994" s="51">
        <f t="shared" si="2"/>
        <v>22906</v>
      </c>
      <c r="F994" s="53">
        <f>IFERROR(SUMIF(contas!G:G, B994, contas!B:B),0)</f>
        <v>0</v>
      </c>
      <c r="G994" s="51">
        <f>SUMIFS(previsoes!D:D, previsoes!E:E, "&lt;=" &amp; EOMONTH(DATEVALUE(B994&amp;"-01"),0), previsoes!F:F, "&gt;=" &amp; DATEVALUE(B994&amp;"-01"))</f>
        <v>0</v>
      </c>
      <c r="H994" s="52">
        <f t="shared" si="5"/>
        <v>160491.8958</v>
      </c>
      <c r="I994" s="49">
        <f t="shared" si="3"/>
        <v>22906</v>
      </c>
      <c r="J994" s="52">
        <f>IF(A994&lt;&gt;"",SUMIFS(metas!N:N, metas!E:E, "&gt;=" &amp; DATEVALUE(B994&amp;"-01"),metas!D:D, "&lt;=" &amp; DATEVALUE(B994&amp;"-01")),"")</f>
        <v>3182.813937</v>
      </c>
      <c r="K994" s="49">
        <f t="shared" si="4"/>
        <v>19723.18606</v>
      </c>
      <c r="L994" s="49">
        <f t="shared" si="6"/>
        <v>18949007.1</v>
      </c>
      <c r="M994" s="49">
        <f>IF(A994&lt;&gt;"",IF(COUNTIF(investimento!F:F, B994) &gt; 0, SUM(investimento!B:B)+I994, M993+I994),"")</f>
        <v>22528316.68</v>
      </c>
    </row>
    <row r="995" ht="22.5" customHeight="1">
      <c r="A995" s="47">
        <v>51044.0</v>
      </c>
      <c r="B995" s="48" t="str">
        <f t="shared" si="1"/>
        <v>2039-10</v>
      </c>
      <c r="C995" s="49">
        <f>SUMIF(despesas_recorrentes!C:C, "&gt;="&amp;A995,despesas_recorrentes!B:B) 
+SUMIF(despesas_recorrentes!C:C, "",despesas_recorrentes!B:B)
-despesas_recorrentes!$B$12
+IF(SUMIF(gasto_cartao!E:E,saldo!B995,gasto_cartao!B:B)&gt;despesas_recorrentes!$B$12, SUMIF(gasto_cartao!E:E,saldo!B995,gasto_cartao!B:B),despesas_recorrentes!$B$12)</f>
        <v>34013</v>
      </c>
      <c r="D995" s="51">
        <f>SUM(receitas_recorrentes!B:B)+SUMIF(receitas_pontuais!E:E,B995,receitas_pontuais!B:B)</f>
        <v>56919</v>
      </c>
      <c r="E995" s="51">
        <f t="shared" si="2"/>
        <v>22906</v>
      </c>
      <c r="F995" s="53">
        <f>IFERROR(SUMIF(contas!G:G, B995, contas!B:B),0)</f>
        <v>0</v>
      </c>
      <c r="G995" s="51">
        <f>SUMIFS(previsoes!D:D, previsoes!E:E, "&lt;=" &amp; EOMONTH(DATEVALUE(B995&amp;"-01"),0), previsoes!F:F, "&gt;=" &amp; DATEVALUE(B995&amp;"-01"))</f>
        <v>0</v>
      </c>
      <c r="H995" s="52">
        <f t="shared" si="5"/>
        <v>160491.8958</v>
      </c>
      <c r="I995" s="49">
        <f t="shared" si="3"/>
        <v>22906</v>
      </c>
      <c r="J995" s="52">
        <f>IF(A995&lt;&gt;"",SUMIFS(metas!N:N, metas!E:E, "&gt;=" &amp; DATEVALUE(B995&amp;"-01"),metas!D:D, "&lt;=" &amp; DATEVALUE(B995&amp;"-01")),"")</f>
        <v>3182.813937</v>
      </c>
      <c r="K995" s="49">
        <f t="shared" si="4"/>
        <v>19723.18606</v>
      </c>
      <c r="L995" s="49">
        <f t="shared" si="6"/>
        <v>18968730.29</v>
      </c>
      <c r="M995" s="49">
        <f>IF(A995&lt;&gt;"",IF(COUNTIF(investimento!F:F, B995) &gt; 0, SUM(investimento!B:B)+I995, M994+I995),"")</f>
        <v>22551222.68</v>
      </c>
    </row>
    <row r="996" ht="22.5" customHeight="1">
      <c r="A996" s="47">
        <v>51045.0</v>
      </c>
      <c r="B996" s="48" t="str">
        <f t="shared" si="1"/>
        <v>2039-10</v>
      </c>
      <c r="C996" s="49">
        <f>SUMIF(despesas_recorrentes!C:C, "&gt;="&amp;A996,despesas_recorrentes!B:B) 
+SUMIF(despesas_recorrentes!C:C, "",despesas_recorrentes!B:B)
-despesas_recorrentes!$B$12
+IF(SUMIF(gasto_cartao!E:E,saldo!B996,gasto_cartao!B:B)&gt;despesas_recorrentes!$B$12, SUMIF(gasto_cartao!E:E,saldo!B996,gasto_cartao!B:B),despesas_recorrentes!$B$12)</f>
        <v>34013</v>
      </c>
      <c r="D996" s="51">
        <f>SUM(receitas_recorrentes!B:B)+SUMIF(receitas_pontuais!E:E,B996,receitas_pontuais!B:B)</f>
        <v>56919</v>
      </c>
      <c r="E996" s="51">
        <f t="shared" si="2"/>
        <v>22906</v>
      </c>
      <c r="F996" s="53">
        <f>IFERROR(SUMIF(contas!G:G, B996, contas!B:B),0)</f>
        <v>0</v>
      </c>
      <c r="G996" s="51">
        <f>SUMIFS(previsoes!D:D, previsoes!E:E, "&lt;=" &amp; EOMONTH(DATEVALUE(B996&amp;"-01"),0), previsoes!F:F, "&gt;=" &amp; DATEVALUE(B996&amp;"-01"))</f>
        <v>0</v>
      </c>
      <c r="H996" s="52">
        <f t="shared" si="5"/>
        <v>160491.8958</v>
      </c>
      <c r="I996" s="49">
        <f t="shared" si="3"/>
        <v>22906</v>
      </c>
      <c r="J996" s="52">
        <f>IF(A996&lt;&gt;"",SUMIFS(metas!N:N, metas!E:E, "&gt;=" &amp; DATEVALUE(B996&amp;"-01"),metas!D:D, "&lt;=" &amp; DATEVALUE(B996&amp;"-01")),"")</f>
        <v>3182.813937</v>
      </c>
      <c r="K996" s="49">
        <f t="shared" si="4"/>
        <v>19723.18606</v>
      </c>
      <c r="L996" s="49">
        <f t="shared" si="6"/>
        <v>18988453.48</v>
      </c>
      <c r="M996" s="49">
        <f>IF(A996&lt;&gt;"",IF(COUNTIF(investimento!F:F, B996) &gt; 0, SUM(investimento!B:B)+I996, M995+I996),"")</f>
        <v>22574128.68</v>
      </c>
    </row>
    <row r="997" ht="22.5" customHeight="1">
      <c r="A997" s="47">
        <v>51046.0</v>
      </c>
      <c r="B997" s="48" t="str">
        <f t="shared" si="1"/>
        <v>2039-10</v>
      </c>
      <c r="C997" s="49">
        <f>SUMIF(despesas_recorrentes!C:C, "&gt;="&amp;A997,despesas_recorrentes!B:B) 
+SUMIF(despesas_recorrentes!C:C, "",despesas_recorrentes!B:B)
-despesas_recorrentes!$B$12
+IF(SUMIF(gasto_cartao!E:E,saldo!B997,gasto_cartao!B:B)&gt;despesas_recorrentes!$B$12, SUMIF(gasto_cartao!E:E,saldo!B997,gasto_cartao!B:B),despesas_recorrentes!$B$12)</f>
        <v>34013</v>
      </c>
      <c r="D997" s="51">
        <f>SUM(receitas_recorrentes!B:B)+SUMIF(receitas_pontuais!E:E,B997,receitas_pontuais!B:B)</f>
        <v>56919</v>
      </c>
      <c r="E997" s="51">
        <f t="shared" si="2"/>
        <v>22906</v>
      </c>
      <c r="F997" s="53">
        <f>IFERROR(SUMIF(contas!G:G, B997, contas!B:B),0)</f>
        <v>0</v>
      </c>
      <c r="G997" s="51">
        <f>SUMIFS(previsoes!D:D, previsoes!E:E, "&lt;=" &amp; EOMONTH(DATEVALUE(B997&amp;"-01"),0), previsoes!F:F, "&gt;=" &amp; DATEVALUE(B997&amp;"-01"))</f>
        <v>0</v>
      </c>
      <c r="H997" s="52">
        <f t="shared" si="5"/>
        <v>160491.8958</v>
      </c>
      <c r="I997" s="49">
        <f t="shared" si="3"/>
        <v>22906</v>
      </c>
      <c r="J997" s="52">
        <f>IF(A997&lt;&gt;"",SUMIFS(metas!N:N, metas!E:E, "&gt;=" &amp; DATEVALUE(B997&amp;"-01"),metas!D:D, "&lt;=" &amp; DATEVALUE(B997&amp;"-01")),"")</f>
        <v>3182.813937</v>
      </c>
      <c r="K997" s="49">
        <f t="shared" si="4"/>
        <v>19723.18606</v>
      </c>
      <c r="L997" s="49">
        <f t="shared" si="6"/>
        <v>19008176.66</v>
      </c>
      <c r="M997" s="49">
        <f>IF(A997&lt;&gt;"",IF(COUNTIF(investimento!F:F, B997) &gt; 0, SUM(investimento!B:B)+I997, M996+I997),"")</f>
        <v>22597034.68</v>
      </c>
    </row>
    <row r="998" ht="22.5" customHeight="1">
      <c r="A998" s="47">
        <v>51047.0</v>
      </c>
      <c r="B998" s="48" t="str">
        <f t="shared" si="1"/>
        <v>2039-10</v>
      </c>
      <c r="C998" s="49">
        <f>SUMIF(despesas_recorrentes!C:C, "&gt;="&amp;A998,despesas_recorrentes!B:B) 
+SUMIF(despesas_recorrentes!C:C, "",despesas_recorrentes!B:B)
-despesas_recorrentes!$B$12
+IF(SUMIF(gasto_cartao!E:E,saldo!B998,gasto_cartao!B:B)&gt;despesas_recorrentes!$B$12, SUMIF(gasto_cartao!E:E,saldo!B998,gasto_cartao!B:B),despesas_recorrentes!$B$12)</f>
        <v>34013</v>
      </c>
      <c r="D998" s="51">
        <f>SUM(receitas_recorrentes!B:B)+SUMIF(receitas_pontuais!E:E,B998,receitas_pontuais!B:B)</f>
        <v>56919</v>
      </c>
      <c r="E998" s="51">
        <f t="shared" si="2"/>
        <v>22906</v>
      </c>
      <c r="F998" s="53">
        <f>IFERROR(SUMIF(contas!G:G, B998, contas!B:B),0)</f>
        <v>0</v>
      </c>
      <c r="G998" s="51">
        <f>SUMIFS(previsoes!D:D, previsoes!E:E, "&lt;=" &amp; EOMONTH(DATEVALUE(B998&amp;"-01"),0), previsoes!F:F, "&gt;=" &amp; DATEVALUE(B998&amp;"-01"))</f>
        <v>0</v>
      </c>
      <c r="H998" s="52">
        <f t="shared" si="5"/>
        <v>160491.8958</v>
      </c>
      <c r="I998" s="49">
        <f t="shared" si="3"/>
        <v>22906</v>
      </c>
      <c r="J998" s="52">
        <f>IF(A998&lt;&gt;"",SUMIFS(metas!N:N, metas!E:E, "&gt;=" &amp; DATEVALUE(B998&amp;"-01"),metas!D:D, "&lt;=" &amp; DATEVALUE(B998&amp;"-01")),"")</f>
        <v>3182.813937</v>
      </c>
      <c r="K998" s="49">
        <f t="shared" si="4"/>
        <v>19723.18606</v>
      </c>
      <c r="L998" s="49">
        <f t="shared" si="6"/>
        <v>19027899.85</v>
      </c>
      <c r="M998" s="49">
        <f>IF(A998&lt;&gt;"",IF(COUNTIF(investimento!F:F, B998) &gt; 0, SUM(investimento!B:B)+I998, M997+I998),"")</f>
        <v>22619940.68</v>
      </c>
    </row>
    <row r="999" ht="22.5" customHeight="1">
      <c r="A999" s="47">
        <v>51048.0</v>
      </c>
      <c r="B999" s="48" t="str">
        <f t="shared" si="1"/>
        <v>2039-10</v>
      </c>
      <c r="C999" s="49">
        <f>SUMIF(despesas_recorrentes!C:C, "&gt;="&amp;A999,despesas_recorrentes!B:B) 
+SUMIF(despesas_recorrentes!C:C, "",despesas_recorrentes!B:B)
-despesas_recorrentes!$B$12
+IF(SUMIF(gasto_cartao!E:E,saldo!B999,gasto_cartao!B:B)&gt;despesas_recorrentes!$B$12, SUMIF(gasto_cartao!E:E,saldo!B999,gasto_cartao!B:B),despesas_recorrentes!$B$12)</f>
        <v>34013</v>
      </c>
      <c r="D999" s="51">
        <f>SUM(receitas_recorrentes!B:B)+SUMIF(receitas_pontuais!E:E,B999,receitas_pontuais!B:B)</f>
        <v>56919</v>
      </c>
      <c r="E999" s="51">
        <f t="shared" si="2"/>
        <v>22906</v>
      </c>
      <c r="F999" s="53">
        <f>IFERROR(SUMIF(contas!G:G, B999, contas!B:B),0)</f>
        <v>0</v>
      </c>
      <c r="G999" s="51">
        <f>SUMIFS(previsoes!D:D, previsoes!E:E, "&lt;=" &amp; EOMONTH(DATEVALUE(B999&amp;"-01"),0), previsoes!F:F, "&gt;=" &amp; DATEVALUE(B999&amp;"-01"))</f>
        <v>0</v>
      </c>
      <c r="H999" s="52">
        <f t="shared" si="5"/>
        <v>160491.8958</v>
      </c>
      <c r="I999" s="49">
        <f t="shared" si="3"/>
        <v>22906</v>
      </c>
      <c r="J999" s="52">
        <f>IF(A999&lt;&gt;"",SUMIFS(metas!N:N, metas!E:E, "&gt;=" &amp; DATEVALUE(B999&amp;"-01"),metas!D:D, "&lt;=" &amp; DATEVALUE(B999&amp;"-01")),"")</f>
        <v>3182.813937</v>
      </c>
      <c r="K999" s="49">
        <f t="shared" si="4"/>
        <v>19723.18606</v>
      </c>
      <c r="L999" s="49">
        <f t="shared" si="6"/>
        <v>19047623.03</v>
      </c>
      <c r="M999" s="49">
        <f>IF(A999&lt;&gt;"",IF(COUNTIF(investimento!F:F, B999) &gt; 0, SUM(investimento!B:B)+I999, M998+I999),"")</f>
        <v>22642846.68</v>
      </c>
    </row>
    <row r="1000" ht="22.5" customHeight="1">
      <c r="A1000" s="47">
        <v>51049.0</v>
      </c>
      <c r="B1000" s="48" t="str">
        <f t="shared" si="1"/>
        <v>2039-10</v>
      </c>
      <c r="C1000" s="49">
        <f>SUMIF(despesas_recorrentes!C:C, "&gt;="&amp;A1000,despesas_recorrentes!B:B) 
+SUMIF(despesas_recorrentes!C:C, "",despesas_recorrentes!B:B)
-despesas_recorrentes!$B$12
+IF(SUMIF(gasto_cartao!E:E,saldo!B1000,gasto_cartao!B:B)&gt;despesas_recorrentes!$B$12, SUMIF(gasto_cartao!E:E,saldo!B1000,gasto_cartao!B:B),despesas_recorrentes!$B$12)</f>
        <v>34013</v>
      </c>
      <c r="D1000" s="51">
        <f>SUM(receitas_recorrentes!B:B)+SUMIF(receitas_pontuais!E:E,B1000,receitas_pontuais!B:B)</f>
        <v>56919</v>
      </c>
      <c r="E1000" s="51">
        <f t="shared" si="2"/>
        <v>22906</v>
      </c>
      <c r="F1000" s="53">
        <f>IFERROR(SUMIF(contas!G:G, B1000, contas!B:B),0)</f>
        <v>0</v>
      </c>
      <c r="G1000" s="51">
        <f>SUMIFS(previsoes!D:D, previsoes!E:E, "&lt;=" &amp; EOMONTH(DATEVALUE(B1000&amp;"-01"),0), previsoes!F:F, "&gt;=" &amp; DATEVALUE(B1000&amp;"-01"))</f>
        <v>0</v>
      </c>
      <c r="H1000" s="52">
        <f t="shared" si="5"/>
        <v>160491.8958</v>
      </c>
      <c r="I1000" s="49">
        <f t="shared" si="3"/>
        <v>22906</v>
      </c>
      <c r="J1000" s="52">
        <f>IF(A1000&lt;&gt;"",SUMIFS(metas!N:N, metas!E:E, "&gt;=" &amp; DATEVALUE(B1000&amp;"-01"),metas!D:D, "&lt;=" &amp; DATEVALUE(B1000&amp;"-01")),"")</f>
        <v>3182.813937</v>
      </c>
      <c r="K1000" s="49">
        <f t="shared" si="4"/>
        <v>19723.18606</v>
      </c>
      <c r="L1000" s="49">
        <f t="shared" si="6"/>
        <v>19067346.22</v>
      </c>
      <c r="M1000" s="49">
        <f>IF(A1000&lt;&gt;"",IF(COUNTIF(investimento!F:F, B1000) &gt; 0, SUM(investimento!B:B)+I1000, M999+I1000),"")</f>
        <v>22665752.68</v>
      </c>
    </row>
    <row r="1001" ht="22.5" customHeight="1">
      <c r="A1001" s="47">
        <v>51050.0</v>
      </c>
      <c r="B1001" s="48" t="str">
        <f t="shared" si="1"/>
        <v>2039-10</v>
      </c>
      <c r="C1001" s="49">
        <f>SUMIF(despesas_recorrentes!C:C, "&gt;="&amp;A1001,despesas_recorrentes!B:B) 
+SUMIF(despesas_recorrentes!C:C, "",despesas_recorrentes!B:B)
-despesas_recorrentes!$B$12
+IF(SUMIF(gasto_cartao!E:E,saldo!B1001,gasto_cartao!B:B)&gt;despesas_recorrentes!$B$12, SUMIF(gasto_cartao!E:E,saldo!B1001,gasto_cartao!B:B),despesas_recorrentes!$B$12)</f>
        <v>34013</v>
      </c>
      <c r="D1001" s="51">
        <f>SUM(receitas_recorrentes!B:B)+SUMIF(receitas_pontuais!E:E,B1001,receitas_pontuais!B:B)</f>
        <v>56919</v>
      </c>
      <c r="E1001" s="51">
        <f t="shared" si="2"/>
        <v>22906</v>
      </c>
      <c r="F1001" s="53">
        <f>IFERROR(SUMIF(contas!G:G, B1001, contas!B:B),0)</f>
        <v>0</v>
      </c>
      <c r="G1001" s="51">
        <f>SUMIFS(previsoes!D:D, previsoes!E:E, "&lt;=" &amp; EOMONTH(DATEVALUE(B1001&amp;"-01"),0), previsoes!F:F, "&gt;=" &amp; DATEVALUE(B1001&amp;"-01"))</f>
        <v>0</v>
      </c>
      <c r="H1001" s="52">
        <f t="shared" si="5"/>
        <v>160491.8958</v>
      </c>
      <c r="I1001" s="49">
        <f t="shared" si="3"/>
        <v>22906</v>
      </c>
      <c r="J1001" s="52">
        <f>IF(A1001&lt;&gt;"",SUMIFS(metas!N:N, metas!E:E, "&gt;=" &amp; DATEVALUE(B1001&amp;"-01"),metas!D:D, "&lt;=" &amp; DATEVALUE(B1001&amp;"-01")),"")</f>
        <v>3182.813937</v>
      </c>
      <c r="K1001" s="49">
        <f t="shared" si="4"/>
        <v>19723.18606</v>
      </c>
      <c r="L1001" s="49">
        <f t="shared" si="6"/>
        <v>19087069.41</v>
      </c>
      <c r="M1001" s="49">
        <f>IF(A1001&lt;&gt;"",IF(COUNTIF(investimento!F:F, B1001) &gt; 0, SUM(investimento!B:B)+I1001, M1000+I1001),"")</f>
        <v>22688658.68</v>
      </c>
    </row>
  </sheetData>
  <dataValidations>
    <dataValidation type="custom" allowBlank="1" showDropDown="1" sqref="A2:A1001">
      <formula1>OR(NOT(ISERROR(DATEVALUE(A2))), AND(ISNUMBER(A2), LEFT(CELL("format", A2))="D"))</formula1>
    </dataValidation>
    <dataValidation type="custom" allowBlank="1" showDropDown="1" sqref="C2:C1001 J2:J100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10" max="10" width="13.63"/>
    <col customWidth="1" min="12" max="13" width="14.0"/>
    <col customWidth="1" min="14" max="14" width="12.25"/>
  </cols>
  <sheetData>
    <row r="1">
      <c r="A1" s="1" t="s">
        <v>79</v>
      </c>
      <c r="B1" s="3" t="s">
        <v>1</v>
      </c>
      <c r="C1" s="54" t="s">
        <v>80</v>
      </c>
      <c r="D1" s="1" t="s">
        <v>81</v>
      </c>
      <c r="E1" s="12" t="s">
        <v>35</v>
      </c>
      <c r="F1" s="55" t="s">
        <v>18</v>
      </c>
      <c r="G1" s="12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6</v>
      </c>
      <c r="P1" s="1" t="s">
        <v>90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5" t="s">
        <v>91</v>
      </c>
      <c r="B2" s="7">
        <v>200000.0</v>
      </c>
      <c r="C2" s="26">
        <v>0.35</v>
      </c>
      <c r="D2" s="28">
        <v>45901.0</v>
      </c>
      <c r="E2" s="28">
        <v>46357.0</v>
      </c>
      <c r="F2" s="56" t="str">
        <f t="shared" ref="F2:F5" si="1">IFERROR(IF(D2&lt;&gt;"",TEXT(D2, "yyyy-mm"),""),"")</f>
        <v>2025-09</v>
      </c>
      <c r="G2" s="28">
        <f t="shared" ref="G2:G16" si="2">IF(E2&lt;&gt;"",TODAY(),"")</f>
        <v>46219</v>
      </c>
      <c r="H2" s="11">
        <f t="array" ref="H2">IF(A2&lt;&gt;"", 
    IF(
        (INDEX(saldo!M:M, MATCH(TEXT(TODAY(),"yyyy-MM"),saldo!B:B,0))-SUM(reservas!B:B))*C2 &gt; B2,B2,
        (INDEX(saldo!M:M, MATCH(TEXT(TODAY(),"yyyy-MM"),saldo!B:B,0))-SUM(reservas!B:B))*C2),
"")</f>
        <v>54443.05183</v>
      </c>
      <c r="I2" s="57">
        <f t="shared" ref="I2:I5" si="3">IF(H2&lt;&gt;B2,C2,0)</f>
        <v>0.35</v>
      </c>
      <c r="J2" s="57">
        <f t="shared" ref="J2:J5" si="4">I2/SUM(I:I)</f>
        <v>0.5</v>
      </c>
      <c r="K2" s="11">
        <f t="array" ref="K2">IF(
    I2&lt;&gt;0,
    (INDEX(saldo!M:M, MATCH(TEXT(TODAY(),"yyyy-MM"),saldo!B:B,0))-SUM(reservas!B:B)-SUMIF(I:I,"=0",H:H))*J2,H2)</f>
        <v>77775.78833</v>
      </c>
      <c r="L2" s="11">
        <f t="shared" ref="L2:L5" si="5">B2-K2</f>
        <v>122224.2117</v>
      </c>
      <c r="M2" s="15">
        <f t="shared" ref="M2:M5" si="6">IF(E2&lt;&gt;"",DATEDIF(D2,E2,"M"),"")</f>
        <v>15</v>
      </c>
      <c r="N2" s="7">
        <f>IF(G2&lt;&gt;"",L2/M2,"")</f>
        <v>8148.280778</v>
      </c>
      <c r="O2" s="5" t="s">
        <v>10</v>
      </c>
      <c r="P2" s="15" t="str">
        <f t="shared" ref="P2:P17" si="7">IF(K2&lt;&gt;"",IF(K2=B2,"TRUE", "FALSE"),"")</f>
        <v>FALSE</v>
      </c>
    </row>
    <row r="3">
      <c r="A3" s="5" t="s">
        <v>92</v>
      </c>
      <c r="B3" s="7">
        <v>2000000.0</v>
      </c>
      <c r="C3" s="58">
        <v>0.05</v>
      </c>
      <c r="D3" s="28">
        <v>46419.0</v>
      </c>
      <c r="E3" s="28">
        <v>53114.0</v>
      </c>
      <c r="F3" s="56" t="str">
        <f t="shared" si="1"/>
        <v>2027-02</v>
      </c>
      <c r="G3" s="28">
        <f t="shared" si="2"/>
        <v>46219</v>
      </c>
      <c r="H3" s="11">
        <f t="array" ref="H3">IF(A3&lt;&gt;"", IF((INDEX(saldo!M:M, MATCH(TEXT(TODAY(),"yyyy-MM"),saldo!B:B,0))-SUM(reservas!B:B))*C3 &gt; B3,B3,(INDEX(saldo!M:M, MATCH(TEXT(TODAY(),"yyyy-MM"),saldo!B:B,0))-SUM(reservas!B:B))*C3),"")</f>
        <v>7777.578833</v>
      </c>
      <c r="I3" s="57">
        <f t="shared" si="3"/>
        <v>0.05</v>
      </c>
      <c r="J3" s="57">
        <f t="shared" si="4"/>
        <v>0.07142857143</v>
      </c>
      <c r="K3" s="11">
        <f t="array" ref="K3">IF(
    I3&lt;&gt;0,
    (INDEX(saldo!M:M, MATCH(TEXT(TODAY(),"yyyy-MM"),saldo!B:B,0))-SUM(reservas!B:B)-SUMIF(I:I,"=0",H:H))*J3,H3)</f>
        <v>11110.8269</v>
      </c>
      <c r="L3" s="11">
        <f t="shared" si="5"/>
        <v>1988889.173</v>
      </c>
      <c r="M3" s="15">
        <f t="shared" si="6"/>
        <v>220</v>
      </c>
      <c r="N3" s="59">
        <f>-PMT(0.1/12, M3, 0, L3)</f>
        <v>3182.813937</v>
      </c>
      <c r="O3" s="5" t="s">
        <v>10</v>
      </c>
      <c r="P3" s="15" t="str">
        <f t="shared" si="7"/>
        <v>FALSE</v>
      </c>
    </row>
    <row r="4">
      <c r="A4" s="5" t="s">
        <v>93</v>
      </c>
      <c r="B4" s="7">
        <v>60000.0</v>
      </c>
      <c r="C4" s="26">
        <v>0.3</v>
      </c>
      <c r="D4" s="28">
        <v>46204.0</v>
      </c>
      <c r="E4" s="28">
        <v>46357.0</v>
      </c>
      <c r="F4" s="56" t="str">
        <f t="shared" si="1"/>
        <v>2026-07</v>
      </c>
      <c r="G4" s="28">
        <f t="shared" si="2"/>
        <v>46219</v>
      </c>
      <c r="H4" s="11">
        <f t="array" ref="H4">IF(A4&lt;&gt;"", IF((INDEX(saldo!M:M, MATCH(TEXT(TODAY(),"yyyy-MM"),saldo!B:B,0))-SUM(reservas!B:B))*C4 &gt; B4,B4,(INDEX(saldo!M:M, MATCH(TEXT(TODAY(),"yyyy-MM"),saldo!B:B,0))-SUM(reservas!B:B))*C4),"")</f>
        <v>46665.473</v>
      </c>
      <c r="I4" s="57">
        <f t="shared" si="3"/>
        <v>0.3</v>
      </c>
      <c r="J4" s="57">
        <f t="shared" si="4"/>
        <v>0.4285714286</v>
      </c>
      <c r="K4" s="11">
        <f t="array" ref="K4">IF(
    I4&lt;&gt;0,
    (INDEX(saldo!M:M, MATCH(TEXT(TODAY(),"yyyy-MM"),saldo!B:B,0))-SUM(reservas!B:B)-SUMIF(I:I,"=0",H:H))*J4,H4)</f>
        <v>66664.96143</v>
      </c>
      <c r="L4" s="11">
        <f t="shared" si="5"/>
        <v>-6664.961429</v>
      </c>
      <c r="M4" s="15">
        <f t="shared" si="6"/>
        <v>5</v>
      </c>
      <c r="N4" s="7">
        <f t="shared" ref="N4:N5" si="8">IF(G4&lt;&gt;"",L4/M4,"")</f>
        <v>-1332.992286</v>
      </c>
      <c r="O4" s="5" t="s">
        <v>8</v>
      </c>
      <c r="P4" s="15" t="str">
        <f t="shared" si="7"/>
        <v>FALSE</v>
      </c>
    </row>
    <row r="5">
      <c r="A5" s="5" t="s">
        <v>94</v>
      </c>
      <c r="B5" s="7">
        <v>250000.0</v>
      </c>
      <c r="C5" s="58">
        <v>0.0</v>
      </c>
      <c r="D5" s="28">
        <v>45778.0</v>
      </c>
      <c r="E5" s="28">
        <v>46874.0</v>
      </c>
      <c r="F5" s="56" t="str">
        <f t="shared" si="1"/>
        <v>2025-05</v>
      </c>
      <c r="G5" s="28">
        <f t="shared" si="2"/>
        <v>46219</v>
      </c>
      <c r="H5" s="11">
        <f t="array" ref="H5">IF(A5&lt;&gt;"", IF((INDEX(saldo!M:M, MATCH(TEXT(TODAY(),"yyyy-MM"),saldo!B:B,0))-SUM(reservas!B:B))*C5 &gt; B5,B5,(INDEX(saldo!M:M, MATCH(TEXT(TODAY(),"yyyy-MM"),saldo!B:B,0))-SUM(reservas!B:B))*C5),"")</f>
        <v>0</v>
      </c>
      <c r="I5" s="57">
        <f t="shared" si="3"/>
        <v>0</v>
      </c>
      <c r="J5" s="57">
        <f t="shared" si="4"/>
        <v>0</v>
      </c>
      <c r="K5" s="11">
        <f t="array" ref="K5">IF(
    I5&lt;&gt;0,
    (INDEX(saldo!M:M, MATCH(TEXT(TODAY(),"yyyy-MM"),saldo!B:B,0))-SUM(reservas!B:B)-SUMIF(I:I,"=0",H:H))*J5,H5)</f>
        <v>0</v>
      </c>
      <c r="L5" s="11">
        <f t="shared" si="5"/>
        <v>250000</v>
      </c>
      <c r="M5" s="15">
        <f t="shared" si="6"/>
        <v>36</v>
      </c>
      <c r="N5" s="7">
        <f t="shared" si="8"/>
        <v>6944.444444</v>
      </c>
      <c r="O5" s="5" t="s">
        <v>10</v>
      </c>
      <c r="P5" s="15" t="str">
        <f t="shared" si="7"/>
        <v>FALSE</v>
      </c>
    </row>
    <row r="6">
      <c r="B6" s="11"/>
      <c r="C6" s="58"/>
      <c r="D6" s="28"/>
      <c r="E6" s="28"/>
      <c r="F6" s="56" t="str">
        <f t="shared" ref="F6:F17" si="9">IFERROR(IF(E6&lt;&gt;"",TEXT(E6, "yyyy-mm"),""),"")</f>
        <v/>
      </c>
      <c r="G6" s="28" t="str">
        <f t="shared" si="2"/>
        <v/>
      </c>
      <c r="M6" s="15" t="str">
        <f t="shared" ref="M6:M15" si="10">IF(E6&lt;&gt;"",DATEDIF(G6,E6,"M"),"")</f>
        <v/>
      </c>
      <c r="P6" s="15" t="str">
        <f t="shared" si="7"/>
        <v/>
      </c>
    </row>
    <row r="7">
      <c r="B7" s="11"/>
      <c r="C7" s="58"/>
      <c r="D7" s="28"/>
      <c r="E7" s="28"/>
      <c r="F7" s="56" t="str">
        <f t="shared" si="9"/>
        <v/>
      </c>
      <c r="G7" s="28" t="str">
        <f t="shared" si="2"/>
        <v/>
      </c>
      <c r="M7" s="15" t="str">
        <f t="shared" si="10"/>
        <v/>
      </c>
      <c r="N7" s="5" t="str">
        <f t="shared" ref="N7:N23" si="11">IF(G7&lt;&gt;"",L7/M7,"")</f>
        <v/>
      </c>
      <c r="P7" s="15" t="str">
        <f t="shared" si="7"/>
        <v/>
      </c>
    </row>
    <row r="8">
      <c r="B8" s="11"/>
      <c r="C8" s="60"/>
      <c r="D8" s="31"/>
      <c r="E8" s="31"/>
      <c r="F8" s="56" t="str">
        <f t="shared" si="9"/>
        <v/>
      </c>
      <c r="G8" s="28" t="str">
        <f t="shared" si="2"/>
        <v/>
      </c>
      <c r="M8" s="15" t="str">
        <f t="shared" si="10"/>
        <v/>
      </c>
      <c r="N8" s="5" t="str">
        <f t="shared" si="11"/>
        <v/>
      </c>
      <c r="P8" s="15" t="str">
        <f t="shared" si="7"/>
        <v/>
      </c>
    </row>
    <row r="9">
      <c r="B9" s="11"/>
      <c r="C9" s="60"/>
      <c r="D9" s="31"/>
      <c r="E9" s="31"/>
      <c r="F9" s="56" t="str">
        <f t="shared" si="9"/>
        <v/>
      </c>
      <c r="G9" s="28" t="str">
        <f t="shared" si="2"/>
        <v/>
      </c>
      <c r="M9" s="15" t="str">
        <f t="shared" si="10"/>
        <v/>
      </c>
      <c r="N9" s="5" t="str">
        <f t="shared" si="11"/>
        <v/>
      </c>
      <c r="P9" s="15" t="str">
        <f t="shared" si="7"/>
        <v/>
      </c>
    </row>
    <row r="10">
      <c r="B10" s="11"/>
      <c r="C10" s="60"/>
      <c r="D10" s="31"/>
      <c r="E10" s="31"/>
      <c r="F10" s="56" t="str">
        <f t="shared" si="9"/>
        <v/>
      </c>
      <c r="G10" s="28" t="str">
        <f t="shared" si="2"/>
        <v/>
      </c>
      <c r="M10" s="15" t="str">
        <f t="shared" si="10"/>
        <v/>
      </c>
      <c r="N10" s="5" t="str">
        <f t="shared" si="11"/>
        <v/>
      </c>
      <c r="P10" s="15" t="str">
        <f t="shared" si="7"/>
        <v/>
      </c>
    </row>
    <row r="11">
      <c r="B11" s="11"/>
      <c r="C11" s="60"/>
      <c r="D11" s="31"/>
      <c r="E11" s="31"/>
      <c r="F11" s="56" t="str">
        <f t="shared" si="9"/>
        <v/>
      </c>
      <c r="G11" s="28" t="str">
        <f t="shared" si="2"/>
        <v/>
      </c>
      <c r="M11" s="15" t="str">
        <f t="shared" si="10"/>
        <v/>
      </c>
      <c r="N11" s="5" t="str">
        <f t="shared" si="11"/>
        <v/>
      </c>
      <c r="P11" s="15" t="str">
        <f t="shared" si="7"/>
        <v/>
      </c>
    </row>
    <row r="12">
      <c r="B12" s="11"/>
      <c r="C12" s="60"/>
      <c r="D12" s="31"/>
      <c r="E12" s="31"/>
      <c r="F12" s="56" t="str">
        <f t="shared" si="9"/>
        <v/>
      </c>
      <c r="G12" s="28" t="str">
        <f t="shared" si="2"/>
        <v/>
      </c>
      <c r="M12" s="15" t="str">
        <f t="shared" si="10"/>
        <v/>
      </c>
      <c r="N12" s="5" t="str">
        <f t="shared" si="11"/>
        <v/>
      </c>
      <c r="P12" s="15" t="str">
        <f t="shared" si="7"/>
        <v/>
      </c>
    </row>
    <row r="13">
      <c r="B13" s="11"/>
      <c r="C13" s="60"/>
      <c r="D13" s="31"/>
      <c r="E13" s="31"/>
      <c r="F13" s="56" t="str">
        <f t="shared" si="9"/>
        <v/>
      </c>
      <c r="G13" s="28" t="str">
        <f t="shared" si="2"/>
        <v/>
      </c>
      <c r="M13" s="15" t="str">
        <f t="shared" si="10"/>
        <v/>
      </c>
      <c r="N13" s="5" t="str">
        <f t="shared" si="11"/>
        <v/>
      </c>
      <c r="P13" s="15" t="str">
        <f t="shared" si="7"/>
        <v/>
      </c>
    </row>
    <row r="14">
      <c r="B14" s="11"/>
      <c r="C14" s="60"/>
      <c r="D14" s="31"/>
      <c r="E14" s="31"/>
      <c r="F14" s="56" t="str">
        <f t="shared" si="9"/>
        <v/>
      </c>
      <c r="G14" s="28" t="str">
        <f t="shared" si="2"/>
        <v/>
      </c>
      <c r="M14" s="15" t="str">
        <f t="shared" si="10"/>
        <v/>
      </c>
      <c r="N14" s="5" t="str">
        <f t="shared" si="11"/>
        <v/>
      </c>
      <c r="P14" s="15" t="str">
        <f t="shared" si="7"/>
        <v/>
      </c>
    </row>
    <row r="15">
      <c r="B15" s="11"/>
      <c r="C15" s="60"/>
      <c r="D15" s="31"/>
      <c r="E15" s="31"/>
      <c r="F15" s="56" t="str">
        <f t="shared" si="9"/>
        <v/>
      </c>
      <c r="G15" s="28" t="str">
        <f t="shared" si="2"/>
        <v/>
      </c>
      <c r="M15" s="15" t="str">
        <f t="shared" si="10"/>
        <v/>
      </c>
      <c r="N15" s="5" t="str">
        <f t="shared" si="11"/>
        <v/>
      </c>
      <c r="P15" s="15" t="str">
        <f t="shared" si="7"/>
        <v/>
      </c>
    </row>
    <row r="16">
      <c r="B16" s="11"/>
      <c r="C16" s="60"/>
      <c r="D16" s="31"/>
      <c r="E16" s="31"/>
      <c r="F16" s="56" t="str">
        <f t="shared" si="9"/>
        <v/>
      </c>
      <c r="G16" s="28" t="str">
        <f t="shared" si="2"/>
        <v/>
      </c>
      <c r="N16" s="5" t="str">
        <f t="shared" si="11"/>
        <v/>
      </c>
      <c r="P16" s="15" t="str">
        <f t="shared" si="7"/>
        <v/>
      </c>
    </row>
    <row r="17">
      <c r="B17" s="11"/>
      <c r="C17" s="60"/>
      <c r="D17" s="31"/>
      <c r="E17" s="31"/>
      <c r="F17" s="56" t="str">
        <f t="shared" si="9"/>
        <v/>
      </c>
      <c r="G17" s="14"/>
      <c r="N17" s="5" t="str">
        <f t="shared" si="11"/>
        <v/>
      </c>
      <c r="P17" s="15" t="str">
        <f t="shared" si="7"/>
        <v/>
      </c>
    </row>
    <row r="18">
      <c r="B18" s="11"/>
      <c r="C18" s="60"/>
      <c r="D18" s="31"/>
      <c r="E18" s="31"/>
      <c r="F18" s="56"/>
      <c r="G18" s="14"/>
      <c r="N18" s="5" t="str">
        <f t="shared" si="11"/>
        <v/>
      </c>
    </row>
    <row r="19">
      <c r="B19" s="11"/>
      <c r="C19" s="60"/>
      <c r="D19" s="31"/>
      <c r="E19" s="31"/>
      <c r="F19" s="56"/>
      <c r="G19" s="14"/>
      <c r="N19" s="5" t="str">
        <f t="shared" si="11"/>
        <v/>
      </c>
    </row>
    <row r="20">
      <c r="B20" s="11"/>
      <c r="C20" s="60"/>
      <c r="D20" s="31"/>
      <c r="E20" s="31"/>
      <c r="F20" s="56"/>
      <c r="G20" s="14"/>
      <c r="N20" s="5" t="str">
        <f t="shared" si="11"/>
        <v/>
      </c>
    </row>
    <row r="21">
      <c r="B21" s="11"/>
      <c r="C21" s="60"/>
      <c r="D21" s="31"/>
      <c r="E21" s="31"/>
      <c r="F21" s="56"/>
      <c r="G21" s="14"/>
      <c r="N21" s="5" t="str">
        <f t="shared" si="11"/>
        <v/>
      </c>
    </row>
    <row r="22">
      <c r="B22" s="11"/>
      <c r="C22" s="60"/>
      <c r="D22" s="31"/>
      <c r="E22" s="31"/>
      <c r="F22" s="56"/>
      <c r="G22" s="14"/>
      <c r="N22" s="5" t="str">
        <f t="shared" si="11"/>
        <v/>
      </c>
    </row>
    <row r="23">
      <c r="B23" s="11"/>
      <c r="C23" s="60"/>
      <c r="D23" s="31"/>
      <c r="E23" s="31"/>
      <c r="F23" s="56"/>
      <c r="G23" s="14"/>
      <c r="N23" s="5" t="str">
        <f t="shared" si="11"/>
        <v/>
      </c>
    </row>
    <row r="24">
      <c r="B24" s="11"/>
      <c r="C24" s="60"/>
      <c r="D24" s="31"/>
      <c r="E24" s="31"/>
      <c r="F24" s="56"/>
      <c r="G24" s="14"/>
    </row>
    <row r="25">
      <c r="B25" s="11"/>
      <c r="C25" s="60"/>
      <c r="D25" s="31"/>
      <c r="E25" s="31"/>
      <c r="F25" s="56"/>
      <c r="G25" s="14"/>
    </row>
    <row r="26">
      <c r="B26" s="11"/>
      <c r="C26" s="60"/>
      <c r="D26" s="31"/>
      <c r="E26" s="31"/>
      <c r="F26" s="56"/>
      <c r="G26" s="14"/>
    </row>
    <row r="27">
      <c r="B27" s="11"/>
      <c r="C27" s="60"/>
      <c r="D27" s="31"/>
      <c r="E27" s="31"/>
      <c r="F27" s="56"/>
      <c r="G27" s="14"/>
    </row>
    <row r="28">
      <c r="B28" s="11"/>
      <c r="C28" s="60"/>
      <c r="D28" s="31"/>
      <c r="E28" s="31"/>
      <c r="F28" s="56"/>
      <c r="G28" s="14"/>
    </row>
    <row r="29">
      <c r="B29" s="11"/>
      <c r="C29" s="60"/>
      <c r="D29" s="31"/>
      <c r="E29" s="31"/>
      <c r="F29" s="56"/>
      <c r="G29" s="14"/>
    </row>
    <row r="30">
      <c r="B30" s="11"/>
      <c r="C30" s="60"/>
      <c r="D30" s="31"/>
      <c r="E30" s="31"/>
      <c r="F30" s="56"/>
      <c r="G30" s="14"/>
    </row>
    <row r="31">
      <c r="B31" s="11"/>
      <c r="C31" s="60"/>
      <c r="D31" s="31"/>
      <c r="E31" s="31"/>
      <c r="F31" s="56"/>
      <c r="G31" s="14"/>
    </row>
    <row r="32">
      <c r="B32" s="11"/>
      <c r="C32" s="60"/>
      <c r="D32" s="31"/>
      <c r="E32" s="31"/>
      <c r="F32" s="56"/>
      <c r="G32" s="14"/>
    </row>
    <row r="33">
      <c r="B33" s="11"/>
      <c r="C33" s="60"/>
      <c r="D33" s="31"/>
      <c r="E33" s="31"/>
      <c r="F33" s="56"/>
      <c r="G33" s="14"/>
    </row>
    <row r="34">
      <c r="B34" s="11"/>
      <c r="C34" s="60"/>
      <c r="D34" s="31"/>
      <c r="E34" s="31"/>
      <c r="F34" s="56"/>
      <c r="G34" s="14"/>
    </row>
    <row r="35">
      <c r="B35" s="11"/>
      <c r="C35" s="60"/>
      <c r="D35" s="31"/>
      <c r="E35" s="31"/>
      <c r="F35" s="56"/>
      <c r="G35" s="14"/>
    </row>
    <row r="36">
      <c r="B36" s="11"/>
      <c r="C36" s="60"/>
      <c r="D36" s="31"/>
      <c r="E36" s="31"/>
      <c r="F36" s="56"/>
      <c r="G36" s="14"/>
    </row>
    <row r="37">
      <c r="B37" s="11"/>
      <c r="C37" s="60"/>
      <c r="D37" s="31"/>
      <c r="E37" s="31"/>
      <c r="F37" s="56"/>
      <c r="G37" s="14"/>
    </row>
    <row r="38">
      <c r="B38" s="11"/>
      <c r="C38" s="60"/>
      <c r="D38" s="31"/>
      <c r="E38" s="31"/>
      <c r="F38" s="56"/>
      <c r="G38" s="14"/>
    </row>
    <row r="39">
      <c r="B39" s="11"/>
      <c r="C39" s="60"/>
      <c r="D39" s="31"/>
      <c r="E39" s="31"/>
      <c r="F39" s="56"/>
      <c r="G39" s="14"/>
    </row>
    <row r="40">
      <c r="B40" s="11"/>
      <c r="C40" s="60"/>
      <c r="D40" s="31"/>
      <c r="E40" s="31"/>
      <c r="F40" s="56"/>
      <c r="G40" s="14"/>
    </row>
    <row r="41">
      <c r="B41" s="11"/>
      <c r="C41" s="60"/>
      <c r="D41" s="31"/>
      <c r="E41" s="31"/>
      <c r="F41" s="56"/>
      <c r="G41" s="14"/>
    </row>
    <row r="42">
      <c r="B42" s="11"/>
      <c r="C42" s="60"/>
      <c r="D42" s="31"/>
      <c r="E42" s="31"/>
      <c r="F42" s="56"/>
      <c r="G42" s="14"/>
    </row>
    <row r="43">
      <c r="B43" s="11"/>
      <c r="C43" s="60"/>
      <c r="D43" s="31"/>
      <c r="E43" s="31"/>
      <c r="F43" s="56"/>
      <c r="G43" s="14"/>
    </row>
    <row r="44">
      <c r="B44" s="11"/>
      <c r="C44" s="60"/>
      <c r="D44" s="31"/>
      <c r="E44" s="31"/>
      <c r="F44" s="56"/>
      <c r="G44" s="14"/>
    </row>
    <row r="45">
      <c r="B45" s="11"/>
      <c r="C45" s="60"/>
      <c r="D45" s="31"/>
      <c r="E45" s="31"/>
      <c r="F45" s="56"/>
      <c r="G45" s="14"/>
    </row>
    <row r="46">
      <c r="B46" s="11"/>
      <c r="C46" s="60"/>
      <c r="D46" s="31"/>
      <c r="E46" s="31"/>
      <c r="F46" s="56"/>
      <c r="G46" s="14"/>
    </row>
    <row r="47">
      <c r="B47" s="11"/>
      <c r="C47" s="60"/>
      <c r="D47" s="31"/>
      <c r="E47" s="31"/>
      <c r="F47" s="56"/>
      <c r="G47" s="14"/>
    </row>
    <row r="48">
      <c r="B48" s="11"/>
      <c r="C48" s="60"/>
      <c r="D48" s="31"/>
      <c r="E48" s="31"/>
      <c r="F48" s="56"/>
      <c r="G48" s="14"/>
    </row>
    <row r="49">
      <c r="B49" s="11"/>
      <c r="C49" s="60"/>
      <c r="D49" s="31"/>
      <c r="E49" s="31"/>
      <c r="F49" s="56"/>
      <c r="G49" s="14"/>
    </row>
    <row r="50">
      <c r="B50" s="11"/>
      <c r="C50" s="60"/>
      <c r="D50" s="31"/>
      <c r="E50" s="31"/>
      <c r="F50" s="56"/>
      <c r="G50" s="14"/>
    </row>
    <row r="51">
      <c r="B51" s="11"/>
      <c r="C51" s="60"/>
      <c r="D51" s="31"/>
      <c r="E51" s="31"/>
      <c r="F51" s="56"/>
      <c r="G51" s="14"/>
    </row>
    <row r="52">
      <c r="B52" s="11"/>
      <c r="C52" s="60"/>
      <c r="D52" s="31"/>
      <c r="E52" s="31"/>
      <c r="F52" s="56"/>
      <c r="G52" s="14"/>
    </row>
    <row r="53">
      <c r="B53" s="11"/>
      <c r="C53" s="60"/>
      <c r="D53" s="31"/>
      <c r="E53" s="31"/>
      <c r="F53" s="56"/>
      <c r="G53" s="14"/>
    </row>
    <row r="54">
      <c r="B54" s="11"/>
      <c r="C54" s="60"/>
      <c r="D54" s="31"/>
      <c r="E54" s="31"/>
      <c r="F54" s="56"/>
      <c r="G54" s="14"/>
    </row>
    <row r="55">
      <c r="B55" s="11"/>
      <c r="C55" s="60"/>
      <c r="D55" s="31"/>
      <c r="E55" s="31"/>
      <c r="F55" s="56"/>
      <c r="G55" s="14"/>
    </row>
    <row r="56">
      <c r="B56" s="11"/>
      <c r="C56" s="60"/>
      <c r="D56" s="31"/>
      <c r="E56" s="31"/>
      <c r="F56" s="56"/>
      <c r="G56" s="14"/>
    </row>
    <row r="57">
      <c r="B57" s="11"/>
      <c r="C57" s="60"/>
      <c r="D57" s="31"/>
      <c r="E57" s="31"/>
      <c r="F57" s="56"/>
      <c r="G57" s="14"/>
    </row>
    <row r="58">
      <c r="B58" s="11"/>
      <c r="C58" s="60"/>
      <c r="D58" s="31"/>
      <c r="E58" s="31"/>
      <c r="F58" s="56"/>
      <c r="G58" s="14"/>
    </row>
    <row r="59">
      <c r="B59" s="11"/>
      <c r="C59" s="60"/>
      <c r="D59" s="31"/>
      <c r="E59" s="31"/>
      <c r="F59" s="56"/>
      <c r="G59" s="14"/>
    </row>
    <row r="60">
      <c r="B60" s="11"/>
      <c r="C60" s="60"/>
      <c r="D60" s="31"/>
      <c r="E60" s="31"/>
      <c r="F60" s="56"/>
      <c r="G60" s="14"/>
    </row>
    <row r="61">
      <c r="B61" s="11"/>
      <c r="C61" s="60"/>
      <c r="D61" s="31"/>
      <c r="E61" s="31"/>
      <c r="F61" s="56"/>
      <c r="G61" s="14"/>
    </row>
    <row r="62">
      <c r="B62" s="11"/>
      <c r="C62" s="60"/>
      <c r="D62" s="31"/>
      <c r="E62" s="31"/>
      <c r="F62" s="56"/>
      <c r="G62" s="14"/>
    </row>
    <row r="63">
      <c r="B63" s="11"/>
      <c r="C63" s="60"/>
      <c r="D63" s="31"/>
      <c r="E63" s="31"/>
      <c r="F63" s="56"/>
      <c r="G63" s="14"/>
    </row>
    <row r="64">
      <c r="B64" s="11"/>
      <c r="C64" s="60"/>
      <c r="D64" s="31"/>
      <c r="E64" s="31"/>
      <c r="F64" s="56"/>
      <c r="G64" s="14"/>
    </row>
    <row r="65">
      <c r="B65" s="11"/>
      <c r="C65" s="60"/>
      <c r="D65" s="31"/>
      <c r="E65" s="31"/>
      <c r="F65" s="56"/>
      <c r="G65" s="14"/>
    </row>
    <row r="66">
      <c r="B66" s="11"/>
      <c r="C66" s="60"/>
      <c r="D66" s="31"/>
      <c r="E66" s="31"/>
      <c r="F66" s="56"/>
      <c r="G66" s="14"/>
    </row>
    <row r="67">
      <c r="B67" s="11"/>
      <c r="C67" s="60"/>
      <c r="D67" s="31"/>
      <c r="E67" s="31"/>
      <c r="F67" s="56"/>
      <c r="G67" s="14"/>
    </row>
    <row r="68">
      <c r="B68" s="11"/>
      <c r="C68" s="60"/>
      <c r="D68" s="31"/>
      <c r="E68" s="31"/>
      <c r="F68" s="56"/>
      <c r="G68" s="14"/>
    </row>
    <row r="69">
      <c r="B69" s="11"/>
      <c r="C69" s="60"/>
      <c r="D69" s="31"/>
      <c r="E69" s="31"/>
      <c r="F69" s="56"/>
      <c r="G69" s="14"/>
    </row>
    <row r="70">
      <c r="B70" s="11"/>
      <c r="C70" s="60"/>
      <c r="D70" s="31"/>
      <c r="E70" s="31"/>
      <c r="F70" s="56"/>
      <c r="G70" s="14"/>
    </row>
    <row r="71">
      <c r="B71" s="11"/>
      <c r="C71" s="60"/>
      <c r="D71" s="31"/>
      <c r="E71" s="31"/>
      <c r="F71" s="56"/>
      <c r="G71" s="14"/>
    </row>
    <row r="72">
      <c r="B72" s="11"/>
      <c r="C72" s="60"/>
      <c r="D72" s="31"/>
      <c r="E72" s="31"/>
      <c r="F72" s="56"/>
      <c r="G72" s="14"/>
    </row>
    <row r="73">
      <c r="B73" s="11"/>
      <c r="C73" s="60"/>
      <c r="D73" s="31"/>
      <c r="E73" s="31"/>
      <c r="F73" s="56"/>
      <c r="G73" s="14"/>
    </row>
    <row r="74">
      <c r="B74" s="11"/>
      <c r="C74" s="60"/>
      <c r="D74" s="31"/>
      <c r="E74" s="31"/>
      <c r="F74" s="56"/>
      <c r="G74" s="14"/>
    </row>
    <row r="75">
      <c r="B75" s="11"/>
      <c r="C75" s="60"/>
      <c r="D75" s="31"/>
      <c r="E75" s="31"/>
      <c r="F75" s="56"/>
      <c r="G75" s="14"/>
    </row>
    <row r="76">
      <c r="B76" s="11"/>
      <c r="C76" s="60"/>
      <c r="D76" s="31"/>
      <c r="E76" s="31"/>
      <c r="F76" s="56"/>
      <c r="G76" s="14"/>
    </row>
    <row r="77">
      <c r="B77" s="11"/>
      <c r="C77" s="60"/>
      <c r="D77" s="31"/>
      <c r="E77" s="31"/>
      <c r="F77" s="56"/>
      <c r="G77" s="14"/>
    </row>
    <row r="78">
      <c r="B78" s="11"/>
      <c r="C78" s="60"/>
      <c r="D78" s="31"/>
      <c r="E78" s="31"/>
      <c r="F78" s="56"/>
      <c r="G78" s="14"/>
    </row>
    <row r="79">
      <c r="B79" s="11"/>
      <c r="C79" s="60"/>
      <c r="D79" s="31"/>
      <c r="E79" s="31"/>
      <c r="F79" s="56"/>
      <c r="G79" s="14"/>
    </row>
    <row r="80">
      <c r="B80" s="11"/>
      <c r="C80" s="60"/>
      <c r="D80" s="31"/>
      <c r="E80" s="31"/>
      <c r="F80" s="56"/>
      <c r="G80" s="14"/>
    </row>
    <row r="81">
      <c r="B81" s="11"/>
      <c r="C81" s="60"/>
      <c r="D81" s="31"/>
      <c r="E81" s="31"/>
      <c r="F81" s="56"/>
      <c r="G81" s="14"/>
    </row>
    <row r="82">
      <c r="B82" s="11"/>
      <c r="C82" s="60"/>
      <c r="D82" s="31"/>
      <c r="E82" s="31"/>
      <c r="F82" s="56"/>
      <c r="G82" s="14"/>
    </row>
    <row r="83">
      <c r="B83" s="11"/>
      <c r="C83" s="60"/>
      <c r="D83" s="31"/>
      <c r="E83" s="31"/>
      <c r="F83" s="56"/>
      <c r="G83" s="14"/>
    </row>
    <row r="84">
      <c r="B84" s="11"/>
      <c r="C84" s="60"/>
      <c r="D84" s="31"/>
      <c r="E84" s="31"/>
      <c r="F84" s="56"/>
      <c r="G84" s="14"/>
    </row>
    <row r="85">
      <c r="B85" s="11"/>
      <c r="C85" s="60"/>
      <c r="D85" s="31"/>
      <c r="E85" s="31"/>
      <c r="F85" s="56"/>
      <c r="G85" s="14"/>
    </row>
    <row r="86">
      <c r="B86" s="11"/>
      <c r="C86" s="60"/>
      <c r="D86" s="31"/>
      <c r="E86" s="31"/>
      <c r="F86" s="56"/>
      <c r="G86" s="14"/>
    </row>
    <row r="87">
      <c r="B87" s="11"/>
      <c r="C87" s="60"/>
      <c r="D87" s="31"/>
      <c r="E87" s="31"/>
      <c r="F87" s="56"/>
      <c r="G87" s="14"/>
    </row>
    <row r="88">
      <c r="B88" s="11"/>
      <c r="C88" s="60"/>
      <c r="D88" s="31"/>
      <c r="E88" s="31"/>
      <c r="F88" s="56"/>
      <c r="G88" s="14"/>
    </row>
    <row r="89">
      <c r="B89" s="11"/>
      <c r="C89" s="60"/>
      <c r="D89" s="31"/>
      <c r="E89" s="31"/>
      <c r="F89" s="56"/>
      <c r="G89" s="14"/>
    </row>
    <row r="90">
      <c r="B90" s="11"/>
      <c r="C90" s="60"/>
      <c r="D90" s="31"/>
      <c r="E90" s="31"/>
      <c r="F90" s="56"/>
      <c r="G90" s="14"/>
    </row>
    <row r="91">
      <c r="B91" s="11"/>
      <c r="C91" s="60"/>
      <c r="D91" s="31"/>
      <c r="E91" s="31"/>
      <c r="F91" s="56"/>
      <c r="G91" s="14"/>
    </row>
    <row r="92">
      <c r="B92" s="11"/>
      <c r="C92" s="60"/>
      <c r="D92" s="31"/>
      <c r="E92" s="31"/>
      <c r="F92" s="56"/>
      <c r="G92" s="14"/>
    </row>
    <row r="93">
      <c r="B93" s="11"/>
      <c r="C93" s="60"/>
      <c r="D93" s="31"/>
      <c r="E93" s="31"/>
      <c r="F93" s="56"/>
      <c r="G93" s="14"/>
    </row>
    <row r="94">
      <c r="B94" s="11"/>
      <c r="C94" s="60"/>
      <c r="D94" s="31"/>
      <c r="E94" s="31"/>
      <c r="F94" s="56"/>
      <c r="G94" s="14"/>
    </row>
    <row r="95">
      <c r="B95" s="11"/>
      <c r="C95" s="60"/>
      <c r="D95" s="31"/>
      <c r="E95" s="31"/>
      <c r="F95" s="56"/>
      <c r="G95" s="14"/>
    </row>
    <row r="96">
      <c r="B96" s="11"/>
      <c r="C96" s="60"/>
      <c r="D96" s="31"/>
      <c r="E96" s="31"/>
      <c r="F96" s="56"/>
      <c r="G96" s="14"/>
    </row>
    <row r="97">
      <c r="B97" s="11"/>
      <c r="C97" s="60"/>
      <c r="D97" s="31"/>
      <c r="E97" s="31"/>
      <c r="F97" s="56"/>
      <c r="G97" s="14"/>
    </row>
    <row r="98">
      <c r="B98" s="11"/>
      <c r="C98" s="60"/>
      <c r="D98" s="31"/>
      <c r="E98" s="31"/>
      <c r="F98" s="56"/>
      <c r="G98" s="14"/>
    </row>
    <row r="99">
      <c r="B99" s="11"/>
      <c r="C99" s="60"/>
      <c r="D99" s="31"/>
      <c r="E99" s="31"/>
      <c r="F99" s="56"/>
      <c r="G99" s="14"/>
    </row>
    <row r="100">
      <c r="B100" s="11"/>
      <c r="C100" s="60"/>
      <c r="D100" s="31"/>
      <c r="E100" s="31"/>
      <c r="F100" s="56"/>
      <c r="G100" s="14"/>
    </row>
    <row r="101">
      <c r="B101" s="11"/>
      <c r="C101" s="60"/>
      <c r="D101" s="31"/>
      <c r="E101" s="31"/>
      <c r="F101" s="56"/>
      <c r="G101" s="14"/>
    </row>
    <row r="102">
      <c r="B102" s="11"/>
      <c r="C102" s="60"/>
      <c r="D102" s="31"/>
      <c r="E102" s="31"/>
      <c r="F102" s="56"/>
      <c r="G102" s="14"/>
    </row>
    <row r="103">
      <c r="B103" s="11"/>
      <c r="C103" s="60"/>
      <c r="D103" s="31"/>
      <c r="E103" s="31"/>
      <c r="F103" s="56"/>
      <c r="G103" s="14"/>
    </row>
    <row r="104">
      <c r="B104" s="11"/>
      <c r="C104" s="60"/>
      <c r="D104" s="31"/>
      <c r="E104" s="31"/>
      <c r="F104" s="56"/>
      <c r="G104" s="14"/>
    </row>
    <row r="105">
      <c r="B105" s="11"/>
      <c r="C105" s="60"/>
      <c r="D105" s="31"/>
      <c r="E105" s="31"/>
      <c r="F105" s="56"/>
      <c r="G105" s="14"/>
    </row>
    <row r="106">
      <c r="B106" s="11"/>
      <c r="C106" s="60"/>
      <c r="D106" s="31"/>
      <c r="E106" s="31"/>
      <c r="F106" s="56"/>
      <c r="G106" s="14"/>
    </row>
    <row r="107">
      <c r="B107" s="11"/>
      <c r="C107" s="60"/>
      <c r="D107" s="31"/>
      <c r="E107" s="31"/>
      <c r="F107" s="56"/>
      <c r="G107" s="14"/>
    </row>
    <row r="108">
      <c r="B108" s="11"/>
      <c r="C108" s="60"/>
      <c r="D108" s="31"/>
      <c r="E108" s="31"/>
      <c r="F108" s="56"/>
      <c r="G108" s="14"/>
    </row>
    <row r="109">
      <c r="B109" s="11"/>
      <c r="C109" s="60"/>
      <c r="D109" s="31"/>
      <c r="E109" s="31"/>
      <c r="F109" s="56"/>
      <c r="G109" s="14"/>
    </row>
    <row r="110">
      <c r="B110" s="11"/>
      <c r="C110" s="60"/>
      <c r="D110" s="31"/>
      <c r="E110" s="31"/>
      <c r="F110" s="56"/>
      <c r="G110" s="14"/>
    </row>
    <row r="111">
      <c r="B111" s="11"/>
      <c r="C111" s="60"/>
      <c r="D111" s="31"/>
      <c r="E111" s="31"/>
      <c r="F111" s="56"/>
      <c r="G111" s="14"/>
    </row>
    <row r="112">
      <c r="B112" s="11"/>
      <c r="C112" s="60"/>
      <c r="D112" s="31"/>
      <c r="E112" s="31"/>
      <c r="F112" s="56"/>
      <c r="G112" s="14"/>
    </row>
    <row r="113">
      <c r="B113" s="11"/>
      <c r="C113" s="60"/>
      <c r="D113" s="31"/>
      <c r="E113" s="31"/>
      <c r="F113" s="56"/>
      <c r="G113" s="14"/>
    </row>
    <row r="114">
      <c r="B114" s="11"/>
      <c r="C114" s="60"/>
      <c r="D114" s="31"/>
      <c r="E114" s="31"/>
      <c r="F114" s="56"/>
      <c r="G114" s="14"/>
    </row>
    <row r="115">
      <c r="B115" s="11"/>
      <c r="C115" s="60"/>
      <c r="D115" s="31"/>
      <c r="E115" s="31"/>
      <c r="F115" s="56"/>
      <c r="G115" s="14"/>
    </row>
    <row r="116">
      <c r="B116" s="11"/>
      <c r="C116" s="60"/>
      <c r="D116" s="31"/>
      <c r="E116" s="31"/>
      <c r="F116" s="56"/>
      <c r="G116" s="14"/>
    </row>
    <row r="117">
      <c r="B117" s="11"/>
      <c r="C117" s="60"/>
      <c r="D117" s="31"/>
      <c r="E117" s="31"/>
      <c r="F117" s="56"/>
      <c r="G117" s="14"/>
    </row>
    <row r="118">
      <c r="B118" s="11"/>
      <c r="C118" s="60"/>
      <c r="D118" s="31"/>
      <c r="E118" s="31"/>
      <c r="F118" s="56"/>
      <c r="G118" s="14"/>
    </row>
    <row r="119">
      <c r="B119" s="11"/>
      <c r="C119" s="60"/>
      <c r="D119" s="31"/>
      <c r="E119" s="31"/>
      <c r="F119" s="56"/>
      <c r="G119" s="14"/>
    </row>
    <row r="120">
      <c r="B120" s="11"/>
      <c r="C120" s="60"/>
      <c r="D120" s="31"/>
      <c r="E120" s="31"/>
      <c r="F120" s="56"/>
      <c r="G120" s="14"/>
    </row>
    <row r="121">
      <c r="B121" s="11"/>
      <c r="C121" s="60"/>
      <c r="D121" s="31"/>
      <c r="E121" s="31"/>
      <c r="F121" s="56"/>
      <c r="G121" s="14"/>
    </row>
    <row r="122">
      <c r="B122" s="11"/>
      <c r="C122" s="60"/>
      <c r="D122" s="31"/>
      <c r="E122" s="31"/>
      <c r="F122" s="56"/>
      <c r="G122" s="14"/>
    </row>
    <row r="123">
      <c r="B123" s="11"/>
      <c r="C123" s="60"/>
      <c r="D123" s="31"/>
      <c r="E123" s="31"/>
      <c r="F123" s="56"/>
      <c r="G123" s="14"/>
    </row>
    <row r="124">
      <c r="B124" s="11"/>
      <c r="C124" s="60"/>
      <c r="D124" s="31"/>
      <c r="E124" s="31"/>
      <c r="F124" s="56"/>
      <c r="G124" s="14"/>
    </row>
    <row r="125">
      <c r="B125" s="11"/>
      <c r="C125" s="60"/>
      <c r="D125" s="31"/>
      <c r="E125" s="31"/>
      <c r="F125" s="56"/>
      <c r="G125" s="14"/>
    </row>
    <row r="126">
      <c r="B126" s="11"/>
      <c r="C126" s="60"/>
      <c r="D126" s="31"/>
      <c r="E126" s="31"/>
      <c r="F126" s="56"/>
      <c r="G126" s="14"/>
    </row>
    <row r="127">
      <c r="B127" s="11"/>
      <c r="C127" s="60"/>
      <c r="D127" s="31"/>
      <c r="E127" s="31"/>
      <c r="F127" s="56"/>
      <c r="G127" s="14"/>
    </row>
    <row r="128">
      <c r="B128" s="11"/>
      <c r="C128" s="60"/>
      <c r="D128" s="31"/>
      <c r="E128" s="31"/>
      <c r="F128" s="56"/>
      <c r="G128" s="14"/>
    </row>
    <row r="129">
      <c r="B129" s="11"/>
      <c r="C129" s="60"/>
      <c r="D129" s="31"/>
      <c r="E129" s="31"/>
      <c r="F129" s="56"/>
      <c r="G129" s="14"/>
    </row>
    <row r="130">
      <c r="B130" s="11"/>
      <c r="C130" s="60"/>
      <c r="D130" s="31"/>
      <c r="E130" s="31"/>
      <c r="F130" s="56"/>
      <c r="G130" s="14"/>
    </row>
    <row r="131">
      <c r="B131" s="11"/>
      <c r="C131" s="60"/>
      <c r="D131" s="31"/>
      <c r="E131" s="31"/>
      <c r="F131" s="56"/>
      <c r="G131" s="14"/>
    </row>
    <row r="132">
      <c r="B132" s="11"/>
      <c r="C132" s="60"/>
      <c r="D132" s="31"/>
      <c r="E132" s="31"/>
      <c r="F132" s="56"/>
      <c r="G132" s="14"/>
    </row>
    <row r="133">
      <c r="B133" s="11"/>
      <c r="C133" s="60"/>
      <c r="D133" s="31"/>
      <c r="E133" s="31"/>
      <c r="F133" s="56"/>
      <c r="G133" s="14"/>
    </row>
    <row r="134">
      <c r="B134" s="11"/>
      <c r="C134" s="60"/>
      <c r="D134" s="31"/>
      <c r="E134" s="31"/>
      <c r="F134" s="56"/>
      <c r="G134" s="14"/>
    </row>
    <row r="135">
      <c r="B135" s="11"/>
      <c r="C135" s="60"/>
      <c r="D135" s="31"/>
      <c r="E135" s="31"/>
      <c r="F135" s="56"/>
      <c r="G135" s="14"/>
    </row>
    <row r="136">
      <c r="B136" s="11"/>
      <c r="C136" s="60"/>
      <c r="D136" s="31"/>
      <c r="E136" s="31"/>
      <c r="F136" s="56"/>
      <c r="G136" s="14"/>
    </row>
    <row r="137">
      <c r="B137" s="11"/>
      <c r="C137" s="60"/>
      <c r="D137" s="31"/>
      <c r="E137" s="31"/>
      <c r="F137" s="56"/>
      <c r="G137" s="14"/>
    </row>
    <row r="138">
      <c r="B138" s="11"/>
      <c r="C138" s="60"/>
      <c r="D138" s="31"/>
      <c r="E138" s="31"/>
      <c r="F138" s="56"/>
      <c r="G138" s="14"/>
    </row>
    <row r="139">
      <c r="B139" s="11"/>
      <c r="C139" s="60"/>
      <c r="D139" s="31"/>
      <c r="E139" s="31"/>
      <c r="F139" s="56"/>
      <c r="G139" s="14"/>
    </row>
    <row r="140">
      <c r="B140" s="11"/>
      <c r="C140" s="60"/>
      <c r="D140" s="31"/>
      <c r="E140" s="31"/>
      <c r="F140" s="56"/>
      <c r="G140" s="14"/>
    </row>
    <row r="141">
      <c r="B141" s="11"/>
      <c r="C141" s="60"/>
      <c r="D141" s="31"/>
      <c r="E141" s="31"/>
      <c r="F141" s="56"/>
      <c r="G141" s="14"/>
    </row>
    <row r="142">
      <c r="B142" s="11"/>
      <c r="C142" s="60"/>
      <c r="D142" s="31"/>
      <c r="E142" s="31"/>
      <c r="F142" s="56"/>
      <c r="G142" s="14"/>
    </row>
    <row r="143">
      <c r="B143" s="11"/>
      <c r="C143" s="60"/>
      <c r="D143" s="31"/>
      <c r="E143" s="31"/>
      <c r="F143" s="56"/>
      <c r="G143" s="14"/>
    </row>
    <row r="144">
      <c r="B144" s="11"/>
      <c r="C144" s="60"/>
      <c r="D144" s="31"/>
      <c r="E144" s="31"/>
      <c r="F144" s="56"/>
      <c r="G144" s="14"/>
    </row>
    <row r="145">
      <c r="B145" s="11"/>
      <c r="C145" s="60"/>
      <c r="D145" s="31"/>
      <c r="E145" s="31"/>
      <c r="F145" s="56"/>
      <c r="G145" s="14"/>
    </row>
    <row r="146">
      <c r="B146" s="11"/>
      <c r="C146" s="60"/>
      <c r="D146" s="31"/>
      <c r="E146" s="31"/>
      <c r="F146" s="56"/>
      <c r="G146" s="14"/>
    </row>
    <row r="147">
      <c r="B147" s="11"/>
      <c r="C147" s="60"/>
      <c r="D147" s="31"/>
      <c r="E147" s="31"/>
      <c r="F147" s="56"/>
      <c r="G147" s="14"/>
    </row>
    <row r="148">
      <c r="B148" s="11"/>
      <c r="C148" s="60"/>
      <c r="D148" s="31"/>
      <c r="E148" s="31"/>
      <c r="F148" s="56"/>
      <c r="G148" s="14"/>
    </row>
    <row r="149">
      <c r="B149" s="11"/>
      <c r="C149" s="60"/>
      <c r="D149" s="31"/>
      <c r="E149" s="31"/>
      <c r="F149" s="56"/>
      <c r="G149" s="14"/>
    </row>
    <row r="150">
      <c r="B150" s="11"/>
      <c r="C150" s="60"/>
      <c r="D150" s="31"/>
      <c r="E150" s="31"/>
      <c r="F150" s="56"/>
      <c r="G150" s="14"/>
    </row>
    <row r="151">
      <c r="B151" s="11"/>
      <c r="C151" s="60"/>
      <c r="D151" s="31"/>
      <c r="E151" s="31"/>
      <c r="F151" s="56"/>
      <c r="G151" s="14"/>
    </row>
    <row r="152">
      <c r="B152" s="11"/>
      <c r="C152" s="60"/>
      <c r="D152" s="31"/>
      <c r="E152" s="31"/>
      <c r="F152" s="56"/>
      <c r="G152" s="14"/>
    </row>
    <row r="153">
      <c r="B153" s="11"/>
      <c r="C153" s="60"/>
      <c r="D153" s="31"/>
      <c r="E153" s="31"/>
      <c r="F153" s="56"/>
      <c r="G153" s="14"/>
    </row>
    <row r="154">
      <c r="B154" s="11"/>
      <c r="C154" s="60"/>
      <c r="D154" s="31"/>
      <c r="E154" s="31"/>
      <c r="F154" s="56"/>
      <c r="G154" s="14"/>
    </row>
    <row r="155">
      <c r="B155" s="11"/>
      <c r="C155" s="60"/>
      <c r="D155" s="31"/>
      <c r="E155" s="31"/>
      <c r="F155" s="56"/>
      <c r="G155" s="14"/>
    </row>
    <row r="156">
      <c r="B156" s="11"/>
      <c r="C156" s="60"/>
      <c r="D156" s="31"/>
      <c r="E156" s="31"/>
      <c r="F156" s="56"/>
      <c r="G156" s="14"/>
    </row>
    <row r="157">
      <c r="B157" s="11"/>
      <c r="C157" s="60"/>
      <c r="D157" s="31"/>
      <c r="E157" s="31"/>
      <c r="F157" s="56"/>
      <c r="G157" s="14"/>
    </row>
    <row r="158">
      <c r="B158" s="11"/>
      <c r="C158" s="60"/>
      <c r="D158" s="31"/>
      <c r="E158" s="31"/>
      <c r="F158" s="56"/>
      <c r="G158" s="14"/>
    </row>
    <row r="159">
      <c r="B159" s="11"/>
      <c r="C159" s="60"/>
      <c r="D159" s="31"/>
      <c r="E159" s="31"/>
      <c r="F159" s="56"/>
      <c r="G159" s="14"/>
    </row>
    <row r="160">
      <c r="B160" s="11"/>
      <c r="C160" s="60"/>
      <c r="D160" s="31"/>
      <c r="E160" s="31"/>
      <c r="F160" s="56"/>
      <c r="G160" s="14"/>
    </row>
    <row r="161">
      <c r="B161" s="11"/>
      <c r="C161" s="60"/>
      <c r="D161" s="31"/>
      <c r="E161" s="31"/>
      <c r="F161" s="56"/>
      <c r="G161" s="14"/>
    </row>
    <row r="162">
      <c r="B162" s="11"/>
      <c r="C162" s="60"/>
      <c r="D162" s="31"/>
      <c r="E162" s="31"/>
      <c r="F162" s="56"/>
      <c r="G162" s="14"/>
    </row>
    <row r="163">
      <c r="B163" s="11"/>
      <c r="C163" s="60"/>
      <c r="D163" s="31"/>
      <c r="E163" s="31"/>
      <c r="F163" s="56"/>
      <c r="G163" s="14"/>
    </row>
    <row r="164">
      <c r="B164" s="11"/>
      <c r="C164" s="60"/>
      <c r="D164" s="31"/>
      <c r="E164" s="31"/>
      <c r="F164" s="56"/>
      <c r="G164" s="14"/>
    </row>
    <row r="165">
      <c r="B165" s="11"/>
      <c r="C165" s="60"/>
      <c r="D165" s="31"/>
      <c r="E165" s="31"/>
      <c r="F165" s="56"/>
      <c r="G165" s="14"/>
    </row>
    <row r="166">
      <c r="B166" s="11"/>
      <c r="C166" s="60"/>
      <c r="D166" s="31"/>
      <c r="E166" s="31"/>
      <c r="F166" s="56"/>
      <c r="G166" s="14"/>
    </row>
    <row r="167">
      <c r="B167" s="11"/>
      <c r="C167" s="60"/>
      <c r="D167" s="31"/>
      <c r="E167" s="31"/>
      <c r="F167" s="56"/>
      <c r="G167" s="14"/>
    </row>
    <row r="168">
      <c r="B168" s="11"/>
      <c r="C168" s="60"/>
      <c r="D168" s="31"/>
      <c r="E168" s="31"/>
      <c r="F168" s="56"/>
      <c r="G168" s="14"/>
    </row>
    <row r="169">
      <c r="B169" s="11"/>
      <c r="C169" s="60"/>
      <c r="D169" s="31"/>
      <c r="E169" s="31"/>
      <c r="F169" s="56"/>
      <c r="G169" s="14"/>
    </row>
    <row r="170">
      <c r="B170" s="11"/>
      <c r="C170" s="60"/>
      <c r="D170" s="31"/>
      <c r="E170" s="31"/>
      <c r="F170" s="56"/>
      <c r="G170" s="14"/>
    </row>
    <row r="171">
      <c r="B171" s="11"/>
      <c r="C171" s="60"/>
      <c r="D171" s="31"/>
      <c r="E171" s="31"/>
      <c r="F171" s="56"/>
      <c r="G171" s="14"/>
    </row>
    <row r="172">
      <c r="B172" s="11"/>
      <c r="C172" s="60"/>
      <c r="D172" s="31"/>
      <c r="E172" s="31"/>
      <c r="F172" s="56"/>
      <c r="G172" s="14"/>
    </row>
    <row r="173">
      <c r="B173" s="11"/>
      <c r="C173" s="60"/>
      <c r="D173" s="31"/>
      <c r="E173" s="31"/>
      <c r="F173" s="56"/>
      <c r="G173" s="14"/>
    </row>
    <row r="174">
      <c r="B174" s="11"/>
      <c r="C174" s="60"/>
      <c r="D174" s="31"/>
      <c r="E174" s="31"/>
      <c r="F174" s="56"/>
      <c r="G174" s="14"/>
    </row>
    <row r="175">
      <c r="B175" s="11"/>
      <c r="C175" s="60"/>
      <c r="D175" s="31"/>
      <c r="E175" s="31"/>
      <c r="F175" s="56"/>
      <c r="G175" s="14"/>
    </row>
    <row r="176">
      <c r="B176" s="11"/>
      <c r="C176" s="60"/>
      <c r="D176" s="31"/>
      <c r="E176" s="31"/>
      <c r="F176" s="56"/>
      <c r="G176" s="14"/>
    </row>
    <row r="177">
      <c r="B177" s="11"/>
      <c r="C177" s="60"/>
      <c r="D177" s="31"/>
      <c r="E177" s="31"/>
      <c r="F177" s="56"/>
      <c r="G177" s="14"/>
    </row>
    <row r="178">
      <c r="B178" s="11"/>
      <c r="C178" s="60"/>
      <c r="D178" s="31"/>
      <c r="E178" s="31"/>
      <c r="F178" s="56"/>
      <c r="G178" s="14"/>
    </row>
    <row r="179">
      <c r="B179" s="11"/>
      <c r="C179" s="60"/>
      <c r="D179" s="31"/>
      <c r="E179" s="31"/>
      <c r="F179" s="56"/>
      <c r="G179" s="14"/>
    </row>
    <row r="180">
      <c r="B180" s="11"/>
      <c r="C180" s="60"/>
      <c r="D180" s="31"/>
      <c r="E180" s="31"/>
      <c r="F180" s="56"/>
      <c r="G180" s="14"/>
    </row>
    <row r="181">
      <c r="B181" s="11"/>
      <c r="C181" s="60"/>
      <c r="D181" s="31"/>
      <c r="E181" s="31"/>
      <c r="F181" s="56"/>
      <c r="G181" s="14"/>
    </row>
    <row r="182">
      <c r="B182" s="11"/>
      <c r="C182" s="60"/>
      <c r="D182" s="31"/>
      <c r="E182" s="31"/>
      <c r="F182" s="56"/>
      <c r="G182" s="14"/>
    </row>
    <row r="183">
      <c r="B183" s="11"/>
      <c r="C183" s="60"/>
      <c r="D183" s="31"/>
      <c r="E183" s="31"/>
      <c r="F183" s="56"/>
      <c r="G183" s="14"/>
    </row>
    <row r="184">
      <c r="B184" s="11"/>
      <c r="C184" s="60"/>
      <c r="D184" s="31"/>
      <c r="E184" s="31"/>
      <c r="F184" s="56"/>
      <c r="G184" s="14"/>
    </row>
    <row r="185">
      <c r="B185" s="11"/>
      <c r="C185" s="60"/>
      <c r="D185" s="31"/>
      <c r="E185" s="31"/>
      <c r="F185" s="56"/>
      <c r="G185" s="14"/>
    </row>
    <row r="186">
      <c r="B186" s="11"/>
      <c r="C186" s="60"/>
      <c r="D186" s="31"/>
      <c r="E186" s="31"/>
      <c r="F186" s="56"/>
      <c r="G186" s="14"/>
    </row>
    <row r="187">
      <c r="B187" s="11"/>
      <c r="C187" s="60"/>
      <c r="D187" s="31"/>
      <c r="E187" s="31"/>
      <c r="F187" s="56"/>
      <c r="G187" s="14"/>
    </row>
    <row r="188">
      <c r="B188" s="11"/>
      <c r="C188" s="60"/>
      <c r="D188" s="31"/>
      <c r="E188" s="31"/>
      <c r="F188" s="56"/>
      <c r="G188" s="14"/>
    </row>
    <row r="189">
      <c r="B189" s="11"/>
      <c r="C189" s="60"/>
      <c r="D189" s="31"/>
      <c r="E189" s="31"/>
      <c r="F189" s="56"/>
      <c r="G189" s="14"/>
    </row>
    <row r="190">
      <c r="B190" s="11"/>
      <c r="C190" s="60"/>
      <c r="D190" s="31"/>
      <c r="E190" s="31"/>
      <c r="F190" s="56"/>
      <c r="G190" s="14"/>
    </row>
    <row r="191">
      <c r="B191" s="11"/>
      <c r="C191" s="60"/>
      <c r="D191" s="31"/>
      <c r="E191" s="31"/>
      <c r="F191" s="56"/>
      <c r="G191" s="14"/>
    </row>
    <row r="192">
      <c r="B192" s="11"/>
      <c r="C192" s="60"/>
      <c r="D192" s="31"/>
      <c r="E192" s="31"/>
      <c r="F192" s="56"/>
      <c r="G192" s="14"/>
    </row>
    <row r="193">
      <c r="B193" s="11"/>
      <c r="C193" s="60"/>
      <c r="D193" s="31"/>
      <c r="E193" s="31"/>
      <c r="F193" s="56"/>
      <c r="G193" s="14"/>
    </row>
    <row r="194">
      <c r="B194" s="11"/>
      <c r="C194" s="60"/>
      <c r="D194" s="31"/>
      <c r="E194" s="31"/>
      <c r="F194" s="56"/>
      <c r="G194" s="14"/>
    </row>
    <row r="195">
      <c r="B195" s="11"/>
      <c r="C195" s="60"/>
      <c r="D195" s="31"/>
      <c r="E195" s="31"/>
      <c r="F195" s="56"/>
      <c r="G195" s="14"/>
    </row>
    <row r="196">
      <c r="B196" s="11"/>
      <c r="C196" s="60"/>
      <c r="D196" s="31"/>
      <c r="E196" s="31"/>
      <c r="F196" s="56"/>
      <c r="G196" s="14"/>
    </row>
    <row r="197">
      <c r="B197" s="11"/>
      <c r="C197" s="60"/>
      <c r="D197" s="31"/>
      <c r="E197" s="31"/>
      <c r="F197" s="56"/>
      <c r="G197" s="14"/>
    </row>
    <row r="198">
      <c r="B198" s="11"/>
      <c r="C198" s="60"/>
      <c r="D198" s="31"/>
      <c r="E198" s="31"/>
      <c r="F198" s="56"/>
      <c r="G198" s="14"/>
    </row>
    <row r="199">
      <c r="B199" s="11"/>
      <c r="C199" s="60"/>
      <c r="D199" s="31"/>
      <c r="E199" s="31"/>
      <c r="F199" s="56"/>
      <c r="G199" s="14"/>
    </row>
    <row r="200">
      <c r="B200" s="11"/>
      <c r="C200" s="60"/>
      <c r="D200" s="31"/>
      <c r="E200" s="31"/>
      <c r="F200" s="56"/>
      <c r="G200" s="14"/>
    </row>
    <row r="201">
      <c r="B201" s="11"/>
      <c r="C201" s="60"/>
      <c r="D201" s="31"/>
      <c r="E201" s="31"/>
      <c r="F201" s="56"/>
      <c r="G201" s="14"/>
    </row>
    <row r="202">
      <c r="B202" s="11"/>
      <c r="C202" s="60"/>
      <c r="D202" s="31"/>
      <c r="E202" s="31"/>
      <c r="F202" s="56"/>
      <c r="G202" s="14"/>
    </row>
    <row r="203">
      <c r="B203" s="11"/>
      <c r="C203" s="60"/>
      <c r="D203" s="31"/>
      <c r="E203" s="31"/>
      <c r="F203" s="56"/>
      <c r="G203" s="14"/>
    </row>
    <row r="204">
      <c r="B204" s="11"/>
      <c r="C204" s="60"/>
      <c r="D204" s="31"/>
      <c r="E204" s="31"/>
      <c r="F204" s="56"/>
      <c r="G204" s="14"/>
    </row>
    <row r="205">
      <c r="B205" s="11"/>
      <c r="C205" s="60"/>
      <c r="D205" s="31"/>
      <c r="E205" s="31"/>
      <c r="F205" s="56"/>
      <c r="G205" s="14"/>
    </row>
    <row r="206">
      <c r="B206" s="11"/>
      <c r="C206" s="60"/>
      <c r="D206" s="31"/>
      <c r="E206" s="31"/>
      <c r="F206" s="56"/>
      <c r="G206" s="14"/>
    </row>
    <row r="207">
      <c r="B207" s="11"/>
      <c r="C207" s="60"/>
      <c r="D207" s="31"/>
      <c r="E207" s="31"/>
      <c r="F207" s="56"/>
      <c r="G207" s="14"/>
    </row>
    <row r="208">
      <c r="B208" s="11"/>
      <c r="C208" s="60"/>
      <c r="D208" s="31"/>
      <c r="E208" s="31"/>
      <c r="F208" s="56"/>
      <c r="G208" s="14"/>
    </row>
    <row r="209">
      <c r="B209" s="11"/>
      <c r="C209" s="60"/>
      <c r="D209" s="31"/>
      <c r="E209" s="31"/>
      <c r="F209" s="56"/>
      <c r="G209" s="14"/>
    </row>
    <row r="210">
      <c r="B210" s="11"/>
      <c r="C210" s="60"/>
      <c r="D210" s="31"/>
      <c r="E210" s="31"/>
      <c r="F210" s="56"/>
      <c r="G210" s="14"/>
    </row>
    <row r="211">
      <c r="B211" s="11"/>
      <c r="C211" s="60"/>
      <c r="D211" s="31"/>
      <c r="E211" s="31"/>
      <c r="F211" s="56"/>
      <c r="G211" s="14"/>
    </row>
    <row r="212">
      <c r="B212" s="11"/>
      <c r="C212" s="60"/>
      <c r="D212" s="31"/>
      <c r="E212" s="31"/>
      <c r="F212" s="56"/>
      <c r="G212" s="14"/>
    </row>
    <row r="213">
      <c r="B213" s="11"/>
      <c r="C213" s="60"/>
      <c r="D213" s="31"/>
      <c r="E213" s="31"/>
      <c r="F213" s="56"/>
      <c r="G213" s="14"/>
    </row>
    <row r="214">
      <c r="B214" s="11"/>
      <c r="C214" s="60"/>
      <c r="D214" s="31"/>
      <c r="E214" s="31"/>
      <c r="F214" s="56"/>
      <c r="G214" s="14"/>
    </row>
    <row r="215">
      <c r="B215" s="11"/>
      <c r="C215" s="60"/>
      <c r="D215" s="31"/>
      <c r="E215" s="31"/>
      <c r="F215" s="56"/>
      <c r="G215" s="14"/>
    </row>
    <row r="216">
      <c r="B216" s="11"/>
      <c r="C216" s="60"/>
      <c r="D216" s="31"/>
      <c r="E216" s="31"/>
      <c r="F216" s="56"/>
      <c r="G216" s="14"/>
    </row>
    <row r="217">
      <c r="B217" s="11"/>
      <c r="C217" s="60"/>
      <c r="D217" s="31"/>
      <c r="E217" s="31"/>
      <c r="F217" s="56"/>
      <c r="G217" s="14"/>
    </row>
    <row r="218">
      <c r="B218" s="11"/>
      <c r="C218" s="60"/>
      <c r="D218" s="31"/>
      <c r="E218" s="31"/>
      <c r="F218" s="56"/>
      <c r="G218" s="14"/>
    </row>
    <row r="219">
      <c r="B219" s="11"/>
      <c r="C219" s="60"/>
      <c r="D219" s="31"/>
      <c r="E219" s="31"/>
      <c r="F219" s="56"/>
      <c r="G219" s="14"/>
    </row>
    <row r="220">
      <c r="B220" s="11"/>
      <c r="C220" s="60"/>
      <c r="D220" s="31"/>
      <c r="E220" s="31"/>
      <c r="F220" s="56"/>
      <c r="G220" s="14"/>
    </row>
    <row r="221">
      <c r="B221" s="11"/>
      <c r="C221" s="60"/>
      <c r="D221" s="31"/>
      <c r="E221" s="31"/>
      <c r="F221" s="56"/>
      <c r="G221" s="14"/>
    </row>
    <row r="222">
      <c r="B222" s="11"/>
      <c r="C222" s="60"/>
      <c r="D222" s="31"/>
      <c r="E222" s="31"/>
      <c r="F222" s="56"/>
      <c r="G222" s="14"/>
    </row>
    <row r="223">
      <c r="B223" s="11"/>
      <c r="C223" s="60"/>
      <c r="D223" s="31"/>
      <c r="E223" s="31"/>
      <c r="F223" s="56"/>
      <c r="G223" s="14"/>
    </row>
    <row r="224">
      <c r="B224" s="11"/>
      <c r="C224" s="60"/>
      <c r="D224" s="31"/>
      <c r="E224" s="31"/>
      <c r="F224" s="56"/>
      <c r="G224" s="14"/>
    </row>
    <row r="225">
      <c r="B225" s="11"/>
      <c r="C225" s="60"/>
      <c r="D225" s="31"/>
      <c r="E225" s="31"/>
      <c r="F225" s="56"/>
      <c r="G225" s="14"/>
    </row>
    <row r="226">
      <c r="B226" s="11"/>
      <c r="C226" s="60"/>
      <c r="D226" s="31"/>
      <c r="E226" s="31"/>
      <c r="F226" s="56"/>
      <c r="G226" s="14"/>
    </row>
    <row r="227">
      <c r="B227" s="11"/>
      <c r="C227" s="60"/>
      <c r="D227" s="31"/>
      <c r="E227" s="31"/>
      <c r="F227" s="56"/>
      <c r="G227" s="14"/>
    </row>
    <row r="228">
      <c r="B228" s="11"/>
      <c r="C228" s="60"/>
      <c r="D228" s="31"/>
      <c r="E228" s="31"/>
      <c r="F228" s="56"/>
      <c r="G228" s="14"/>
    </row>
    <row r="229">
      <c r="B229" s="11"/>
      <c r="C229" s="60"/>
      <c r="D229" s="31"/>
      <c r="E229" s="31"/>
      <c r="F229" s="56"/>
      <c r="G229" s="14"/>
    </row>
    <row r="230">
      <c r="B230" s="11"/>
      <c r="C230" s="60"/>
      <c r="D230" s="31"/>
      <c r="E230" s="31"/>
      <c r="F230" s="56"/>
      <c r="G230" s="14"/>
    </row>
    <row r="231">
      <c r="B231" s="11"/>
      <c r="C231" s="60"/>
      <c r="D231" s="31"/>
      <c r="E231" s="31"/>
      <c r="F231" s="56"/>
      <c r="G231" s="14"/>
    </row>
    <row r="232">
      <c r="B232" s="11"/>
      <c r="C232" s="60"/>
      <c r="D232" s="31"/>
      <c r="E232" s="31"/>
      <c r="F232" s="56"/>
      <c r="G232" s="14"/>
    </row>
    <row r="233">
      <c r="B233" s="11"/>
      <c r="C233" s="60"/>
      <c r="D233" s="31"/>
      <c r="E233" s="31"/>
      <c r="F233" s="56"/>
      <c r="G233" s="14"/>
    </row>
    <row r="234">
      <c r="B234" s="11"/>
      <c r="C234" s="60"/>
      <c r="D234" s="31"/>
      <c r="E234" s="31"/>
      <c r="F234" s="56"/>
      <c r="G234" s="14"/>
    </row>
    <row r="235">
      <c r="B235" s="11"/>
      <c r="C235" s="60"/>
      <c r="D235" s="31"/>
      <c r="E235" s="31"/>
      <c r="F235" s="56"/>
      <c r="G235" s="14"/>
    </row>
    <row r="236">
      <c r="B236" s="11"/>
      <c r="C236" s="60"/>
      <c r="D236" s="31"/>
      <c r="E236" s="31"/>
      <c r="F236" s="56"/>
      <c r="G236" s="14"/>
    </row>
    <row r="237">
      <c r="B237" s="11"/>
      <c r="C237" s="60"/>
      <c r="D237" s="31"/>
      <c r="E237" s="31"/>
      <c r="F237" s="56"/>
      <c r="G237" s="14"/>
    </row>
    <row r="238">
      <c r="B238" s="11"/>
      <c r="C238" s="60"/>
      <c r="D238" s="31"/>
      <c r="E238" s="31"/>
      <c r="F238" s="56"/>
      <c r="G238" s="14"/>
    </row>
    <row r="239">
      <c r="B239" s="11"/>
      <c r="C239" s="60"/>
      <c r="D239" s="31"/>
      <c r="E239" s="31"/>
      <c r="F239" s="56"/>
      <c r="G239" s="14"/>
    </row>
    <row r="240">
      <c r="B240" s="11"/>
      <c r="C240" s="60"/>
      <c r="D240" s="31"/>
      <c r="E240" s="31"/>
      <c r="F240" s="56"/>
      <c r="G240" s="14"/>
    </row>
    <row r="241">
      <c r="B241" s="11"/>
      <c r="C241" s="60"/>
      <c r="D241" s="31"/>
      <c r="E241" s="31"/>
      <c r="F241" s="56"/>
      <c r="G241" s="14"/>
    </row>
    <row r="242">
      <c r="B242" s="11"/>
      <c r="C242" s="60"/>
      <c r="D242" s="31"/>
      <c r="E242" s="31"/>
      <c r="F242" s="56"/>
      <c r="G242" s="14"/>
    </row>
    <row r="243">
      <c r="B243" s="11"/>
      <c r="C243" s="60"/>
      <c r="D243" s="31"/>
      <c r="E243" s="31"/>
      <c r="F243" s="56"/>
      <c r="G243" s="14"/>
    </row>
    <row r="244">
      <c r="B244" s="11"/>
      <c r="C244" s="60"/>
      <c r="D244" s="31"/>
      <c r="E244" s="31"/>
      <c r="F244" s="56"/>
      <c r="G244" s="14"/>
    </row>
    <row r="245">
      <c r="B245" s="11"/>
      <c r="C245" s="60"/>
      <c r="D245" s="31"/>
      <c r="E245" s="31"/>
      <c r="F245" s="56"/>
      <c r="G245" s="14"/>
    </row>
    <row r="246">
      <c r="B246" s="11"/>
      <c r="C246" s="60"/>
      <c r="D246" s="31"/>
      <c r="E246" s="31"/>
      <c r="F246" s="56"/>
      <c r="G246" s="14"/>
    </row>
    <row r="247">
      <c r="B247" s="11"/>
      <c r="C247" s="60"/>
      <c r="D247" s="31"/>
      <c r="E247" s="31"/>
      <c r="F247" s="56"/>
      <c r="G247" s="14"/>
    </row>
    <row r="248">
      <c r="B248" s="11"/>
      <c r="C248" s="60"/>
      <c r="D248" s="31"/>
      <c r="E248" s="31"/>
      <c r="F248" s="56"/>
      <c r="G248" s="14"/>
    </row>
    <row r="249">
      <c r="B249" s="11"/>
      <c r="C249" s="60"/>
      <c r="D249" s="31"/>
      <c r="E249" s="31"/>
      <c r="F249" s="56"/>
      <c r="G249" s="14"/>
    </row>
    <row r="250">
      <c r="B250" s="11"/>
      <c r="C250" s="60"/>
      <c r="D250" s="31"/>
      <c r="E250" s="31"/>
      <c r="F250" s="56"/>
      <c r="G250" s="14"/>
    </row>
    <row r="251">
      <c r="B251" s="11"/>
      <c r="C251" s="60"/>
      <c r="D251" s="31"/>
      <c r="E251" s="31"/>
      <c r="F251" s="56"/>
      <c r="G251" s="14"/>
    </row>
    <row r="252">
      <c r="B252" s="11"/>
      <c r="C252" s="60"/>
      <c r="D252" s="31"/>
      <c r="E252" s="31"/>
      <c r="F252" s="56"/>
      <c r="G252" s="14"/>
    </row>
    <row r="253">
      <c r="B253" s="11"/>
      <c r="C253" s="60"/>
      <c r="D253" s="31"/>
      <c r="E253" s="31"/>
      <c r="F253" s="56"/>
      <c r="G253" s="14"/>
    </row>
    <row r="254">
      <c r="B254" s="11"/>
      <c r="C254" s="60"/>
      <c r="D254" s="31"/>
      <c r="E254" s="31"/>
      <c r="F254" s="56"/>
      <c r="G254" s="14"/>
    </row>
    <row r="255">
      <c r="B255" s="11"/>
      <c r="C255" s="60"/>
      <c r="D255" s="31"/>
      <c r="E255" s="31"/>
      <c r="F255" s="56"/>
      <c r="G255" s="14"/>
    </row>
    <row r="256">
      <c r="B256" s="11"/>
      <c r="C256" s="60"/>
      <c r="D256" s="31"/>
      <c r="E256" s="31"/>
      <c r="F256" s="56"/>
      <c r="G256" s="14"/>
    </row>
    <row r="257">
      <c r="B257" s="11"/>
      <c r="C257" s="60"/>
      <c r="D257" s="31"/>
      <c r="E257" s="31"/>
      <c r="F257" s="56"/>
      <c r="G257" s="14"/>
    </row>
    <row r="258">
      <c r="B258" s="11"/>
      <c r="C258" s="60"/>
      <c r="D258" s="31"/>
      <c r="E258" s="31"/>
      <c r="F258" s="56"/>
      <c r="G258" s="14"/>
    </row>
    <row r="259">
      <c r="B259" s="11"/>
      <c r="C259" s="60"/>
      <c r="D259" s="31"/>
      <c r="E259" s="31"/>
      <c r="F259" s="56"/>
      <c r="G259" s="14"/>
    </row>
    <row r="260">
      <c r="B260" s="11"/>
      <c r="C260" s="60"/>
      <c r="D260" s="31"/>
      <c r="E260" s="31"/>
      <c r="F260" s="56"/>
      <c r="G260" s="14"/>
    </row>
    <row r="261">
      <c r="B261" s="11"/>
      <c r="C261" s="60"/>
      <c r="D261" s="31"/>
      <c r="E261" s="31"/>
      <c r="F261" s="56"/>
      <c r="G261" s="14"/>
    </row>
    <row r="262">
      <c r="B262" s="11"/>
      <c r="C262" s="60"/>
      <c r="D262" s="31"/>
      <c r="E262" s="31"/>
      <c r="F262" s="56"/>
      <c r="G262" s="14"/>
    </row>
    <row r="263">
      <c r="B263" s="11"/>
      <c r="C263" s="60"/>
      <c r="D263" s="31"/>
      <c r="E263" s="31"/>
      <c r="F263" s="56"/>
      <c r="G263" s="14"/>
    </row>
    <row r="264">
      <c r="B264" s="11"/>
      <c r="C264" s="60"/>
      <c r="D264" s="31"/>
      <c r="E264" s="31"/>
      <c r="F264" s="56"/>
      <c r="G264" s="14"/>
    </row>
    <row r="265">
      <c r="B265" s="11"/>
      <c r="C265" s="60"/>
      <c r="D265" s="31"/>
      <c r="E265" s="31"/>
      <c r="F265" s="56"/>
      <c r="G265" s="14"/>
    </row>
    <row r="266">
      <c r="B266" s="11"/>
      <c r="C266" s="60"/>
      <c r="D266" s="31"/>
      <c r="E266" s="31"/>
      <c r="F266" s="56"/>
      <c r="G266" s="14"/>
    </row>
    <row r="267">
      <c r="B267" s="11"/>
      <c r="C267" s="60"/>
      <c r="D267" s="31"/>
      <c r="E267" s="31"/>
      <c r="F267" s="56"/>
      <c r="G267" s="14"/>
    </row>
    <row r="268">
      <c r="B268" s="11"/>
      <c r="C268" s="60"/>
      <c r="D268" s="31"/>
      <c r="E268" s="31"/>
      <c r="F268" s="56"/>
      <c r="G268" s="14"/>
    </row>
    <row r="269">
      <c r="B269" s="11"/>
      <c r="C269" s="60"/>
      <c r="D269" s="31"/>
      <c r="E269" s="31"/>
      <c r="F269" s="56"/>
      <c r="G269" s="14"/>
    </row>
    <row r="270">
      <c r="B270" s="11"/>
      <c r="C270" s="60"/>
      <c r="D270" s="31"/>
      <c r="E270" s="31"/>
      <c r="F270" s="56"/>
      <c r="G270" s="14"/>
    </row>
    <row r="271">
      <c r="B271" s="11"/>
      <c r="C271" s="60"/>
      <c r="D271" s="31"/>
      <c r="E271" s="31"/>
      <c r="F271" s="56"/>
      <c r="G271" s="14"/>
    </row>
    <row r="272">
      <c r="B272" s="11"/>
      <c r="C272" s="60"/>
      <c r="D272" s="31"/>
      <c r="E272" s="31"/>
      <c r="F272" s="56"/>
      <c r="G272" s="14"/>
    </row>
    <row r="273">
      <c r="B273" s="11"/>
      <c r="C273" s="60"/>
      <c r="D273" s="31"/>
      <c r="E273" s="31"/>
      <c r="F273" s="56"/>
      <c r="G273" s="14"/>
    </row>
    <row r="274">
      <c r="B274" s="11"/>
      <c r="C274" s="60"/>
      <c r="D274" s="31"/>
      <c r="E274" s="31"/>
      <c r="F274" s="56"/>
      <c r="G274" s="14"/>
    </row>
    <row r="275">
      <c r="B275" s="11"/>
      <c r="C275" s="60"/>
      <c r="D275" s="31"/>
      <c r="E275" s="31"/>
      <c r="F275" s="56"/>
      <c r="G275" s="14"/>
    </row>
    <row r="276">
      <c r="B276" s="11"/>
      <c r="C276" s="60"/>
      <c r="D276" s="31"/>
      <c r="E276" s="31"/>
      <c r="F276" s="56"/>
      <c r="G276" s="14"/>
    </row>
    <row r="277">
      <c r="B277" s="11"/>
      <c r="C277" s="60"/>
      <c r="D277" s="31"/>
      <c r="E277" s="31"/>
      <c r="F277" s="56"/>
      <c r="G277" s="14"/>
    </row>
    <row r="278">
      <c r="B278" s="11"/>
      <c r="C278" s="60"/>
      <c r="D278" s="31"/>
      <c r="E278" s="31"/>
      <c r="F278" s="56"/>
      <c r="G278" s="14"/>
    </row>
    <row r="279">
      <c r="B279" s="11"/>
      <c r="C279" s="60"/>
      <c r="D279" s="31"/>
      <c r="E279" s="31"/>
      <c r="F279" s="56"/>
      <c r="G279" s="14"/>
    </row>
    <row r="280">
      <c r="B280" s="11"/>
      <c r="C280" s="60"/>
      <c r="D280" s="31"/>
      <c r="E280" s="31"/>
      <c r="F280" s="56"/>
      <c r="G280" s="14"/>
    </row>
    <row r="281">
      <c r="B281" s="11"/>
      <c r="C281" s="60"/>
      <c r="D281" s="31"/>
      <c r="E281" s="31"/>
      <c r="F281" s="56"/>
      <c r="G281" s="14"/>
    </row>
    <row r="282">
      <c r="B282" s="11"/>
      <c r="C282" s="60"/>
      <c r="D282" s="31"/>
      <c r="E282" s="31"/>
      <c r="F282" s="56"/>
      <c r="G282" s="14"/>
    </row>
    <row r="283">
      <c r="B283" s="11"/>
      <c r="C283" s="60"/>
      <c r="D283" s="31"/>
      <c r="E283" s="31"/>
      <c r="F283" s="56"/>
      <c r="G283" s="14"/>
    </row>
    <row r="284">
      <c r="B284" s="11"/>
      <c r="C284" s="60"/>
      <c r="D284" s="31"/>
      <c r="E284" s="31"/>
      <c r="F284" s="56"/>
      <c r="G284" s="14"/>
    </row>
    <row r="285">
      <c r="B285" s="11"/>
      <c r="C285" s="60"/>
      <c r="D285" s="31"/>
      <c r="E285" s="31"/>
      <c r="F285" s="56"/>
      <c r="G285" s="14"/>
    </row>
    <row r="286">
      <c r="B286" s="11"/>
      <c r="C286" s="60"/>
      <c r="D286" s="31"/>
      <c r="E286" s="31"/>
      <c r="F286" s="56"/>
      <c r="G286" s="14"/>
    </row>
    <row r="287">
      <c r="B287" s="11"/>
      <c r="C287" s="60"/>
      <c r="D287" s="31"/>
      <c r="E287" s="31"/>
      <c r="F287" s="56"/>
      <c r="G287" s="14"/>
    </row>
    <row r="288">
      <c r="B288" s="11"/>
      <c r="C288" s="60"/>
      <c r="D288" s="31"/>
      <c r="E288" s="31"/>
      <c r="F288" s="56"/>
      <c r="G288" s="14"/>
    </row>
    <row r="289">
      <c r="B289" s="11"/>
      <c r="C289" s="60"/>
      <c r="D289" s="31"/>
      <c r="E289" s="31"/>
      <c r="F289" s="56"/>
      <c r="G289" s="14"/>
    </row>
    <row r="290">
      <c r="B290" s="11"/>
      <c r="C290" s="60"/>
      <c r="D290" s="31"/>
      <c r="E290" s="31"/>
      <c r="F290" s="56"/>
      <c r="G290" s="14"/>
    </row>
    <row r="291">
      <c r="B291" s="11"/>
      <c r="C291" s="60"/>
      <c r="D291" s="31"/>
      <c r="E291" s="31"/>
      <c r="F291" s="56"/>
      <c r="G291" s="14"/>
    </row>
    <row r="292">
      <c r="B292" s="11"/>
      <c r="C292" s="60"/>
      <c r="D292" s="31"/>
      <c r="E292" s="31"/>
      <c r="F292" s="56"/>
      <c r="G292" s="14"/>
    </row>
    <row r="293">
      <c r="B293" s="11"/>
      <c r="C293" s="60"/>
      <c r="D293" s="31"/>
      <c r="E293" s="31"/>
      <c r="F293" s="56"/>
      <c r="G293" s="14"/>
    </row>
    <row r="294">
      <c r="B294" s="11"/>
      <c r="C294" s="60"/>
      <c r="D294" s="31"/>
      <c r="E294" s="31"/>
      <c r="F294" s="56"/>
      <c r="G294" s="14"/>
    </row>
    <row r="295">
      <c r="B295" s="11"/>
      <c r="C295" s="60"/>
      <c r="D295" s="31"/>
      <c r="E295" s="31"/>
      <c r="F295" s="56"/>
      <c r="G295" s="14"/>
    </row>
    <row r="296">
      <c r="B296" s="11"/>
      <c r="C296" s="60"/>
      <c r="D296" s="31"/>
      <c r="E296" s="31"/>
      <c r="F296" s="56"/>
      <c r="G296" s="14"/>
    </row>
    <row r="297">
      <c r="B297" s="11"/>
      <c r="C297" s="60"/>
      <c r="D297" s="31"/>
      <c r="E297" s="31"/>
      <c r="F297" s="56"/>
      <c r="G297" s="14"/>
    </row>
    <row r="298">
      <c r="B298" s="11"/>
      <c r="C298" s="60"/>
      <c r="D298" s="31"/>
      <c r="E298" s="31"/>
      <c r="F298" s="56"/>
      <c r="G298" s="14"/>
    </row>
    <row r="299">
      <c r="B299" s="11"/>
      <c r="C299" s="60"/>
      <c r="D299" s="31"/>
      <c r="E299" s="31"/>
      <c r="F299" s="56"/>
      <c r="G299" s="14"/>
    </row>
    <row r="300">
      <c r="B300" s="11"/>
      <c r="C300" s="60"/>
      <c r="D300" s="31"/>
      <c r="E300" s="31"/>
      <c r="F300" s="56"/>
      <c r="G300" s="14"/>
    </row>
    <row r="301">
      <c r="B301" s="11"/>
      <c r="C301" s="60"/>
      <c r="D301" s="31"/>
      <c r="E301" s="31"/>
      <c r="F301" s="56"/>
      <c r="G301" s="14"/>
    </row>
    <row r="302">
      <c r="B302" s="11"/>
      <c r="C302" s="60"/>
      <c r="D302" s="31"/>
      <c r="E302" s="31"/>
      <c r="F302" s="56"/>
      <c r="G302" s="14"/>
    </row>
    <row r="303">
      <c r="B303" s="11"/>
      <c r="C303" s="60"/>
      <c r="D303" s="31"/>
      <c r="E303" s="31"/>
      <c r="F303" s="56"/>
      <c r="G303" s="14"/>
    </row>
    <row r="304">
      <c r="B304" s="11"/>
      <c r="C304" s="60"/>
      <c r="D304" s="31"/>
      <c r="E304" s="31"/>
      <c r="F304" s="56"/>
      <c r="G304" s="14"/>
    </row>
    <row r="305">
      <c r="B305" s="11"/>
      <c r="C305" s="60"/>
      <c r="D305" s="31"/>
      <c r="E305" s="31"/>
      <c r="F305" s="56"/>
      <c r="G305" s="14"/>
    </row>
    <row r="306">
      <c r="B306" s="11"/>
      <c r="C306" s="60"/>
      <c r="D306" s="31"/>
      <c r="E306" s="31"/>
      <c r="F306" s="56"/>
      <c r="G306" s="14"/>
    </row>
    <row r="307">
      <c r="B307" s="11"/>
      <c r="C307" s="60"/>
      <c r="D307" s="31"/>
      <c r="E307" s="31"/>
      <c r="F307" s="56"/>
      <c r="G307" s="14"/>
    </row>
    <row r="308">
      <c r="B308" s="11"/>
      <c r="C308" s="60"/>
      <c r="D308" s="31"/>
      <c r="E308" s="31"/>
      <c r="F308" s="56"/>
      <c r="G308" s="14"/>
    </row>
    <row r="309">
      <c r="B309" s="11"/>
      <c r="C309" s="60"/>
      <c r="D309" s="31"/>
      <c r="E309" s="31"/>
      <c r="F309" s="56"/>
      <c r="G309" s="14"/>
    </row>
    <row r="310">
      <c r="B310" s="11"/>
      <c r="C310" s="60"/>
      <c r="D310" s="31"/>
      <c r="E310" s="31"/>
      <c r="F310" s="56"/>
      <c r="G310" s="14"/>
    </row>
    <row r="311">
      <c r="B311" s="11"/>
      <c r="C311" s="60"/>
      <c r="D311" s="31"/>
      <c r="E311" s="31"/>
      <c r="F311" s="56"/>
      <c r="G311" s="14"/>
    </row>
    <row r="312">
      <c r="B312" s="11"/>
      <c r="C312" s="60"/>
      <c r="D312" s="31"/>
      <c r="E312" s="31"/>
      <c r="F312" s="56"/>
      <c r="G312" s="14"/>
    </row>
    <row r="313">
      <c r="B313" s="11"/>
      <c r="C313" s="60"/>
      <c r="D313" s="31"/>
      <c r="E313" s="31"/>
      <c r="F313" s="56"/>
      <c r="G313" s="14"/>
    </row>
    <row r="314">
      <c r="B314" s="11"/>
      <c r="C314" s="60"/>
      <c r="D314" s="31"/>
      <c r="E314" s="31"/>
      <c r="F314" s="56"/>
      <c r="G314" s="14"/>
    </row>
    <row r="315">
      <c r="B315" s="11"/>
      <c r="C315" s="60"/>
      <c r="D315" s="31"/>
      <c r="E315" s="31"/>
      <c r="F315" s="56"/>
      <c r="G315" s="14"/>
    </row>
    <row r="316">
      <c r="B316" s="11"/>
      <c r="C316" s="60"/>
      <c r="D316" s="31"/>
      <c r="E316" s="31"/>
      <c r="F316" s="56"/>
      <c r="G316" s="14"/>
    </row>
    <row r="317">
      <c r="B317" s="11"/>
      <c r="C317" s="60"/>
      <c r="D317" s="31"/>
      <c r="E317" s="31"/>
      <c r="F317" s="56"/>
      <c r="G317" s="14"/>
    </row>
    <row r="318">
      <c r="B318" s="11"/>
      <c r="C318" s="60"/>
      <c r="D318" s="31"/>
      <c r="E318" s="31"/>
      <c r="F318" s="56"/>
      <c r="G318" s="14"/>
    </row>
    <row r="319">
      <c r="B319" s="11"/>
      <c r="C319" s="60"/>
      <c r="D319" s="31"/>
      <c r="E319" s="31"/>
      <c r="F319" s="56"/>
      <c r="G319" s="14"/>
    </row>
    <row r="320">
      <c r="B320" s="11"/>
      <c r="C320" s="60"/>
      <c r="D320" s="31"/>
      <c r="E320" s="31"/>
      <c r="F320" s="56"/>
      <c r="G320" s="14"/>
    </row>
    <row r="321">
      <c r="B321" s="11"/>
      <c r="C321" s="60"/>
      <c r="D321" s="31"/>
      <c r="E321" s="31"/>
      <c r="F321" s="56"/>
      <c r="G321" s="14"/>
    </row>
    <row r="322">
      <c r="B322" s="11"/>
      <c r="C322" s="60"/>
      <c r="D322" s="31"/>
      <c r="E322" s="31"/>
      <c r="F322" s="56"/>
      <c r="G322" s="14"/>
    </row>
    <row r="323">
      <c r="B323" s="11"/>
      <c r="C323" s="60"/>
      <c r="D323" s="31"/>
      <c r="E323" s="31"/>
      <c r="F323" s="56"/>
      <c r="G323" s="14"/>
    </row>
    <row r="324">
      <c r="B324" s="11"/>
      <c r="C324" s="60"/>
      <c r="D324" s="31"/>
      <c r="E324" s="31"/>
      <c r="F324" s="56"/>
      <c r="G324" s="14"/>
    </row>
    <row r="325">
      <c r="B325" s="11"/>
      <c r="C325" s="60"/>
      <c r="D325" s="31"/>
      <c r="E325" s="31"/>
      <c r="F325" s="56"/>
      <c r="G325" s="14"/>
    </row>
    <row r="326">
      <c r="B326" s="11"/>
      <c r="C326" s="60"/>
      <c r="D326" s="31"/>
      <c r="E326" s="31"/>
      <c r="F326" s="56"/>
      <c r="G326" s="14"/>
    </row>
    <row r="327">
      <c r="B327" s="11"/>
      <c r="C327" s="60"/>
      <c r="D327" s="31"/>
      <c r="E327" s="31"/>
      <c r="F327" s="56"/>
      <c r="G327" s="14"/>
    </row>
    <row r="328">
      <c r="B328" s="11"/>
      <c r="C328" s="60"/>
      <c r="D328" s="31"/>
      <c r="E328" s="31"/>
      <c r="F328" s="56"/>
      <c r="G328" s="14"/>
    </row>
    <row r="329">
      <c r="B329" s="11"/>
      <c r="C329" s="60"/>
      <c r="D329" s="31"/>
      <c r="E329" s="31"/>
      <c r="F329" s="56"/>
      <c r="G329" s="14"/>
    </row>
    <row r="330">
      <c r="B330" s="11"/>
      <c r="C330" s="60"/>
      <c r="D330" s="31"/>
      <c r="E330" s="31"/>
      <c r="F330" s="56"/>
      <c r="G330" s="14"/>
    </row>
    <row r="331">
      <c r="B331" s="11"/>
      <c r="C331" s="60"/>
      <c r="D331" s="31"/>
      <c r="E331" s="31"/>
      <c r="F331" s="56"/>
      <c r="G331" s="14"/>
    </row>
    <row r="332">
      <c r="B332" s="11"/>
      <c r="C332" s="60"/>
      <c r="D332" s="31"/>
      <c r="E332" s="31"/>
      <c r="F332" s="56"/>
      <c r="G332" s="14"/>
    </row>
    <row r="333">
      <c r="B333" s="11"/>
      <c r="C333" s="60"/>
      <c r="D333" s="31"/>
      <c r="E333" s="31"/>
      <c r="F333" s="56"/>
      <c r="G333" s="14"/>
    </row>
    <row r="334">
      <c r="B334" s="11"/>
      <c r="C334" s="60"/>
      <c r="D334" s="31"/>
      <c r="E334" s="31"/>
      <c r="F334" s="56"/>
      <c r="G334" s="14"/>
    </row>
    <row r="335">
      <c r="B335" s="11"/>
      <c r="C335" s="60"/>
      <c r="D335" s="31"/>
      <c r="E335" s="31"/>
      <c r="F335" s="56"/>
      <c r="G335" s="14"/>
    </row>
    <row r="336">
      <c r="B336" s="11"/>
      <c r="C336" s="60"/>
      <c r="D336" s="31"/>
      <c r="E336" s="31"/>
      <c r="F336" s="56"/>
      <c r="G336" s="14"/>
    </row>
    <row r="337">
      <c r="B337" s="11"/>
      <c r="C337" s="60"/>
      <c r="D337" s="31"/>
      <c r="E337" s="31"/>
      <c r="F337" s="56"/>
      <c r="G337" s="14"/>
    </row>
    <row r="338">
      <c r="B338" s="11"/>
      <c r="C338" s="60"/>
      <c r="D338" s="31"/>
      <c r="E338" s="31"/>
      <c r="F338" s="56"/>
      <c r="G338" s="14"/>
    </row>
    <row r="339">
      <c r="B339" s="11"/>
      <c r="C339" s="60"/>
      <c r="D339" s="31"/>
      <c r="E339" s="31"/>
      <c r="F339" s="56"/>
      <c r="G339" s="14"/>
    </row>
    <row r="340">
      <c r="B340" s="11"/>
      <c r="C340" s="60"/>
      <c r="D340" s="31"/>
      <c r="E340" s="31"/>
      <c r="F340" s="56"/>
      <c r="G340" s="14"/>
    </row>
    <row r="341">
      <c r="B341" s="11"/>
      <c r="C341" s="60"/>
      <c r="D341" s="31"/>
      <c r="E341" s="31"/>
      <c r="F341" s="56"/>
      <c r="G341" s="14"/>
    </row>
    <row r="342">
      <c r="B342" s="11"/>
      <c r="C342" s="60"/>
      <c r="D342" s="31"/>
      <c r="E342" s="31"/>
      <c r="F342" s="56"/>
      <c r="G342" s="14"/>
    </row>
    <row r="343">
      <c r="B343" s="11"/>
      <c r="C343" s="60"/>
      <c r="D343" s="31"/>
      <c r="E343" s="31"/>
      <c r="F343" s="56"/>
      <c r="G343" s="14"/>
    </row>
    <row r="344">
      <c r="B344" s="11"/>
      <c r="C344" s="60"/>
      <c r="D344" s="31"/>
      <c r="E344" s="31"/>
      <c r="F344" s="56"/>
      <c r="G344" s="14"/>
    </row>
    <row r="345">
      <c r="B345" s="11"/>
      <c r="C345" s="60"/>
      <c r="D345" s="31"/>
      <c r="E345" s="31"/>
      <c r="F345" s="56"/>
      <c r="G345" s="14"/>
    </row>
    <row r="346">
      <c r="B346" s="11"/>
      <c r="C346" s="60"/>
      <c r="D346" s="31"/>
      <c r="E346" s="31"/>
      <c r="F346" s="56"/>
      <c r="G346" s="14"/>
    </row>
    <row r="347">
      <c r="B347" s="11"/>
      <c r="C347" s="60"/>
      <c r="D347" s="31"/>
      <c r="E347" s="31"/>
      <c r="F347" s="56"/>
      <c r="G347" s="14"/>
    </row>
    <row r="348">
      <c r="B348" s="11"/>
      <c r="C348" s="60"/>
      <c r="D348" s="31"/>
      <c r="E348" s="31"/>
      <c r="F348" s="56"/>
      <c r="G348" s="14"/>
    </row>
    <row r="349">
      <c r="B349" s="11"/>
      <c r="C349" s="60"/>
      <c r="D349" s="31"/>
      <c r="E349" s="31"/>
      <c r="F349" s="56"/>
      <c r="G349" s="14"/>
    </row>
    <row r="350">
      <c r="B350" s="11"/>
      <c r="C350" s="60"/>
      <c r="D350" s="31"/>
      <c r="E350" s="31"/>
      <c r="F350" s="56"/>
      <c r="G350" s="14"/>
    </row>
    <row r="351">
      <c r="B351" s="11"/>
      <c r="C351" s="60"/>
      <c r="D351" s="31"/>
      <c r="E351" s="31"/>
      <c r="F351" s="56"/>
      <c r="G351" s="14"/>
    </row>
    <row r="352">
      <c r="B352" s="11"/>
      <c r="C352" s="60"/>
      <c r="D352" s="31"/>
      <c r="E352" s="31"/>
      <c r="F352" s="56"/>
      <c r="G352" s="14"/>
    </row>
    <row r="353">
      <c r="B353" s="11"/>
      <c r="C353" s="60"/>
      <c r="D353" s="31"/>
      <c r="E353" s="31"/>
      <c r="F353" s="56"/>
      <c r="G353" s="14"/>
    </row>
    <row r="354">
      <c r="B354" s="11"/>
      <c r="C354" s="60"/>
      <c r="D354" s="31"/>
      <c r="E354" s="31"/>
      <c r="F354" s="56"/>
      <c r="G354" s="14"/>
    </row>
    <row r="355">
      <c r="B355" s="11"/>
      <c r="C355" s="60"/>
      <c r="D355" s="31"/>
      <c r="E355" s="31"/>
      <c r="F355" s="56"/>
      <c r="G355" s="14"/>
    </row>
    <row r="356">
      <c r="B356" s="11"/>
      <c r="C356" s="60"/>
      <c r="D356" s="31"/>
      <c r="E356" s="31"/>
      <c r="F356" s="56"/>
      <c r="G356" s="14"/>
    </row>
    <row r="357">
      <c r="B357" s="11"/>
      <c r="C357" s="60"/>
      <c r="D357" s="31"/>
      <c r="E357" s="31"/>
      <c r="F357" s="56"/>
      <c r="G357" s="14"/>
    </row>
    <row r="358">
      <c r="B358" s="11"/>
      <c r="C358" s="60"/>
      <c r="D358" s="31"/>
      <c r="E358" s="31"/>
      <c r="F358" s="56"/>
      <c r="G358" s="14"/>
    </row>
    <row r="359">
      <c r="B359" s="11"/>
      <c r="C359" s="60"/>
      <c r="D359" s="31"/>
      <c r="E359" s="31"/>
      <c r="F359" s="56"/>
      <c r="G359" s="14"/>
    </row>
    <row r="360">
      <c r="B360" s="11"/>
      <c r="C360" s="60"/>
      <c r="D360" s="31"/>
      <c r="E360" s="31"/>
      <c r="F360" s="56"/>
      <c r="G360" s="14"/>
    </row>
    <row r="361">
      <c r="B361" s="11"/>
      <c r="C361" s="60"/>
      <c r="D361" s="31"/>
      <c r="E361" s="31"/>
      <c r="F361" s="56"/>
      <c r="G361" s="14"/>
    </row>
    <row r="362">
      <c r="B362" s="11"/>
      <c r="C362" s="60"/>
      <c r="D362" s="31"/>
      <c r="E362" s="31"/>
      <c r="F362" s="56"/>
      <c r="G362" s="14"/>
    </row>
    <row r="363">
      <c r="B363" s="11"/>
      <c r="C363" s="60"/>
      <c r="D363" s="31"/>
      <c r="E363" s="31"/>
      <c r="F363" s="56"/>
      <c r="G363" s="14"/>
    </row>
    <row r="364">
      <c r="B364" s="11"/>
      <c r="C364" s="60"/>
      <c r="D364" s="31"/>
      <c r="E364" s="31"/>
      <c r="F364" s="56"/>
      <c r="G364" s="14"/>
    </row>
    <row r="365">
      <c r="B365" s="11"/>
      <c r="C365" s="60"/>
      <c r="D365" s="31"/>
      <c r="E365" s="31"/>
      <c r="F365" s="56"/>
      <c r="G365" s="14"/>
    </row>
    <row r="366">
      <c r="B366" s="11"/>
      <c r="C366" s="60"/>
      <c r="D366" s="31"/>
      <c r="E366" s="31"/>
      <c r="F366" s="56"/>
      <c r="G366" s="14"/>
    </row>
    <row r="367">
      <c r="B367" s="11"/>
      <c r="C367" s="60"/>
      <c r="D367" s="31"/>
      <c r="E367" s="31"/>
      <c r="F367" s="56"/>
      <c r="G367" s="14"/>
    </row>
    <row r="368">
      <c r="B368" s="11"/>
      <c r="C368" s="60"/>
      <c r="D368" s="31"/>
      <c r="E368" s="31"/>
      <c r="F368" s="56"/>
      <c r="G368" s="14"/>
    </row>
    <row r="369">
      <c r="B369" s="11"/>
      <c r="C369" s="60"/>
      <c r="D369" s="31"/>
      <c r="E369" s="31"/>
      <c r="F369" s="56"/>
      <c r="G369" s="14"/>
    </row>
    <row r="370">
      <c r="B370" s="11"/>
      <c r="C370" s="60"/>
      <c r="D370" s="31"/>
      <c r="E370" s="31"/>
      <c r="F370" s="56"/>
      <c r="G370" s="14"/>
    </row>
    <row r="371">
      <c r="B371" s="11"/>
      <c r="C371" s="60"/>
      <c r="D371" s="31"/>
      <c r="E371" s="31"/>
      <c r="F371" s="56"/>
      <c r="G371" s="14"/>
    </row>
    <row r="372">
      <c r="B372" s="11"/>
      <c r="C372" s="60"/>
      <c r="D372" s="31"/>
      <c r="E372" s="31"/>
      <c r="F372" s="56"/>
      <c r="G372" s="14"/>
    </row>
    <row r="373">
      <c r="B373" s="11"/>
      <c r="C373" s="60"/>
      <c r="D373" s="31"/>
      <c r="E373" s="31"/>
      <c r="F373" s="56"/>
      <c r="G373" s="14"/>
    </row>
    <row r="374">
      <c r="B374" s="11"/>
      <c r="C374" s="60"/>
      <c r="D374" s="31"/>
      <c r="E374" s="31"/>
      <c r="F374" s="56"/>
      <c r="G374" s="14"/>
    </row>
    <row r="375">
      <c r="B375" s="11"/>
      <c r="C375" s="60"/>
      <c r="D375" s="31"/>
      <c r="E375" s="31"/>
      <c r="F375" s="56"/>
      <c r="G375" s="14"/>
    </row>
    <row r="376">
      <c r="B376" s="11"/>
      <c r="C376" s="60"/>
      <c r="D376" s="31"/>
      <c r="E376" s="31"/>
      <c r="F376" s="56"/>
      <c r="G376" s="14"/>
    </row>
    <row r="377">
      <c r="B377" s="11"/>
      <c r="C377" s="60"/>
      <c r="D377" s="31"/>
      <c r="E377" s="31"/>
      <c r="F377" s="56"/>
      <c r="G377" s="14"/>
    </row>
    <row r="378">
      <c r="B378" s="11"/>
      <c r="C378" s="60"/>
      <c r="D378" s="31"/>
      <c r="E378" s="31"/>
      <c r="F378" s="56"/>
      <c r="G378" s="14"/>
    </row>
    <row r="379">
      <c r="B379" s="11"/>
      <c r="C379" s="60"/>
      <c r="D379" s="31"/>
      <c r="E379" s="31"/>
      <c r="F379" s="56"/>
      <c r="G379" s="14"/>
    </row>
    <row r="380">
      <c r="B380" s="11"/>
      <c r="C380" s="60"/>
      <c r="D380" s="31"/>
      <c r="E380" s="31"/>
      <c r="F380" s="56"/>
      <c r="G380" s="14"/>
    </row>
    <row r="381">
      <c r="B381" s="11"/>
      <c r="C381" s="60"/>
      <c r="D381" s="31"/>
      <c r="E381" s="31"/>
      <c r="F381" s="56"/>
      <c r="G381" s="14"/>
    </row>
    <row r="382">
      <c r="B382" s="11"/>
      <c r="C382" s="60"/>
      <c r="D382" s="31"/>
      <c r="E382" s="31"/>
      <c r="F382" s="56"/>
      <c r="G382" s="14"/>
    </row>
    <row r="383">
      <c r="B383" s="11"/>
      <c r="C383" s="60"/>
      <c r="D383" s="31"/>
      <c r="E383" s="31"/>
      <c r="F383" s="56"/>
      <c r="G383" s="14"/>
    </row>
    <row r="384">
      <c r="B384" s="11"/>
      <c r="C384" s="60"/>
      <c r="D384" s="31"/>
      <c r="E384" s="31"/>
      <c r="F384" s="56"/>
      <c r="G384" s="14"/>
    </row>
    <row r="385">
      <c r="B385" s="11"/>
      <c r="C385" s="60"/>
      <c r="D385" s="31"/>
      <c r="E385" s="31"/>
      <c r="F385" s="56"/>
      <c r="G385" s="14"/>
    </row>
    <row r="386">
      <c r="B386" s="11"/>
      <c r="C386" s="60"/>
      <c r="D386" s="31"/>
      <c r="E386" s="31"/>
      <c r="F386" s="56"/>
      <c r="G386" s="14"/>
    </row>
    <row r="387">
      <c r="B387" s="11"/>
      <c r="C387" s="60"/>
      <c r="D387" s="31"/>
      <c r="E387" s="31"/>
      <c r="F387" s="56"/>
      <c r="G387" s="14"/>
    </row>
    <row r="388">
      <c r="B388" s="11"/>
      <c r="C388" s="60"/>
      <c r="D388" s="31"/>
      <c r="E388" s="31"/>
      <c r="F388" s="56"/>
      <c r="G388" s="14"/>
    </row>
    <row r="389">
      <c r="B389" s="11"/>
      <c r="C389" s="60"/>
      <c r="D389" s="31"/>
      <c r="E389" s="31"/>
      <c r="F389" s="56"/>
      <c r="G389" s="14"/>
    </row>
    <row r="390">
      <c r="B390" s="11"/>
      <c r="C390" s="60"/>
      <c r="D390" s="31"/>
      <c r="E390" s="31"/>
      <c r="F390" s="56"/>
      <c r="G390" s="14"/>
    </row>
    <row r="391">
      <c r="B391" s="11"/>
      <c r="C391" s="60"/>
      <c r="D391" s="31"/>
      <c r="E391" s="31"/>
      <c r="F391" s="56"/>
      <c r="G391" s="14"/>
    </row>
    <row r="392">
      <c r="B392" s="11"/>
      <c r="C392" s="60"/>
      <c r="D392" s="31"/>
      <c r="E392" s="31"/>
      <c r="F392" s="56"/>
      <c r="G392" s="14"/>
    </row>
    <row r="393">
      <c r="B393" s="11"/>
      <c r="C393" s="60"/>
      <c r="D393" s="31"/>
      <c r="E393" s="31"/>
      <c r="F393" s="56"/>
      <c r="G393" s="14"/>
    </row>
    <row r="394">
      <c r="B394" s="11"/>
      <c r="C394" s="60"/>
      <c r="D394" s="31"/>
      <c r="E394" s="31"/>
      <c r="F394" s="56"/>
      <c r="G394" s="14"/>
    </row>
    <row r="395">
      <c r="B395" s="11"/>
      <c r="C395" s="60"/>
      <c r="D395" s="31"/>
      <c r="E395" s="31"/>
      <c r="F395" s="56"/>
      <c r="G395" s="14"/>
    </row>
    <row r="396">
      <c r="B396" s="11"/>
      <c r="C396" s="60"/>
      <c r="D396" s="31"/>
      <c r="E396" s="31"/>
      <c r="F396" s="56"/>
      <c r="G396" s="14"/>
    </row>
    <row r="397">
      <c r="B397" s="11"/>
      <c r="C397" s="60"/>
      <c r="D397" s="31"/>
      <c r="E397" s="31"/>
      <c r="F397" s="56"/>
      <c r="G397" s="14"/>
    </row>
    <row r="398">
      <c r="B398" s="11"/>
      <c r="C398" s="60"/>
      <c r="D398" s="31"/>
      <c r="E398" s="31"/>
      <c r="F398" s="56"/>
      <c r="G398" s="14"/>
    </row>
    <row r="399">
      <c r="B399" s="11"/>
      <c r="C399" s="60"/>
      <c r="D399" s="31"/>
      <c r="E399" s="31"/>
      <c r="F399" s="56"/>
      <c r="G399" s="14"/>
    </row>
    <row r="400">
      <c r="B400" s="11"/>
      <c r="C400" s="60"/>
      <c r="D400" s="31"/>
      <c r="E400" s="31"/>
      <c r="F400" s="56"/>
      <c r="G400" s="14"/>
    </row>
    <row r="401">
      <c r="B401" s="11"/>
      <c r="C401" s="60"/>
      <c r="D401" s="31"/>
      <c r="E401" s="31"/>
      <c r="F401" s="56"/>
      <c r="G401" s="14"/>
    </row>
    <row r="402">
      <c r="B402" s="11"/>
      <c r="C402" s="60"/>
      <c r="D402" s="31"/>
      <c r="E402" s="31"/>
      <c r="F402" s="56"/>
      <c r="G402" s="14"/>
    </row>
    <row r="403">
      <c r="B403" s="11"/>
      <c r="C403" s="60"/>
      <c r="D403" s="31"/>
      <c r="E403" s="31"/>
      <c r="F403" s="56"/>
      <c r="G403" s="14"/>
    </row>
    <row r="404">
      <c r="B404" s="11"/>
      <c r="C404" s="60"/>
      <c r="D404" s="31"/>
      <c r="E404" s="31"/>
      <c r="F404" s="56"/>
      <c r="G404" s="14"/>
    </row>
    <row r="405">
      <c r="B405" s="11"/>
      <c r="C405" s="60"/>
      <c r="D405" s="31"/>
      <c r="E405" s="31"/>
      <c r="F405" s="56"/>
      <c r="G405" s="14"/>
    </row>
    <row r="406">
      <c r="B406" s="11"/>
      <c r="C406" s="60"/>
      <c r="D406" s="31"/>
      <c r="E406" s="31"/>
      <c r="F406" s="56"/>
      <c r="G406" s="14"/>
    </row>
    <row r="407">
      <c r="B407" s="11"/>
      <c r="C407" s="60"/>
      <c r="D407" s="31"/>
      <c r="E407" s="31"/>
      <c r="F407" s="56"/>
      <c r="G407" s="14"/>
    </row>
    <row r="408">
      <c r="B408" s="11"/>
      <c r="C408" s="60"/>
      <c r="D408" s="31"/>
      <c r="E408" s="31"/>
      <c r="F408" s="56"/>
      <c r="G408" s="14"/>
    </row>
    <row r="409">
      <c r="B409" s="11"/>
      <c r="C409" s="60"/>
      <c r="D409" s="31"/>
      <c r="E409" s="31"/>
      <c r="F409" s="56"/>
      <c r="G409" s="14"/>
    </row>
    <row r="410">
      <c r="B410" s="11"/>
      <c r="C410" s="60"/>
      <c r="D410" s="31"/>
      <c r="E410" s="31"/>
      <c r="F410" s="56"/>
      <c r="G410" s="14"/>
    </row>
    <row r="411">
      <c r="B411" s="11"/>
      <c r="C411" s="60"/>
      <c r="D411" s="31"/>
      <c r="E411" s="31"/>
      <c r="F411" s="56"/>
      <c r="G411" s="14"/>
    </row>
    <row r="412">
      <c r="B412" s="11"/>
      <c r="C412" s="60"/>
      <c r="D412" s="31"/>
      <c r="E412" s="31"/>
      <c r="F412" s="56"/>
      <c r="G412" s="14"/>
    </row>
    <row r="413">
      <c r="B413" s="11"/>
      <c r="C413" s="60"/>
      <c r="D413" s="31"/>
      <c r="E413" s="31"/>
      <c r="F413" s="56"/>
      <c r="G413" s="14"/>
    </row>
    <row r="414">
      <c r="B414" s="11"/>
      <c r="C414" s="60"/>
      <c r="D414" s="31"/>
      <c r="E414" s="31"/>
      <c r="F414" s="56"/>
      <c r="G414" s="14"/>
    </row>
    <row r="415">
      <c r="B415" s="11"/>
      <c r="C415" s="60"/>
      <c r="D415" s="31"/>
      <c r="E415" s="31"/>
      <c r="F415" s="56"/>
      <c r="G415" s="14"/>
    </row>
    <row r="416">
      <c r="B416" s="11"/>
      <c r="C416" s="60"/>
      <c r="D416" s="31"/>
      <c r="E416" s="31"/>
      <c r="F416" s="56"/>
      <c r="G416" s="14"/>
    </row>
    <row r="417">
      <c r="B417" s="11"/>
      <c r="C417" s="60"/>
      <c r="D417" s="31"/>
      <c r="E417" s="31"/>
      <c r="F417" s="56"/>
      <c r="G417" s="14"/>
    </row>
    <row r="418">
      <c r="B418" s="11"/>
      <c r="C418" s="60"/>
      <c r="D418" s="31"/>
      <c r="E418" s="31"/>
      <c r="F418" s="56"/>
      <c r="G418" s="14"/>
    </row>
    <row r="419">
      <c r="B419" s="11"/>
      <c r="C419" s="60"/>
      <c r="D419" s="31"/>
      <c r="E419" s="31"/>
      <c r="F419" s="56"/>
      <c r="G419" s="14"/>
    </row>
    <row r="420">
      <c r="B420" s="11"/>
      <c r="C420" s="60"/>
      <c r="D420" s="31"/>
      <c r="E420" s="31"/>
      <c r="F420" s="56"/>
      <c r="G420" s="14"/>
    </row>
    <row r="421">
      <c r="B421" s="11"/>
      <c r="C421" s="60"/>
      <c r="D421" s="31"/>
      <c r="E421" s="31"/>
      <c r="F421" s="56"/>
      <c r="G421" s="14"/>
    </row>
    <row r="422">
      <c r="B422" s="11"/>
      <c r="C422" s="60"/>
      <c r="D422" s="31"/>
      <c r="E422" s="31"/>
      <c r="F422" s="56"/>
      <c r="G422" s="14"/>
    </row>
    <row r="423">
      <c r="B423" s="11"/>
      <c r="C423" s="60"/>
      <c r="D423" s="31"/>
      <c r="E423" s="31"/>
      <c r="F423" s="56"/>
      <c r="G423" s="14"/>
    </row>
    <row r="424">
      <c r="B424" s="11"/>
      <c r="C424" s="60"/>
      <c r="D424" s="31"/>
      <c r="E424" s="31"/>
      <c r="F424" s="56"/>
      <c r="G424" s="14"/>
    </row>
    <row r="425">
      <c r="B425" s="11"/>
      <c r="C425" s="60"/>
      <c r="D425" s="31"/>
      <c r="E425" s="31"/>
      <c r="F425" s="56"/>
      <c r="G425" s="14"/>
    </row>
    <row r="426">
      <c r="B426" s="11"/>
      <c r="C426" s="60"/>
      <c r="D426" s="31"/>
      <c r="E426" s="31"/>
      <c r="F426" s="56"/>
      <c r="G426" s="14"/>
    </row>
    <row r="427">
      <c r="B427" s="11"/>
      <c r="C427" s="60"/>
      <c r="D427" s="31"/>
      <c r="E427" s="31"/>
      <c r="F427" s="56"/>
      <c r="G427" s="14"/>
    </row>
    <row r="428">
      <c r="B428" s="11"/>
      <c r="C428" s="60"/>
      <c r="D428" s="31"/>
      <c r="E428" s="31"/>
      <c r="F428" s="56"/>
      <c r="G428" s="14"/>
    </row>
    <row r="429">
      <c r="B429" s="11"/>
      <c r="C429" s="60"/>
      <c r="D429" s="31"/>
      <c r="E429" s="31"/>
      <c r="F429" s="56"/>
      <c r="G429" s="14"/>
    </row>
    <row r="430">
      <c r="B430" s="11"/>
      <c r="C430" s="60"/>
      <c r="D430" s="31"/>
      <c r="E430" s="31"/>
      <c r="F430" s="56"/>
      <c r="G430" s="14"/>
    </row>
    <row r="431">
      <c r="B431" s="11"/>
      <c r="C431" s="60"/>
      <c r="D431" s="31"/>
      <c r="E431" s="31"/>
      <c r="F431" s="56"/>
      <c r="G431" s="14"/>
    </row>
    <row r="432">
      <c r="B432" s="11"/>
      <c r="C432" s="60"/>
      <c r="D432" s="31"/>
      <c r="E432" s="31"/>
      <c r="F432" s="56"/>
      <c r="G432" s="14"/>
    </row>
    <row r="433">
      <c r="B433" s="11"/>
      <c r="C433" s="60"/>
      <c r="D433" s="31"/>
      <c r="E433" s="31"/>
      <c r="F433" s="56"/>
      <c r="G433" s="14"/>
    </row>
    <row r="434">
      <c r="B434" s="11"/>
      <c r="C434" s="60"/>
      <c r="D434" s="31"/>
      <c r="E434" s="31"/>
      <c r="F434" s="56"/>
      <c r="G434" s="14"/>
    </row>
    <row r="435">
      <c r="B435" s="11"/>
      <c r="C435" s="60"/>
      <c r="D435" s="31"/>
      <c r="E435" s="31"/>
      <c r="F435" s="56"/>
      <c r="G435" s="14"/>
    </row>
    <row r="436">
      <c r="B436" s="11"/>
      <c r="C436" s="60"/>
      <c r="D436" s="31"/>
      <c r="E436" s="31"/>
      <c r="F436" s="56"/>
      <c r="G436" s="14"/>
    </row>
    <row r="437">
      <c r="B437" s="11"/>
      <c r="C437" s="60"/>
      <c r="D437" s="31"/>
      <c r="E437" s="31"/>
      <c r="F437" s="56"/>
      <c r="G437" s="14"/>
    </row>
    <row r="438">
      <c r="B438" s="11"/>
      <c r="C438" s="60"/>
      <c r="D438" s="31"/>
      <c r="E438" s="31"/>
      <c r="F438" s="56"/>
      <c r="G438" s="14"/>
    </row>
    <row r="439">
      <c r="B439" s="11"/>
      <c r="C439" s="60"/>
      <c r="D439" s="31"/>
      <c r="E439" s="31"/>
      <c r="F439" s="56"/>
      <c r="G439" s="14"/>
    </row>
    <row r="440">
      <c r="B440" s="11"/>
      <c r="C440" s="60"/>
      <c r="D440" s="31"/>
      <c r="E440" s="31"/>
      <c r="F440" s="56"/>
      <c r="G440" s="14"/>
    </row>
    <row r="441">
      <c r="B441" s="11"/>
      <c r="C441" s="60"/>
      <c r="D441" s="31"/>
      <c r="E441" s="31"/>
      <c r="F441" s="56"/>
      <c r="G441" s="14"/>
    </row>
    <row r="442">
      <c r="B442" s="11"/>
      <c r="C442" s="60"/>
      <c r="D442" s="31"/>
      <c r="E442" s="31"/>
      <c r="F442" s="56"/>
      <c r="G442" s="14"/>
    </row>
    <row r="443">
      <c r="B443" s="11"/>
      <c r="C443" s="60"/>
      <c r="D443" s="31"/>
      <c r="E443" s="31"/>
      <c r="F443" s="56"/>
      <c r="G443" s="14"/>
    </row>
    <row r="444">
      <c r="B444" s="11"/>
      <c r="C444" s="60"/>
      <c r="D444" s="31"/>
      <c r="E444" s="31"/>
      <c r="F444" s="56"/>
      <c r="G444" s="14"/>
    </row>
    <row r="445">
      <c r="B445" s="11"/>
      <c r="C445" s="60"/>
      <c r="D445" s="31"/>
      <c r="E445" s="31"/>
      <c r="F445" s="56"/>
      <c r="G445" s="14"/>
    </row>
    <row r="446">
      <c r="B446" s="11"/>
      <c r="C446" s="60"/>
      <c r="D446" s="31"/>
      <c r="E446" s="31"/>
      <c r="F446" s="56"/>
      <c r="G446" s="14"/>
    </row>
    <row r="447">
      <c r="B447" s="11"/>
      <c r="C447" s="60"/>
      <c r="D447" s="31"/>
      <c r="E447" s="31"/>
      <c r="F447" s="56"/>
      <c r="G447" s="14"/>
    </row>
    <row r="448">
      <c r="B448" s="11"/>
      <c r="C448" s="60"/>
      <c r="D448" s="31"/>
      <c r="E448" s="31"/>
      <c r="F448" s="56"/>
      <c r="G448" s="14"/>
    </row>
    <row r="449">
      <c r="B449" s="11"/>
      <c r="C449" s="60"/>
      <c r="D449" s="31"/>
      <c r="E449" s="31"/>
      <c r="F449" s="56"/>
      <c r="G449" s="14"/>
    </row>
    <row r="450">
      <c r="B450" s="11"/>
      <c r="C450" s="60"/>
      <c r="D450" s="31"/>
      <c r="E450" s="31"/>
      <c r="F450" s="56"/>
      <c r="G450" s="14"/>
    </row>
    <row r="451">
      <c r="B451" s="11"/>
      <c r="C451" s="60"/>
      <c r="D451" s="31"/>
      <c r="E451" s="31"/>
      <c r="F451" s="56"/>
      <c r="G451" s="14"/>
    </row>
    <row r="452">
      <c r="B452" s="11"/>
      <c r="C452" s="60"/>
      <c r="D452" s="31"/>
      <c r="E452" s="31"/>
      <c r="F452" s="56"/>
      <c r="G452" s="14"/>
    </row>
    <row r="453">
      <c r="B453" s="11"/>
      <c r="C453" s="60"/>
      <c r="D453" s="31"/>
      <c r="E453" s="31"/>
      <c r="F453" s="56"/>
      <c r="G453" s="14"/>
    </row>
    <row r="454">
      <c r="B454" s="11"/>
      <c r="C454" s="60"/>
      <c r="D454" s="31"/>
      <c r="E454" s="31"/>
      <c r="F454" s="56"/>
      <c r="G454" s="14"/>
    </row>
    <row r="455">
      <c r="B455" s="11"/>
      <c r="C455" s="60"/>
      <c r="D455" s="31"/>
      <c r="E455" s="31"/>
      <c r="F455" s="56"/>
      <c r="G455" s="14"/>
    </row>
    <row r="456">
      <c r="B456" s="11"/>
      <c r="C456" s="60"/>
      <c r="D456" s="31"/>
      <c r="E456" s="31"/>
      <c r="F456" s="56"/>
      <c r="G456" s="14"/>
    </row>
    <row r="457">
      <c r="B457" s="11"/>
      <c r="C457" s="60"/>
      <c r="D457" s="31"/>
      <c r="E457" s="31"/>
      <c r="F457" s="56"/>
      <c r="G457" s="14"/>
    </row>
    <row r="458">
      <c r="B458" s="11"/>
      <c r="C458" s="60"/>
      <c r="D458" s="31"/>
      <c r="E458" s="31"/>
      <c r="F458" s="56"/>
      <c r="G458" s="14"/>
    </row>
    <row r="459">
      <c r="B459" s="11"/>
      <c r="C459" s="60"/>
      <c r="D459" s="31"/>
      <c r="E459" s="31"/>
      <c r="F459" s="56"/>
      <c r="G459" s="14"/>
    </row>
    <row r="460">
      <c r="B460" s="11"/>
      <c r="C460" s="60"/>
      <c r="D460" s="31"/>
      <c r="E460" s="31"/>
      <c r="F460" s="56"/>
      <c r="G460" s="14"/>
    </row>
    <row r="461">
      <c r="B461" s="11"/>
      <c r="C461" s="60"/>
      <c r="D461" s="31"/>
      <c r="E461" s="31"/>
      <c r="F461" s="56"/>
      <c r="G461" s="14"/>
    </row>
    <row r="462">
      <c r="B462" s="11"/>
      <c r="C462" s="60"/>
      <c r="D462" s="31"/>
      <c r="E462" s="31"/>
      <c r="F462" s="56"/>
      <c r="G462" s="14"/>
    </row>
    <row r="463">
      <c r="B463" s="11"/>
      <c r="C463" s="60"/>
      <c r="D463" s="31"/>
      <c r="E463" s="31"/>
      <c r="F463" s="56"/>
      <c r="G463" s="14"/>
    </row>
    <row r="464">
      <c r="B464" s="11"/>
      <c r="C464" s="60"/>
      <c r="D464" s="31"/>
      <c r="E464" s="31"/>
      <c r="F464" s="56"/>
      <c r="G464" s="14"/>
    </row>
    <row r="465">
      <c r="B465" s="11"/>
      <c r="C465" s="60"/>
      <c r="D465" s="31"/>
      <c r="E465" s="31"/>
      <c r="F465" s="56"/>
      <c r="G465" s="14"/>
    </row>
    <row r="466">
      <c r="B466" s="11"/>
      <c r="C466" s="60"/>
      <c r="D466" s="31"/>
      <c r="E466" s="31"/>
      <c r="F466" s="56"/>
      <c r="G466" s="14"/>
    </row>
    <row r="467">
      <c r="B467" s="11"/>
      <c r="C467" s="60"/>
      <c r="D467" s="31"/>
      <c r="E467" s="31"/>
      <c r="F467" s="56"/>
      <c r="G467" s="14"/>
    </row>
    <row r="468">
      <c r="B468" s="11"/>
      <c r="C468" s="60"/>
      <c r="D468" s="31"/>
      <c r="E468" s="31"/>
      <c r="F468" s="56"/>
      <c r="G468" s="14"/>
    </row>
    <row r="469">
      <c r="B469" s="11"/>
      <c r="C469" s="60"/>
      <c r="D469" s="31"/>
      <c r="E469" s="31"/>
      <c r="F469" s="56"/>
      <c r="G469" s="14"/>
    </row>
    <row r="470">
      <c r="B470" s="11"/>
      <c r="C470" s="60"/>
      <c r="D470" s="31"/>
      <c r="E470" s="31"/>
      <c r="F470" s="56"/>
      <c r="G470" s="14"/>
    </row>
    <row r="471">
      <c r="B471" s="11"/>
      <c r="C471" s="60"/>
      <c r="D471" s="31"/>
      <c r="E471" s="31"/>
      <c r="F471" s="56"/>
      <c r="G471" s="14"/>
    </row>
    <row r="472">
      <c r="B472" s="11"/>
      <c r="C472" s="60"/>
      <c r="D472" s="31"/>
      <c r="E472" s="31"/>
      <c r="F472" s="56"/>
      <c r="G472" s="14"/>
    </row>
    <row r="473">
      <c r="B473" s="11"/>
      <c r="C473" s="60"/>
      <c r="D473" s="31"/>
      <c r="E473" s="31"/>
      <c r="F473" s="56"/>
      <c r="G473" s="14"/>
    </row>
    <row r="474">
      <c r="B474" s="11"/>
      <c r="C474" s="60"/>
      <c r="D474" s="31"/>
      <c r="E474" s="31"/>
      <c r="F474" s="56"/>
      <c r="G474" s="14"/>
    </row>
    <row r="475">
      <c r="B475" s="11"/>
      <c r="C475" s="60"/>
      <c r="D475" s="31"/>
      <c r="E475" s="31"/>
      <c r="F475" s="56"/>
      <c r="G475" s="14"/>
    </row>
    <row r="476">
      <c r="B476" s="11"/>
      <c r="C476" s="60"/>
      <c r="D476" s="31"/>
      <c r="E476" s="31"/>
      <c r="F476" s="56"/>
      <c r="G476" s="14"/>
    </row>
    <row r="477">
      <c r="B477" s="11"/>
      <c r="C477" s="60"/>
      <c r="D477" s="31"/>
      <c r="E477" s="31"/>
      <c r="F477" s="56"/>
      <c r="G477" s="14"/>
    </row>
    <row r="478">
      <c r="B478" s="11"/>
      <c r="C478" s="60"/>
      <c r="D478" s="31"/>
      <c r="E478" s="31"/>
      <c r="F478" s="56"/>
      <c r="G478" s="14"/>
    </row>
    <row r="479">
      <c r="B479" s="11"/>
      <c r="C479" s="60"/>
      <c r="D479" s="31"/>
      <c r="E479" s="31"/>
      <c r="F479" s="56"/>
      <c r="G479" s="14"/>
    </row>
    <row r="480">
      <c r="B480" s="11"/>
      <c r="C480" s="60"/>
      <c r="D480" s="31"/>
      <c r="E480" s="31"/>
      <c r="F480" s="56"/>
      <c r="G480" s="14"/>
    </row>
    <row r="481">
      <c r="B481" s="11"/>
      <c r="C481" s="60"/>
      <c r="D481" s="31"/>
      <c r="E481" s="31"/>
      <c r="F481" s="56"/>
      <c r="G481" s="14"/>
    </row>
    <row r="482">
      <c r="B482" s="11"/>
      <c r="C482" s="60"/>
      <c r="D482" s="31"/>
      <c r="E482" s="31"/>
      <c r="F482" s="56"/>
      <c r="G482" s="14"/>
    </row>
    <row r="483">
      <c r="B483" s="11"/>
      <c r="C483" s="60"/>
      <c r="D483" s="31"/>
      <c r="E483" s="31"/>
      <c r="F483" s="56"/>
      <c r="G483" s="14"/>
    </row>
    <row r="484">
      <c r="B484" s="11"/>
      <c r="C484" s="60"/>
      <c r="D484" s="31"/>
      <c r="E484" s="31"/>
      <c r="F484" s="56"/>
      <c r="G484" s="14"/>
    </row>
    <row r="485">
      <c r="B485" s="11"/>
      <c r="C485" s="60"/>
      <c r="D485" s="31"/>
      <c r="E485" s="31"/>
      <c r="F485" s="56"/>
      <c r="G485" s="14"/>
    </row>
    <row r="486">
      <c r="B486" s="11"/>
      <c r="C486" s="60"/>
      <c r="D486" s="31"/>
      <c r="E486" s="31"/>
      <c r="F486" s="56"/>
      <c r="G486" s="14"/>
    </row>
    <row r="487">
      <c r="B487" s="11"/>
      <c r="C487" s="60"/>
      <c r="D487" s="31"/>
      <c r="E487" s="31"/>
      <c r="F487" s="56"/>
      <c r="G487" s="14"/>
    </row>
    <row r="488">
      <c r="B488" s="11"/>
      <c r="C488" s="60"/>
      <c r="D488" s="31"/>
      <c r="E488" s="31"/>
      <c r="F488" s="56"/>
      <c r="G488" s="14"/>
    </row>
    <row r="489">
      <c r="B489" s="11"/>
      <c r="C489" s="60"/>
      <c r="D489" s="31"/>
      <c r="E489" s="31"/>
      <c r="F489" s="56"/>
      <c r="G489" s="14"/>
    </row>
    <row r="490">
      <c r="B490" s="11"/>
      <c r="C490" s="60"/>
      <c r="D490" s="31"/>
      <c r="E490" s="31"/>
      <c r="F490" s="56"/>
      <c r="G490" s="14"/>
    </row>
    <row r="491">
      <c r="B491" s="11"/>
      <c r="C491" s="60"/>
      <c r="D491" s="31"/>
      <c r="E491" s="31"/>
      <c r="F491" s="56"/>
      <c r="G491" s="14"/>
    </row>
    <row r="492">
      <c r="B492" s="11"/>
      <c r="C492" s="60"/>
      <c r="D492" s="31"/>
      <c r="E492" s="31"/>
      <c r="F492" s="56"/>
      <c r="G492" s="14"/>
    </row>
    <row r="493">
      <c r="B493" s="11"/>
      <c r="C493" s="60"/>
      <c r="D493" s="31"/>
      <c r="E493" s="31"/>
      <c r="F493" s="56"/>
      <c r="G493" s="14"/>
    </row>
    <row r="494">
      <c r="B494" s="11"/>
      <c r="C494" s="60"/>
      <c r="D494" s="31"/>
      <c r="E494" s="31"/>
      <c r="F494" s="56"/>
      <c r="G494" s="14"/>
    </row>
    <row r="495">
      <c r="B495" s="11"/>
      <c r="C495" s="60"/>
      <c r="D495" s="31"/>
      <c r="E495" s="31"/>
      <c r="F495" s="56"/>
      <c r="G495" s="14"/>
    </row>
    <row r="496">
      <c r="B496" s="11"/>
      <c r="C496" s="60"/>
      <c r="D496" s="31"/>
      <c r="E496" s="31"/>
      <c r="F496" s="56"/>
      <c r="G496" s="14"/>
    </row>
    <row r="497">
      <c r="B497" s="11"/>
      <c r="C497" s="60"/>
      <c r="D497" s="31"/>
      <c r="E497" s="31"/>
      <c r="F497" s="56"/>
      <c r="G497" s="14"/>
    </row>
    <row r="498">
      <c r="B498" s="11"/>
      <c r="C498" s="60"/>
      <c r="D498" s="31"/>
      <c r="E498" s="31"/>
      <c r="F498" s="56"/>
      <c r="G498" s="14"/>
    </row>
    <row r="499">
      <c r="B499" s="11"/>
      <c r="C499" s="60"/>
      <c r="D499" s="31"/>
      <c r="E499" s="31"/>
      <c r="F499" s="56"/>
      <c r="G499" s="14"/>
    </row>
    <row r="500">
      <c r="B500" s="11"/>
      <c r="C500" s="60"/>
      <c r="D500" s="31"/>
      <c r="E500" s="31"/>
      <c r="F500" s="56"/>
      <c r="G500" s="14"/>
    </row>
    <row r="501">
      <c r="B501" s="11"/>
      <c r="C501" s="60"/>
      <c r="D501" s="31"/>
      <c r="E501" s="31"/>
      <c r="F501" s="56"/>
      <c r="G501" s="14"/>
    </row>
    <row r="502">
      <c r="B502" s="11"/>
      <c r="C502" s="60"/>
      <c r="D502" s="31"/>
      <c r="E502" s="31"/>
      <c r="F502" s="56"/>
      <c r="G502" s="14"/>
    </row>
    <row r="503">
      <c r="B503" s="11"/>
      <c r="C503" s="60"/>
      <c r="D503" s="31"/>
      <c r="E503" s="31"/>
      <c r="F503" s="56"/>
      <c r="G503" s="14"/>
    </row>
    <row r="504">
      <c r="B504" s="11"/>
      <c r="C504" s="60"/>
      <c r="D504" s="31"/>
      <c r="E504" s="31"/>
      <c r="F504" s="56"/>
      <c r="G504" s="14"/>
    </row>
    <row r="505">
      <c r="B505" s="11"/>
      <c r="C505" s="60"/>
      <c r="D505" s="31"/>
      <c r="E505" s="31"/>
      <c r="F505" s="56"/>
      <c r="G505" s="14"/>
    </row>
    <row r="506">
      <c r="B506" s="11"/>
      <c r="C506" s="60"/>
      <c r="D506" s="31"/>
      <c r="E506" s="31"/>
      <c r="F506" s="56"/>
      <c r="G506" s="14"/>
    </row>
    <row r="507">
      <c r="B507" s="11"/>
      <c r="C507" s="60"/>
      <c r="D507" s="31"/>
      <c r="E507" s="31"/>
      <c r="F507" s="56"/>
      <c r="G507" s="14"/>
    </row>
    <row r="508">
      <c r="B508" s="11"/>
      <c r="C508" s="60"/>
      <c r="D508" s="31"/>
      <c r="E508" s="31"/>
      <c r="F508" s="56"/>
      <c r="G508" s="14"/>
    </row>
    <row r="509">
      <c r="B509" s="11"/>
      <c r="C509" s="60"/>
      <c r="D509" s="31"/>
      <c r="E509" s="31"/>
      <c r="F509" s="56"/>
      <c r="G509" s="14"/>
    </row>
    <row r="510">
      <c r="B510" s="11"/>
      <c r="C510" s="60"/>
      <c r="D510" s="31"/>
      <c r="E510" s="31"/>
      <c r="F510" s="56"/>
      <c r="G510" s="14"/>
    </row>
    <row r="511">
      <c r="B511" s="11"/>
      <c r="C511" s="60"/>
      <c r="D511" s="31"/>
      <c r="E511" s="31"/>
      <c r="F511" s="56"/>
      <c r="G511" s="14"/>
    </row>
    <row r="512">
      <c r="B512" s="11"/>
      <c r="C512" s="60"/>
      <c r="D512" s="31"/>
      <c r="E512" s="31"/>
      <c r="F512" s="56"/>
      <c r="G512" s="14"/>
    </row>
    <row r="513">
      <c r="B513" s="11"/>
      <c r="C513" s="60"/>
      <c r="D513" s="31"/>
      <c r="E513" s="31"/>
      <c r="F513" s="56"/>
      <c r="G513" s="14"/>
    </row>
    <row r="514">
      <c r="B514" s="11"/>
      <c r="C514" s="60"/>
      <c r="D514" s="31"/>
      <c r="E514" s="31"/>
      <c r="F514" s="56"/>
      <c r="G514" s="14"/>
    </row>
    <row r="515">
      <c r="B515" s="11"/>
      <c r="C515" s="60"/>
      <c r="D515" s="31"/>
      <c r="E515" s="31"/>
      <c r="F515" s="56"/>
      <c r="G515" s="14"/>
    </row>
    <row r="516">
      <c r="B516" s="11"/>
      <c r="C516" s="60"/>
      <c r="D516" s="31"/>
      <c r="E516" s="31"/>
      <c r="F516" s="56"/>
      <c r="G516" s="14"/>
    </row>
    <row r="517">
      <c r="B517" s="11"/>
      <c r="C517" s="60"/>
      <c r="D517" s="31"/>
      <c r="E517" s="31"/>
      <c r="F517" s="56"/>
      <c r="G517" s="14"/>
    </row>
    <row r="518">
      <c r="B518" s="11"/>
      <c r="C518" s="60"/>
      <c r="D518" s="31"/>
      <c r="E518" s="31"/>
      <c r="F518" s="56"/>
      <c r="G518" s="14"/>
    </row>
    <row r="519">
      <c r="B519" s="11"/>
      <c r="C519" s="60"/>
      <c r="D519" s="31"/>
      <c r="E519" s="31"/>
      <c r="F519" s="56"/>
      <c r="G519" s="14"/>
    </row>
    <row r="520">
      <c r="B520" s="11"/>
      <c r="C520" s="60"/>
      <c r="D520" s="31"/>
      <c r="E520" s="31"/>
      <c r="F520" s="56"/>
      <c r="G520" s="14"/>
    </row>
    <row r="521">
      <c r="B521" s="11"/>
      <c r="C521" s="60"/>
      <c r="D521" s="31"/>
      <c r="E521" s="31"/>
      <c r="F521" s="56"/>
      <c r="G521" s="14"/>
    </row>
    <row r="522">
      <c r="B522" s="11"/>
      <c r="C522" s="60"/>
      <c r="D522" s="31"/>
      <c r="E522" s="31"/>
      <c r="F522" s="56"/>
      <c r="G522" s="14"/>
    </row>
    <row r="523">
      <c r="B523" s="11"/>
      <c r="C523" s="60"/>
      <c r="D523" s="31"/>
      <c r="E523" s="31"/>
      <c r="F523" s="56"/>
      <c r="G523" s="14"/>
    </row>
    <row r="524">
      <c r="B524" s="11"/>
      <c r="C524" s="60"/>
      <c r="D524" s="31"/>
      <c r="E524" s="31"/>
      <c r="F524" s="56"/>
      <c r="G524" s="14"/>
    </row>
    <row r="525">
      <c r="B525" s="11"/>
      <c r="C525" s="60"/>
      <c r="D525" s="31"/>
      <c r="E525" s="31"/>
      <c r="F525" s="56"/>
      <c r="G525" s="14"/>
    </row>
    <row r="526">
      <c r="B526" s="11"/>
      <c r="C526" s="60"/>
      <c r="D526" s="31"/>
      <c r="E526" s="31"/>
      <c r="F526" s="56"/>
      <c r="G526" s="14"/>
    </row>
    <row r="527">
      <c r="B527" s="11"/>
      <c r="C527" s="60"/>
      <c r="D527" s="31"/>
      <c r="E527" s="31"/>
      <c r="F527" s="56"/>
      <c r="G527" s="14"/>
    </row>
    <row r="528">
      <c r="B528" s="11"/>
      <c r="C528" s="60"/>
      <c r="D528" s="31"/>
      <c r="E528" s="31"/>
      <c r="F528" s="56"/>
      <c r="G528" s="14"/>
    </row>
    <row r="529">
      <c r="B529" s="11"/>
      <c r="C529" s="60"/>
      <c r="D529" s="31"/>
      <c r="E529" s="31"/>
      <c r="F529" s="56"/>
      <c r="G529" s="14"/>
    </row>
    <row r="530">
      <c r="B530" s="11"/>
      <c r="C530" s="60"/>
      <c r="D530" s="31"/>
      <c r="E530" s="31"/>
      <c r="F530" s="56"/>
      <c r="G530" s="14"/>
    </row>
    <row r="531">
      <c r="B531" s="11"/>
      <c r="C531" s="60"/>
      <c r="D531" s="31"/>
      <c r="E531" s="31"/>
      <c r="F531" s="56"/>
      <c r="G531" s="14"/>
    </row>
    <row r="532">
      <c r="B532" s="11"/>
      <c r="C532" s="60"/>
      <c r="D532" s="31"/>
      <c r="E532" s="31"/>
      <c r="F532" s="56"/>
      <c r="G532" s="14"/>
    </row>
    <row r="533">
      <c r="B533" s="11"/>
      <c r="C533" s="60"/>
      <c r="D533" s="31"/>
      <c r="E533" s="31"/>
      <c r="F533" s="56"/>
      <c r="G533" s="14"/>
    </row>
    <row r="534">
      <c r="B534" s="11"/>
      <c r="C534" s="60"/>
      <c r="D534" s="31"/>
      <c r="E534" s="31"/>
      <c r="F534" s="56"/>
      <c r="G534" s="14"/>
    </row>
    <row r="535">
      <c r="B535" s="11"/>
      <c r="C535" s="60"/>
      <c r="D535" s="31"/>
      <c r="E535" s="31"/>
      <c r="F535" s="56"/>
      <c r="G535" s="14"/>
    </row>
    <row r="536">
      <c r="B536" s="11"/>
      <c r="C536" s="60"/>
      <c r="D536" s="31"/>
      <c r="E536" s="31"/>
      <c r="F536" s="56"/>
      <c r="G536" s="14"/>
    </row>
    <row r="537">
      <c r="B537" s="11"/>
      <c r="C537" s="60"/>
      <c r="D537" s="31"/>
      <c r="E537" s="31"/>
      <c r="F537" s="56"/>
      <c r="G537" s="14"/>
    </row>
    <row r="538">
      <c r="B538" s="11"/>
      <c r="C538" s="60"/>
      <c r="D538" s="31"/>
      <c r="E538" s="31"/>
      <c r="F538" s="56"/>
      <c r="G538" s="14"/>
    </row>
    <row r="539">
      <c r="B539" s="11"/>
      <c r="C539" s="60"/>
      <c r="D539" s="31"/>
      <c r="E539" s="31"/>
      <c r="F539" s="56"/>
      <c r="G539" s="14"/>
    </row>
    <row r="540">
      <c r="B540" s="11"/>
      <c r="C540" s="60"/>
      <c r="D540" s="31"/>
      <c r="E540" s="31"/>
      <c r="F540" s="56"/>
      <c r="G540" s="14"/>
    </row>
    <row r="541">
      <c r="B541" s="11"/>
      <c r="C541" s="60"/>
      <c r="D541" s="31"/>
      <c r="E541" s="31"/>
      <c r="F541" s="56"/>
      <c r="G541" s="14"/>
    </row>
    <row r="542">
      <c r="B542" s="11"/>
      <c r="C542" s="60"/>
      <c r="D542" s="31"/>
      <c r="E542" s="31"/>
      <c r="F542" s="56"/>
      <c r="G542" s="14"/>
    </row>
    <row r="543">
      <c r="B543" s="11"/>
      <c r="C543" s="60"/>
      <c r="D543" s="31"/>
      <c r="E543" s="31"/>
      <c r="F543" s="56"/>
      <c r="G543" s="14"/>
    </row>
    <row r="544">
      <c r="B544" s="11"/>
      <c r="C544" s="60"/>
      <c r="D544" s="31"/>
      <c r="E544" s="31"/>
      <c r="F544" s="56"/>
      <c r="G544" s="14"/>
    </row>
    <row r="545">
      <c r="B545" s="11"/>
      <c r="C545" s="60"/>
      <c r="D545" s="31"/>
      <c r="E545" s="31"/>
      <c r="F545" s="56"/>
      <c r="G545" s="14"/>
    </row>
    <row r="546">
      <c r="B546" s="11"/>
      <c r="C546" s="60"/>
      <c r="D546" s="31"/>
      <c r="E546" s="31"/>
      <c r="F546" s="56"/>
      <c r="G546" s="14"/>
    </row>
    <row r="547">
      <c r="B547" s="11"/>
      <c r="C547" s="60"/>
      <c r="D547" s="31"/>
      <c r="E547" s="31"/>
      <c r="F547" s="56"/>
      <c r="G547" s="14"/>
    </row>
    <row r="548">
      <c r="B548" s="11"/>
      <c r="C548" s="60"/>
      <c r="D548" s="31"/>
      <c r="E548" s="31"/>
      <c r="F548" s="56"/>
      <c r="G548" s="14"/>
    </row>
    <row r="549">
      <c r="B549" s="11"/>
      <c r="C549" s="60"/>
      <c r="D549" s="31"/>
      <c r="E549" s="31"/>
      <c r="F549" s="56"/>
      <c r="G549" s="14"/>
    </row>
    <row r="550">
      <c r="B550" s="11"/>
      <c r="C550" s="60"/>
      <c r="D550" s="31"/>
      <c r="E550" s="31"/>
      <c r="F550" s="56"/>
      <c r="G550" s="14"/>
    </row>
    <row r="551">
      <c r="B551" s="11"/>
      <c r="C551" s="60"/>
      <c r="D551" s="31"/>
      <c r="E551" s="31"/>
      <c r="F551" s="56"/>
      <c r="G551" s="14"/>
    </row>
    <row r="552">
      <c r="B552" s="11"/>
      <c r="C552" s="60"/>
      <c r="D552" s="31"/>
      <c r="E552" s="31"/>
      <c r="F552" s="56"/>
      <c r="G552" s="14"/>
    </row>
    <row r="553">
      <c r="B553" s="11"/>
      <c r="C553" s="60"/>
      <c r="D553" s="31"/>
      <c r="E553" s="31"/>
      <c r="F553" s="56"/>
      <c r="G553" s="14"/>
    </row>
    <row r="554">
      <c r="B554" s="11"/>
      <c r="C554" s="60"/>
      <c r="D554" s="31"/>
      <c r="E554" s="31"/>
      <c r="F554" s="56"/>
      <c r="G554" s="14"/>
    </row>
    <row r="555">
      <c r="B555" s="11"/>
      <c r="C555" s="60"/>
      <c r="D555" s="31"/>
      <c r="E555" s="31"/>
      <c r="F555" s="56"/>
      <c r="G555" s="14"/>
    </row>
    <row r="556">
      <c r="B556" s="11"/>
      <c r="C556" s="60"/>
      <c r="D556" s="31"/>
      <c r="E556" s="31"/>
      <c r="F556" s="56"/>
      <c r="G556" s="14"/>
    </row>
    <row r="557">
      <c r="B557" s="11"/>
      <c r="C557" s="60"/>
      <c r="D557" s="31"/>
      <c r="E557" s="31"/>
      <c r="F557" s="56"/>
      <c r="G557" s="14"/>
    </row>
    <row r="558">
      <c r="B558" s="11"/>
      <c r="C558" s="60"/>
      <c r="D558" s="31"/>
      <c r="E558" s="31"/>
      <c r="F558" s="56"/>
      <c r="G558" s="14"/>
    </row>
    <row r="559">
      <c r="B559" s="11"/>
      <c r="C559" s="60"/>
      <c r="D559" s="31"/>
      <c r="E559" s="31"/>
      <c r="F559" s="56"/>
      <c r="G559" s="14"/>
    </row>
    <row r="560">
      <c r="B560" s="11"/>
      <c r="C560" s="60"/>
      <c r="D560" s="31"/>
      <c r="E560" s="31"/>
      <c r="F560" s="56"/>
      <c r="G560" s="14"/>
    </row>
    <row r="561">
      <c r="B561" s="11"/>
      <c r="C561" s="60"/>
      <c r="D561" s="31"/>
      <c r="E561" s="31"/>
      <c r="F561" s="56"/>
      <c r="G561" s="14"/>
    </row>
    <row r="562">
      <c r="B562" s="11"/>
      <c r="C562" s="60"/>
      <c r="D562" s="31"/>
      <c r="E562" s="31"/>
      <c r="F562" s="56"/>
      <c r="G562" s="14"/>
    </row>
    <row r="563">
      <c r="B563" s="11"/>
      <c r="C563" s="60"/>
      <c r="D563" s="31"/>
      <c r="E563" s="31"/>
      <c r="F563" s="56"/>
      <c r="G563" s="14"/>
    </row>
    <row r="564">
      <c r="B564" s="11"/>
      <c r="C564" s="60"/>
      <c r="D564" s="31"/>
      <c r="E564" s="31"/>
      <c r="F564" s="56"/>
      <c r="G564" s="14"/>
    </row>
    <row r="565">
      <c r="B565" s="11"/>
      <c r="C565" s="60"/>
      <c r="D565" s="31"/>
      <c r="E565" s="31"/>
      <c r="F565" s="56"/>
      <c r="G565" s="14"/>
    </row>
    <row r="566">
      <c r="B566" s="11"/>
      <c r="C566" s="60"/>
      <c r="D566" s="31"/>
      <c r="E566" s="31"/>
      <c r="F566" s="56"/>
      <c r="G566" s="14"/>
    </row>
    <row r="567">
      <c r="B567" s="11"/>
      <c r="C567" s="60"/>
      <c r="D567" s="31"/>
      <c r="E567" s="31"/>
      <c r="F567" s="56"/>
      <c r="G567" s="14"/>
    </row>
    <row r="568">
      <c r="B568" s="11"/>
      <c r="C568" s="60"/>
      <c r="D568" s="31"/>
      <c r="E568" s="31"/>
      <c r="F568" s="56"/>
      <c r="G568" s="14"/>
    </row>
    <row r="569">
      <c r="B569" s="11"/>
      <c r="C569" s="60"/>
      <c r="D569" s="31"/>
      <c r="E569" s="31"/>
      <c r="F569" s="56"/>
      <c r="G569" s="14"/>
    </row>
    <row r="570">
      <c r="B570" s="11"/>
      <c r="C570" s="60"/>
      <c r="D570" s="31"/>
      <c r="E570" s="31"/>
      <c r="F570" s="56"/>
      <c r="G570" s="14"/>
    </row>
    <row r="571">
      <c r="B571" s="11"/>
      <c r="C571" s="60"/>
      <c r="D571" s="31"/>
      <c r="E571" s="31"/>
      <c r="F571" s="56"/>
      <c r="G571" s="14"/>
    </row>
    <row r="572">
      <c r="B572" s="11"/>
      <c r="C572" s="60"/>
      <c r="D572" s="31"/>
      <c r="E572" s="31"/>
      <c r="F572" s="56"/>
      <c r="G572" s="14"/>
    </row>
    <row r="573">
      <c r="B573" s="11"/>
      <c r="C573" s="60"/>
      <c r="D573" s="31"/>
      <c r="E573" s="31"/>
      <c r="F573" s="56"/>
      <c r="G573" s="14"/>
    </row>
    <row r="574">
      <c r="B574" s="11"/>
      <c r="C574" s="60"/>
      <c r="D574" s="31"/>
      <c r="E574" s="31"/>
      <c r="F574" s="56"/>
      <c r="G574" s="14"/>
    </row>
    <row r="575">
      <c r="B575" s="11"/>
      <c r="C575" s="60"/>
      <c r="D575" s="31"/>
      <c r="E575" s="31"/>
      <c r="F575" s="56"/>
      <c r="G575" s="14"/>
    </row>
    <row r="576">
      <c r="B576" s="11"/>
      <c r="C576" s="60"/>
      <c r="D576" s="31"/>
      <c r="E576" s="31"/>
      <c r="F576" s="56"/>
      <c r="G576" s="14"/>
    </row>
    <row r="577">
      <c r="B577" s="11"/>
      <c r="C577" s="60"/>
      <c r="D577" s="31"/>
      <c r="E577" s="31"/>
      <c r="F577" s="56"/>
      <c r="G577" s="14"/>
    </row>
    <row r="578">
      <c r="B578" s="11"/>
      <c r="C578" s="60"/>
      <c r="D578" s="31"/>
      <c r="E578" s="31"/>
      <c r="F578" s="56"/>
      <c r="G578" s="14"/>
    </row>
    <row r="579">
      <c r="B579" s="11"/>
      <c r="C579" s="60"/>
      <c r="D579" s="31"/>
      <c r="E579" s="31"/>
      <c r="F579" s="56"/>
      <c r="G579" s="14"/>
    </row>
    <row r="580">
      <c r="B580" s="11"/>
      <c r="C580" s="60"/>
      <c r="D580" s="31"/>
      <c r="E580" s="31"/>
      <c r="F580" s="56"/>
      <c r="G580" s="14"/>
    </row>
    <row r="581">
      <c r="B581" s="11"/>
      <c r="C581" s="60"/>
      <c r="D581" s="31"/>
      <c r="E581" s="31"/>
      <c r="F581" s="56"/>
      <c r="G581" s="14"/>
    </row>
    <row r="582">
      <c r="B582" s="11"/>
      <c r="C582" s="60"/>
      <c r="D582" s="31"/>
      <c r="E582" s="31"/>
      <c r="F582" s="56"/>
      <c r="G582" s="14"/>
    </row>
    <row r="583">
      <c r="B583" s="11"/>
      <c r="C583" s="60"/>
      <c r="D583" s="31"/>
      <c r="E583" s="31"/>
      <c r="F583" s="56"/>
      <c r="G583" s="14"/>
    </row>
    <row r="584">
      <c r="B584" s="11"/>
      <c r="C584" s="60"/>
      <c r="D584" s="31"/>
      <c r="E584" s="31"/>
      <c r="F584" s="56"/>
      <c r="G584" s="14"/>
    </row>
    <row r="585">
      <c r="B585" s="11"/>
      <c r="C585" s="60"/>
      <c r="D585" s="31"/>
      <c r="E585" s="31"/>
      <c r="F585" s="56"/>
      <c r="G585" s="14"/>
    </row>
    <row r="586">
      <c r="B586" s="11"/>
      <c r="C586" s="60"/>
      <c r="D586" s="31"/>
      <c r="E586" s="31"/>
      <c r="F586" s="56"/>
      <c r="G586" s="14"/>
    </row>
    <row r="587">
      <c r="B587" s="11"/>
      <c r="C587" s="60"/>
      <c r="D587" s="31"/>
      <c r="E587" s="31"/>
      <c r="F587" s="56"/>
      <c r="G587" s="14"/>
    </row>
    <row r="588">
      <c r="B588" s="11"/>
      <c r="C588" s="60"/>
      <c r="D588" s="31"/>
      <c r="E588" s="31"/>
      <c r="F588" s="56"/>
      <c r="G588" s="14"/>
    </row>
    <row r="589">
      <c r="B589" s="11"/>
      <c r="C589" s="60"/>
      <c r="D589" s="31"/>
      <c r="E589" s="31"/>
      <c r="F589" s="56"/>
      <c r="G589" s="14"/>
    </row>
    <row r="590">
      <c r="B590" s="11"/>
      <c r="C590" s="60"/>
      <c r="D590" s="31"/>
      <c r="E590" s="31"/>
      <c r="F590" s="56"/>
      <c r="G590" s="14"/>
    </row>
    <row r="591">
      <c r="B591" s="11"/>
      <c r="C591" s="60"/>
      <c r="D591" s="31"/>
      <c r="E591" s="31"/>
      <c r="F591" s="56"/>
      <c r="G591" s="14"/>
    </row>
    <row r="592">
      <c r="B592" s="11"/>
      <c r="C592" s="60"/>
      <c r="D592" s="31"/>
      <c r="E592" s="31"/>
      <c r="F592" s="56"/>
      <c r="G592" s="14"/>
    </row>
    <row r="593">
      <c r="B593" s="11"/>
      <c r="C593" s="60"/>
      <c r="D593" s="31"/>
      <c r="E593" s="31"/>
      <c r="F593" s="56"/>
      <c r="G593" s="14"/>
    </row>
    <row r="594">
      <c r="B594" s="11"/>
      <c r="C594" s="60"/>
      <c r="D594" s="31"/>
      <c r="E594" s="31"/>
      <c r="F594" s="56"/>
      <c r="G594" s="14"/>
    </row>
    <row r="595">
      <c r="B595" s="11"/>
      <c r="C595" s="60"/>
      <c r="D595" s="31"/>
      <c r="E595" s="31"/>
      <c r="F595" s="56"/>
      <c r="G595" s="14"/>
    </row>
    <row r="596">
      <c r="B596" s="11"/>
      <c r="C596" s="60"/>
      <c r="D596" s="31"/>
      <c r="E596" s="31"/>
      <c r="F596" s="56"/>
      <c r="G596" s="14"/>
    </row>
    <row r="597">
      <c r="B597" s="11"/>
      <c r="C597" s="60"/>
      <c r="D597" s="31"/>
      <c r="E597" s="31"/>
      <c r="F597" s="56"/>
      <c r="G597" s="14"/>
    </row>
    <row r="598">
      <c r="B598" s="11"/>
      <c r="C598" s="60"/>
      <c r="D598" s="31"/>
      <c r="E598" s="31"/>
      <c r="F598" s="56"/>
      <c r="G598" s="14"/>
    </row>
    <row r="599">
      <c r="B599" s="11"/>
      <c r="C599" s="60"/>
      <c r="D599" s="31"/>
      <c r="E599" s="31"/>
      <c r="F599" s="56"/>
      <c r="G599" s="14"/>
    </row>
    <row r="600">
      <c r="B600" s="11"/>
      <c r="C600" s="60"/>
      <c r="D600" s="31"/>
      <c r="E600" s="31"/>
      <c r="F600" s="56"/>
      <c r="G600" s="14"/>
    </row>
    <row r="601">
      <c r="B601" s="11"/>
      <c r="C601" s="60"/>
      <c r="D601" s="31"/>
      <c r="E601" s="31"/>
      <c r="F601" s="56"/>
      <c r="G601" s="14"/>
    </row>
    <row r="602">
      <c r="B602" s="11"/>
      <c r="C602" s="60"/>
      <c r="D602" s="31"/>
      <c r="E602" s="31"/>
      <c r="F602" s="56"/>
      <c r="G602" s="14"/>
    </row>
    <row r="603">
      <c r="B603" s="11"/>
      <c r="C603" s="60"/>
      <c r="D603" s="31"/>
      <c r="E603" s="31"/>
      <c r="F603" s="56"/>
      <c r="G603" s="14"/>
    </row>
    <row r="604">
      <c r="B604" s="11"/>
      <c r="C604" s="60"/>
      <c r="D604" s="31"/>
      <c r="E604" s="31"/>
      <c r="F604" s="56"/>
      <c r="G604" s="14"/>
    </row>
    <row r="605">
      <c r="B605" s="11"/>
      <c r="C605" s="60"/>
      <c r="D605" s="31"/>
      <c r="E605" s="31"/>
      <c r="F605" s="56"/>
      <c r="G605" s="14"/>
    </row>
    <row r="606">
      <c r="B606" s="11"/>
      <c r="C606" s="60"/>
      <c r="D606" s="31"/>
      <c r="E606" s="31"/>
      <c r="F606" s="56"/>
      <c r="G606" s="14"/>
    </row>
    <row r="607">
      <c r="B607" s="11"/>
      <c r="C607" s="60"/>
      <c r="D607" s="31"/>
      <c r="E607" s="31"/>
      <c r="F607" s="56"/>
      <c r="G607" s="14"/>
    </row>
    <row r="608">
      <c r="B608" s="11"/>
      <c r="C608" s="60"/>
      <c r="D608" s="31"/>
      <c r="E608" s="31"/>
      <c r="F608" s="56"/>
      <c r="G608" s="14"/>
    </row>
    <row r="609">
      <c r="B609" s="11"/>
      <c r="C609" s="60"/>
      <c r="D609" s="31"/>
      <c r="E609" s="31"/>
      <c r="F609" s="56"/>
      <c r="G609" s="14"/>
    </row>
    <row r="610">
      <c r="B610" s="11"/>
      <c r="C610" s="60"/>
      <c r="D610" s="31"/>
      <c r="E610" s="31"/>
      <c r="F610" s="56"/>
      <c r="G610" s="14"/>
    </row>
    <row r="611">
      <c r="B611" s="11"/>
      <c r="C611" s="60"/>
      <c r="D611" s="31"/>
      <c r="E611" s="31"/>
      <c r="F611" s="56"/>
      <c r="G611" s="14"/>
    </row>
    <row r="612">
      <c r="B612" s="11"/>
      <c r="C612" s="60"/>
      <c r="D612" s="31"/>
      <c r="E612" s="31"/>
      <c r="F612" s="56"/>
      <c r="G612" s="14"/>
    </row>
    <row r="613">
      <c r="B613" s="11"/>
      <c r="C613" s="60"/>
      <c r="D613" s="31"/>
      <c r="E613" s="31"/>
      <c r="F613" s="56"/>
      <c r="G613" s="14"/>
    </row>
    <row r="614">
      <c r="B614" s="11"/>
      <c r="C614" s="60"/>
      <c r="D614" s="31"/>
      <c r="E614" s="31"/>
      <c r="F614" s="56"/>
      <c r="G614" s="14"/>
    </row>
    <row r="615">
      <c r="B615" s="11"/>
      <c r="C615" s="60"/>
      <c r="D615" s="31"/>
      <c r="E615" s="31"/>
      <c r="F615" s="56"/>
      <c r="G615" s="14"/>
    </row>
    <row r="616">
      <c r="B616" s="11"/>
      <c r="C616" s="60"/>
      <c r="D616" s="31"/>
      <c r="E616" s="31"/>
      <c r="F616" s="56"/>
      <c r="G616" s="14"/>
    </row>
    <row r="617">
      <c r="B617" s="11"/>
      <c r="C617" s="60"/>
      <c r="D617" s="31"/>
      <c r="E617" s="31"/>
      <c r="F617" s="56"/>
      <c r="G617" s="14"/>
    </row>
    <row r="618">
      <c r="B618" s="11"/>
      <c r="C618" s="60"/>
      <c r="D618" s="31"/>
      <c r="E618" s="31"/>
      <c r="F618" s="56"/>
      <c r="G618" s="14"/>
    </row>
    <row r="619">
      <c r="B619" s="11"/>
      <c r="C619" s="60"/>
      <c r="D619" s="31"/>
      <c r="E619" s="31"/>
      <c r="F619" s="56"/>
      <c r="G619" s="14"/>
    </row>
    <row r="620">
      <c r="B620" s="11"/>
      <c r="C620" s="60"/>
      <c r="D620" s="31"/>
      <c r="E620" s="31"/>
      <c r="F620" s="56"/>
      <c r="G620" s="14"/>
    </row>
    <row r="621">
      <c r="B621" s="11"/>
      <c r="C621" s="60"/>
      <c r="D621" s="31"/>
      <c r="E621" s="31"/>
      <c r="F621" s="56"/>
      <c r="G621" s="14"/>
    </row>
    <row r="622">
      <c r="B622" s="11"/>
      <c r="C622" s="60"/>
      <c r="D622" s="31"/>
      <c r="E622" s="31"/>
      <c r="F622" s="56"/>
      <c r="G622" s="14"/>
    </row>
    <row r="623">
      <c r="B623" s="11"/>
      <c r="C623" s="60"/>
      <c r="D623" s="31"/>
      <c r="E623" s="31"/>
      <c r="F623" s="56"/>
      <c r="G623" s="14"/>
    </row>
    <row r="624">
      <c r="B624" s="11"/>
      <c r="C624" s="60"/>
      <c r="D624" s="31"/>
      <c r="E624" s="31"/>
      <c r="F624" s="56"/>
      <c r="G624" s="14"/>
    </row>
    <row r="625">
      <c r="B625" s="11"/>
      <c r="C625" s="60"/>
      <c r="D625" s="31"/>
      <c r="E625" s="31"/>
      <c r="F625" s="56"/>
      <c r="G625" s="14"/>
    </row>
    <row r="626">
      <c r="B626" s="11"/>
      <c r="C626" s="60"/>
      <c r="D626" s="31"/>
      <c r="E626" s="31"/>
      <c r="F626" s="56"/>
      <c r="G626" s="14"/>
    </row>
    <row r="627">
      <c r="B627" s="11"/>
      <c r="C627" s="60"/>
      <c r="D627" s="31"/>
      <c r="E627" s="31"/>
      <c r="F627" s="56"/>
      <c r="G627" s="14"/>
    </row>
    <row r="628">
      <c r="B628" s="11"/>
      <c r="C628" s="60"/>
      <c r="D628" s="31"/>
      <c r="E628" s="31"/>
      <c r="F628" s="56"/>
      <c r="G628" s="14"/>
    </row>
    <row r="629">
      <c r="B629" s="11"/>
      <c r="C629" s="60"/>
      <c r="D629" s="31"/>
      <c r="E629" s="31"/>
      <c r="F629" s="56"/>
      <c r="G629" s="14"/>
    </row>
    <row r="630">
      <c r="B630" s="11"/>
      <c r="C630" s="60"/>
      <c r="D630" s="31"/>
      <c r="E630" s="31"/>
      <c r="F630" s="56"/>
      <c r="G630" s="14"/>
    </row>
    <row r="631">
      <c r="B631" s="11"/>
      <c r="C631" s="60"/>
      <c r="D631" s="31"/>
      <c r="E631" s="31"/>
      <c r="F631" s="56"/>
      <c r="G631" s="14"/>
    </row>
    <row r="632">
      <c r="B632" s="11"/>
      <c r="C632" s="60"/>
      <c r="D632" s="31"/>
      <c r="E632" s="31"/>
      <c r="F632" s="56"/>
      <c r="G632" s="14"/>
    </row>
    <row r="633">
      <c r="B633" s="11"/>
      <c r="C633" s="60"/>
      <c r="D633" s="31"/>
      <c r="E633" s="31"/>
      <c r="F633" s="56"/>
      <c r="G633" s="14"/>
    </row>
    <row r="634">
      <c r="B634" s="11"/>
      <c r="C634" s="60"/>
      <c r="D634" s="31"/>
      <c r="E634" s="31"/>
      <c r="F634" s="56"/>
      <c r="G634" s="14"/>
    </row>
    <row r="635">
      <c r="B635" s="11"/>
      <c r="C635" s="60"/>
      <c r="D635" s="31"/>
      <c r="E635" s="31"/>
      <c r="F635" s="56"/>
      <c r="G635" s="14"/>
    </row>
    <row r="636">
      <c r="B636" s="11"/>
      <c r="C636" s="60"/>
      <c r="D636" s="31"/>
      <c r="E636" s="31"/>
      <c r="F636" s="56"/>
      <c r="G636" s="14"/>
    </row>
    <row r="637">
      <c r="B637" s="11"/>
      <c r="C637" s="60"/>
      <c r="D637" s="31"/>
      <c r="E637" s="31"/>
      <c r="F637" s="56"/>
      <c r="G637" s="14"/>
    </row>
    <row r="638">
      <c r="B638" s="11"/>
      <c r="C638" s="60"/>
      <c r="D638" s="31"/>
      <c r="E638" s="31"/>
      <c r="F638" s="56"/>
      <c r="G638" s="14"/>
    </row>
    <row r="639">
      <c r="B639" s="11"/>
      <c r="C639" s="60"/>
      <c r="D639" s="31"/>
      <c r="E639" s="31"/>
      <c r="F639" s="56"/>
      <c r="G639" s="14"/>
    </row>
    <row r="640">
      <c r="B640" s="11"/>
      <c r="C640" s="60"/>
      <c r="D640" s="31"/>
      <c r="E640" s="31"/>
      <c r="F640" s="56"/>
      <c r="G640" s="14"/>
    </row>
    <row r="641">
      <c r="B641" s="11"/>
      <c r="C641" s="60"/>
      <c r="D641" s="31"/>
      <c r="E641" s="31"/>
      <c r="F641" s="56"/>
      <c r="G641" s="14"/>
    </row>
    <row r="642">
      <c r="B642" s="11"/>
      <c r="C642" s="60"/>
      <c r="D642" s="31"/>
      <c r="E642" s="31"/>
      <c r="F642" s="56"/>
      <c r="G642" s="14"/>
    </row>
    <row r="643">
      <c r="B643" s="11"/>
      <c r="C643" s="60"/>
      <c r="D643" s="31"/>
      <c r="E643" s="31"/>
      <c r="F643" s="56"/>
      <c r="G643" s="14"/>
    </row>
    <row r="644">
      <c r="B644" s="11"/>
      <c r="C644" s="60"/>
      <c r="D644" s="31"/>
      <c r="E644" s="31"/>
      <c r="F644" s="56"/>
      <c r="G644" s="14"/>
    </row>
    <row r="645">
      <c r="B645" s="11"/>
      <c r="C645" s="60"/>
      <c r="D645" s="31"/>
      <c r="E645" s="31"/>
      <c r="F645" s="56"/>
      <c r="G645" s="14"/>
    </row>
    <row r="646">
      <c r="B646" s="11"/>
      <c r="C646" s="60"/>
      <c r="D646" s="31"/>
      <c r="E646" s="31"/>
      <c r="F646" s="56"/>
      <c r="G646" s="14"/>
    </row>
    <row r="647">
      <c r="B647" s="11"/>
      <c r="C647" s="60"/>
      <c r="D647" s="31"/>
      <c r="E647" s="31"/>
      <c r="F647" s="56"/>
      <c r="G647" s="14"/>
    </row>
    <row r="648">
      <c r="B648" s="11"/>
      <c r="C648" s="60"/>
      <c r="D648" s="31"/>
      <c r="E648" s="31"/>
      <c r="F648" s="56"/>
      <c r="G648" s="14"/>
    </row>
    <row r="649">
      <c r="B649" s="11"/>
      <c r="C649" s="60"/>
      <c r="D649" s="31"/>
      <c r="E649" s="31"/>
      <c r="F649" s="56"/>
      <c r="G649" s="14"/>
    </row>
    <row r="650">
      <c r="B650" s="11"/>
      <c r="C650" s="60"/>
      <c r="D650" s="31"/>
      <c r="E650" s="31"/>
      <c r="F650" s="56"/>
      <c r="G650" s="14"/>
    </row>
    <row r="651">
      <c r="B651" s="11"/>
      <c r="C651" s="60"/>
      <c r="D651" s="31"/>
      <c r="E651" s="31"/>
      <c r="F651" s="56"/>
      <c r="G651" s="14"/>
    </row>
    <row r="652">
      <c r="B652" s="11"/>
      <c r="C652" s="60"/>
      <c r="D652" s="31"/>
      <c r="E652" s="31"/>
      <c r="F652" s="56"/>
      <c r="G652" s="14"/>
    </row>
    <row r="653">
      <c r="B653" s="11"/>
      <c r="C653" s="60"/>
      <c r="D653" s="31"/>
      <c r="E653" s="31"/>
      <c r="F653" s="56"/>
      <c r="G653" s="14"/>
    </row>
    <row r="654">
      <c r="B654" s="11"/>
      <c r="C654" s="60"/>
      <c r="D654" s="31"/>
      <c r="E654" s="31"/>
      <c r="F654" s="56"/>
      <c r="G654" s="14"/>
    </row>
    <row r="655">
      <c r="B655" s="11"/>
      <c r="C655" s="60"/>
      <c r="D655" s="31"/>
      <c r="E655" s="31"/>
      <c r="F655" s="56"/>
      <c r="G655" s="14"/>
    </row>
    <row r="656">
      <c r="B656" s="11"/>
      <c r="C656" s="60"/>
      <c r="D656" s="31"/>
      <c r="E656" s="31"/>
      <c r="F656" s="56"/>
      <c r="G656" s="14"/>
    </row>
    <row r="657">
      <c r="B657" s="11"/>
      <c r="C657" s="60"/>
      <c r="D657" s="31"/>
      <c r="E657" s="31"/>
      <c r="F657" s="56"/>
      <c r="G657" s="14"/>
    </row>
    <row r="658">
      <c r="B658" s="11"/>
      <c r="C658" s="60"/>
      <c r="D658" s="31"/>
      <c r="E658" s="31"/>
      <c r="F658" s="56"/>
      <c r="G658" s="14"/>
    </row>
    <row r="659">
      <c r="B659" s="11"/>
      <c r="C659" s="60"/>
      <c r="D659" s="31"/>
      <c r="E659" s="31"/>
      <c r="F659" s="56"/>
      <c r="G659" s="14"/>
    </row>
    <row r="660">
      <c r="B660" s="11"/>
      <c r="C660" s="60"/>
      <c r="D660" s="31"/>
      <c r="E660" s="31"/>
      <c r="F660" s="56"/>
      <c r="G660" s="14"/>
    </row>
    <row r="661">
      <c r="B661" s="11"/>
      <c r="C661" s="60"/>
      <c r="D661" s="31"/>
      <c r="E661" s="31"/>
      <c r="F661" s="56"/>
      <c r="G661" s="14"/>
    </row>
    <row r="662">
      <c r="B662" s="11"/>
      <c r="C662" s="60"/>
      <c r="D662" s="31"/>
      <c r="E662" s="31"/>
      <c r="F662" s="56"/>
      <c r="G662" s="14"/>
    </row>
    <row r="663">
      <c r="B663" s="11"/>
      <c r="C663" s="60"/>
      <c r="D663" s="31"/>
      <c r="E663" s="31"/>
      <c r="F663" s="56"/>
      <c r="G663" s="14"/>
    </row>
    <row r="664">
      <c r="B664" s="11"/>
      <c r="C664" s="60"/>
      <c r="D664" s="31"/>
      <c r="E664" s="31"/>
      <c r="F664" s="56"/>
      <c r="G664" s="14"/>
    </row>
    <row r="665">
      <c r="B665" s="11"/>
      <c r="C665" s="60"/>
      <c r="D665" s="31"/>
      <c r="E665" s="31"/>
      <c r="F665" s="56"/>
      <c r="G665" s="14"/>
    </row>
    <row r="666">
      <c r="B666" s="11"/>
      <c r="C666" s="60"/>
      <c r="D666" s="31"/>
      <c r="E666" s="31"/>
      <c r="F666" s="56"/>
      <c r="G666" s="14"/>
    </row>
    <row r="667">
      <c r="B667" s="11"/>
      <c r="C667" s="60"/>
      <c r="D667" s="31"/>
      <c r="E667" s="31"/>
      <c r="F667" s="56"/>
      <c r="G667" s="14"/>
    </row>
    <row r="668">
      <c r="B668" s="11"/>
      <c r="C668" s="60"/>
      <c r="D668" s="31"/>
      <c r="E668" s="31"/>
      <c r="F668" s="56"/>
      <c r="G668" s="14"/>
    </row>
    <row r="669">
      <c r="B669" s="11"/>
      <c r="C669" s="60"/>
      <c r="D669" s="31"/>
      <c r="E669" s="31"/>
      <c r="F669" s="56"/>
      <c r="G669" s="14"/>
    </row>
    <row r="670">
      <c r="B670" s="11"/>
      <c r="C670" s="60"/>
      <c r="D670" s="31"/>
      <c r="E670" s="31"/>
      <c r="F670" s="56"/>
      <c r="G670" s="14"/>
    </row>
    <row r="671">
      <c r="B671" s="11"/>
      <c r="C671" s="60"/>
      <c r="D671" s="31"/>
      <c r="E671" s="31"/>
      <c r="F671" s="56"/>
      <c r="G671" s="14"/>
    </row>
    <row r="672">
      <c r="B672" s="11"/>
      <c r="C672" s="60"/>
      <c r="D672" s="31"/>
      <c r="E672" s="31"/>
      <c r="F672" s="56"/>
      <c r="G672" s="14"/>
    </row>
    <row r="673">
      <c r="B673" s="11"/>
      <c r="C673" s="60"/>
      <c r="D673" s="31"/>
      <c r="E673" s="31"/>
      <c r="F673" s="56"/>
      <c r="G673" s="14"/>
    </row>
    <row r="674">
      <c r="B674" s="11"/>
      <c r="C674" s="60"/>
      <c r="D674" s="31"/>
      <c r="E674" s="31"/>
      <c r="F674" s="56"/>
      <c r="G674" s="14"/>
    </row>
    <row r="675">
      <c r="B675" s="11"/>
      <c r="C675" s="60"/>
      <c r="D675" s="31"/>
      <c r="E675" s="31"/>
      <c r="F675" s="56"/>
      <c r="G675" s="14"/>
    </row>
    <row r="676">
      <c r="B676" s="11"/>
      <c r="C676" s="60"/>
      <c r="D676" s="31"/>
      <c r="E676" s="31"/>
      <c r="F676" s="56"/>
      <c r="G676" s="14"/>
    </row>
    <row r="677">
      <c r="B677" s="11"/>
      <c r="C677" s="60"/>
      <c r="D677" s="31"/>
      <c r="E677" s="31"/>
      <c r="F677" s="56"/>
      <c r="G677" s="14"/>
    </row>
    <row r="678">
      <c r="B678" s="11"/>
      <c r="C678" s="60"/>
      <c r="D678" s="31"/>
      <c r="E678" s="31"/>
      <c r="F678" s="56"/>
      <c r="G678" s="14"/>
    </row>
    <row r="679">
      <c r="B679" s="11"/>
      <c r="C679" s="60"/>
      <c r="D679" s="31"/>
      <c r="E679" s="31"/>
      <c r="F679" s="56"/>
      <c r="G679" s="14"/>
    </row>
    <row r="680">
      <c r="B680" s="11"/>
      <c r="C680" s="60"/>
      <c r="D680" s="31"/>
      <c r="E680" s="31"/>
      <c r="F680" s="56"/>
      <c r="G680" s="14"/>
    </row>
    <row r="681">
      <c r="B681" s="11"/>
      <c r="C681" s="60"/>
      <c r="D681" s="31"/>
      <c r="E681" s="31"/>
      <c r="F681" s="56"/>
      <c r="G681" s="14"/>
    </row>
    <row r="682">
      <c r="B682" s="11"/>
      <c r="C682" s="60"/>
      <c r="D682" s="31"/>
      <c r="E682" s="31"/>
      <c r="F682" s="56"/>
      <c r="G682" s="14"/>
    </row>
    <row r="683">
      <c r="B683" s="11"/>
      <c r="C683" s="60"/>
      <c r="D683" s="31"/>
      <c r="E683" s="31"/>
      <c r="F683" s="56"/>
      <c r="G683" s="14"/>
    </row>
    <row r="684">
      <c r="B684" s="11"/>
      <c r="C684" s="60"/>
      <c r="D684" s="31"/>
      <c r="E684" s="31"/>
      <c r="F684" s="56"/>
      <c r="G684" s="14"/>
    </row>
    <row r="685">
      <c r="B685" s="11"/>
      <c r="C685" s="60"/>
      <c r="D685" s="31"/>
      <c r="E685" s="31"/>
      <c r="F685" s="56"/>
      <c r="G685" s="14"/>
    </row>
    <row r="686">
      <c r="B686" s="11"/>
      <c r="C686" s="60"/>
      <c r="D686" s="31"/>
      <c r="E686" s="31"/>
      <c r="F686" s="56"/>
      <c r="G686" s="14"/>
    </row>
    <row r="687">
      <c r="B687" s="11"/>
      <c r="C687" s="60"/>
      <c r="D687" s="31"/>
      <c r="E687" s="31"/>
      <c r="F687" s="56"/>
      <c r="G687" s="14"/>
    </row>
    <row r="688">
      <c r="B688" s="11"/>
      <c r="C688" s="60"/>
      <c r="D688" s="31"/>
      <c r="E688" s="31"/>
      <c r="F688" s="56"/>
      <c r="G688" s="14"/>
    </row>
    <row r="689">
      <c r="B689" s="11"/>
      <c r="C689" s="60"/>
      <c r="D689" s="31"/>
      <c r="E689" s="31"/>
      <c r="F689" s="56"/>
      <c r="G689" s="14"/>
    </row>
    <row r="690">
      <c r="B690" s="11"/>
      <c r="C690" s="60"/>
      <c r="D690" s="31"/>
      <c r="E690" s="31"/>
      <c r="F690" s="56"/>
      <c r="G690" s="14"/>
    </row>
    <row r="691">
      <c r="B691" s="11"/>
      <c r="C691" s="60"/>
      <c r="D691" s="31"/>
      <c r="E691" s="31"/>
      <c r="F691" s="56"/>
      <c r="G691" s="14"/>
    </row>
    <row r="692">
      <c r="B692" s="11"/>
      <c r="C692" s="60"/>
      <c r="D692" s="31"/>
      <c r="E692" s="31"/>
      <c r="F692" s="56"/>
      <c r="G692" s="14"/>
    </row>
    <row r="693">
      <c r="B693" s="11"/>
      <c r="C693" s="60"/>
      <c r="D693" s="31"/>
      <c r="E693" s="31"/>
      <c r="F693" s="56"/>
      <c r="G693" s="14"/>
    </row>
    <row r="694">
      <c r="B694" s="11"/>
      <c r="C694" s="60"/>
      <c r="D694" s="31"/>
      <c r="E694" s="31"/>
      <c r="F694" s="56"/>
      <c r="G694" s="14"/>
    </row>
    <row r="695">
      <c r="B695" s="11"/>
      <c r="C695" s="60"/>
      <c r="D695" s="31"/>
      <c r="E695" s="31"/>
      <c r="F695" s="56"/>
      <c r="G695" s="14"/>
    </row>
    <row r="696">
      <c r="B696" s="11"/>
      <c r="C696" s="60"/>
      <c r="D696" s="31"/>
      <c r="E696" s="31"/>
      <c r="F696" s="56"/>
      <c r="G696" s="14"/>
    </row>
    <row r="697">
      <c r="B697" s="11"/>
      <c r="C697" s="60"/>
      <c r="D697" s="31"/>
      <c r="E697" s="31"/>
      <c r="F697" s="56"/>
      <c r="G697" s="14"/>
    </row>
    <row r="698">
      <c r="B698" s="11"/>
      <c r="C698" s="60"/>
      <c r="D698" s="31"/>
      <c r="E698" s="31"/>
      <c r="F698" s="56"/>
      <c r="G698" s="14"/>
    </row>
    <row r="699">
      <c r="B699" s="11"/>
      <c r="C699" s="60"/>
      <c r="D699" s="31"/>
      <c r="E699" s="31"/>
      <c r="F699" s="56"/>
      <c r="G699" s="14"/>
    </row>
    <row r="700">
      <c r="B700" s="11"/>
      <c r="C700" s="60"/>
      <c r="D700" s="31"/>
      <c r="E700" s="31"/>
      <c r="F700" s="56"/>
      <c r="G700" s="14"/>
    </row>
    <row r="701">
      <c r="B701" s="11"/>
      <c r="C701" s="60"/>
      <c r="D701" s="31"/>
      <c r="E701" s="31"/>
      <c r="F701" s="56"/>
      <c r="G701" s="14"/>
    </row>
    <row r="702">
      <c r="B702" s="11"/>
      <c r="C702" s="60"/>
      <c r="D702" s="31"/>
      <c r="E702" s="31"/>
      <c r="F702" s="56"/>
      <c r="G702" s="14"/>
    </row>
    <row r="703">
      <c r="B703" s="11"/>
      <c r="C703" s="60"/>
      <c r="D703" s="31"/>
      <c r="E703" s="31"/>
      <c r="F703" s="56"/>
      <c r="G703" s="14"/>
    </row>
    <row r="704">
      <c r="B704" s="11"/>
      <c r="C704" s="60"/>
      <c r="D704" s="31"/>
      <c r="E704" s="31"/>
      <c r="F704" s="56"/>
      <c r="G704" s="14"/>
    </row>
    <row r="705">
      <c r="B705" s="11"/>
      <c r="C705" s="60"/>
      <c r="D705" s="31"/>
      <c r="E705" s="31"/>
      <c r="F705" s="56"/>
      <c r="G705" s="14"/>
    </row>
    <row r="706">
      <c r="B706" s="11"/>
      <c r="C706" s="60"/>
      <c r="D706" s="31"/>
      <c r="E706" s="31"/>
      <c r="F706" s="56"/>
      <c r="G706" s="14"/>
    </row>
    <row r="707">
      <c r="B707" s="11"/>
      <c r="C707" s="60"/>
      <c r="D707" s="31"/>
      <c r="E707" s="31"/>
      <c r="F707" s="56"/>
      <c r="G707" s="14"/>
    </row>
    <row r="708">
      <c r="B708" s="11"/>
      <c r="C708" s="60"/>
      <c r="D708" s="31"/>
      <c r="E708" s="31"/>
      <c r="F708" s="56"/>
      <c r="G708" s="14"/>
    </row>
    <row r="709">
      <c r="B709" s="11"/>
      <c r="C709" s="60"/>
      <c r="D709" s="31"/>
      <c r="E709" s="31"/>
      <c r="F709" s="56"/>
      <c r="G709" s="14"/>
    </row>
    <row r="710">
      <c r="B710" s="11"/>
      <c r="C710" s="60"/>
      <c r="D710" s="31"/>
      <c r="E710" s="31"/>
      <c r="F710" s="56"/>
      <c r="G710" s="14"/>
    </row>
    <row r="711">
      <c r="B711" s="11"/>
      <c r="C711" s="60"/>
      <c r="D711" s="31"/>
      <c r="E711" s="31"/>
      <c r="F711" s="56"/>
      <c r="G711" s="14"/>
    </row>
    <row r="712">
      <c r="B712" s="11"/>
      <c r="C712" s="60"/>
      <c r="D712" s="31"/>
      <c r="E712" s="31"/>
      <c r="F712" s="56"/>
      <c r="G712" s="14"/>
    </row>
    <row r="713">
      <c r="B713" s="11"/>
      <c r="C713" s="60"/>
      <c r="D713" s="31"/>
      <c r="E713" s="31"/>
      <c r="F713" s="56"/>
      <c r="G713" s="14"/>
    </row>
    <row r="714">
      <c r="B714" s="11"/>
      <c r="C714" s="60"/>
      <c r="D714" s="31"/>
      <c r="E714" s="31"/>
      <c r="F714" s="56"/>
      <c r="G714" s="14"/>
    </row>
    <row r="715">
      <c r="B715" s="11"/>
      <c r="C715" s="60"/>
      <c r="D715" s="31"/>
      <c r="E715" s="31"/>
      <c r="F715" s="56"/>
      <c r="G715" s="14"/>
    </row>
    <row r="716">
      <c r="B716" s="11"/>
      <c r="C716" s="60"/>
      <c r="D716" s="31"/>
      <c r="E716" s="31"/>
      <c r="F716" s="56"/>
      <c r="G716" s="14"/>
    </row>
    <row r="717">
      <c r="B717" s="11"/>
      <c r="C717" s="60"/>
      <c r="D717" s="31"/>
      <c r="E717" s="31"/>
      <c r="F717" s="56"/>
      <c r="G717" s="14"/>
    </row>
    <row r="718">
      <c r="B718" s="11"/>
      <c r="C718" s="60"/>
      <c r="D718" s="31"/>
      <c r="E718" s="31"/>
      <c r="F718" s="56"/>
      <c r="G718" s="14"/>
    </row>
    <row r="719">
      <c r="B719" s="11"/>
      <c r="C719" s="60"/>
      <c r="D719" s="31"/>
      <c r="E719" s="31"/>
      <c r="F719" s="56"/>
      <c r="G719" s="14"/>
    </row>
    <row r="720">
      <c r="B720" s="11"/>
      <c r="C720" s="60"/>
      <c r="D720" s="31"/>
      <c r="E720" s="31"/>
      <c r="F720" s="56"/>
      <c r="G720" s="14"/>
    </row>
    <row r="721">
      <c r="B721" s="11"/>
      <c r="C721" s="60"/>
      <c r="D721" s="31"/>
      <c r="E721" s="31"/>
      <c r="F721" s="56"/>
      <c r="G721" s="14"/>
    </row>
    <row r="722">
      <c r="B722" s="11"/>
      <c r="C722" s="60"/>
      <c r="D722" s="31"/>
      <c r="E722" s="31"/>
      <c r="F722" s="56"/>
      <c r="G722" s="14"/>
    </row>
    <row r="723">
      <c r="B723" s="11"/>
      <c r="C723" s="60"/>
      <c r="D723" s="31"/>
      <c r="E723" s="31"/>
      <c r="F723" s="56"/>
      <c r="G723" s="14"/>
    </row>
    <row r="724">
      <c r="B724" s="11"/>
      <c r="C724" s="60"/>
      <c r="D724" s="31"/>
      <c r="E724" s="31"/>
      <c r="F724" s="56"/>
      <c r="G724" s="14"/>
    </row>
    <row r="725">
      <c r="B725" s="11"/>
      <c r="C725" s="60"/>
      <c r="D725" s="31"/>
      <c r="E725" s="31"/>
      <c r="F725" s="56"/>
      <c r="G725" s="14"/>
    </row>
    <row r="726">
      <c r="B726" s="11"/>
      <c r="C726" s="60"/>
      <c r="D726" s="31"/>
      <c r="E726" s="31"/>
      <c r="F726" s="56"/>
      <c r="G726" s="14"/>
    </row>
    <row r="727">
      <c r="B727" s="11"/>
      <c r="C727" s="60"/>
      <c r="D727" s="31"/>
      <c r="E727" s="31"/>
      <c r="F727" s="56"/>
      <c r="G727" s="14"/>
    </row>
    <row r="728">
      <c r="B728" s="11"/>
      <c r="C728" s="60"/>
      <c r="D728" s="31"/>
      <c r="E728" s="31"/>
      <c r="F728" s="56"/>
      <c r="G728" s="14"/>
    </row>
    <row r="729">
      <c r="B729" s="11"/>
      <c r="C729" s="60"/>
      <c r="D729" s="31"/>
      <c r="E729" s="31"/>
      <c r="F729" s="56"/>
      <c r="G729" s="14"/>
    </row>
    <row r="730">
      <c r="B730" s="11"/>
      <c r="C730" s="60"/>
      <c r="D730" s="31"/>
      <c r="E730" s="31"/>
      <c r="F730" s="56"/>
      <c r="G730" s="14"/>
    </row>
    <row r="731">
      <c r="B731" s="11"/>
      <c r="C731" s="60"/>
      <c r="D731" s="31"/>
      <c r="E731" s="31"/>
      <c r="F731" s="56"/>
      <c r="G731" s="14"/>
    </row>
    <row r="732">
      <c r="B732" s="11"/>
      <c r="C732" s="60"/>
      <c r="D732" s="31"/>
      <c r="E732" s="31"/>
      <c r="F732" s="56"/>
      <c r="G732" s="14"/>
    </row>
    <row r="733">
      <c r="B733" s="11"/>
      <c r="C733" s="60"/>
      <c r="D733" s="31"/>
      <c r="E733" s="31"/>
      <c r="F733" s="56"/>
      <c r="G733" s="14"/>
    </row>
    <row r="734">
      <c r="B734" s="11"/>
      <c r="C734" s="60"/>
      <c r="D734" s="31"/>
      <c r="E734" s="31"/>
      <c r="F734" s="56"/>
      <c r="G734" s="14"/>
    </row>
    <row r="735">
      <c r="B735" s="11"/>
      <c r="C735" s="60"/>
      <c r="D735" s="31"/>
      <c r="E735" s="31"/>
      <c r="F735" s="56"/>
      <c r="G735" s="14"/>
    </row>
    <row r="736">
      <c r="B736" s="11"/>
      <c r="C736" s="60"/>
      <c r="D736" s="31"/>
      <c r="E736" s="31"/>
      <c r="F736" s="56"/>
      <c r="G736" s="14"/>
    </row>
    <row r="737">
      <c r="B737" s="11"/>
      <c r="C737" s="60"/>
      <c r="D737" s="31"/>
      <c r="E737" s="31"/>
      <c r="F737" s="56"/>
      <c r="G737" s="14"/>
    </row>
    <row r="738">
      <c r="B738" s="11"/>
      <c r="C738" s="60"/>
      <c r="D738" s="31"/>
      <c r="E738" s="31"/>
      <c r="F738" s="56"/>
      <c r="G738" s="14"/>
    </row>
    <row r="739">
      <c r="B739" s="11"/>
      <c r="C739" s="60"/>
      <c r="D739" s="31"/>
      <c r="E739" s="31"/>
      <c r="F739" s="56"/>
      <c r="G739" s="14"/>
    </row>
    <row r="740">
      <c r="B740" s="11"/>
      <c r="C740" s="60"/>
      <c r="D740" s="31"/>
      <c r="E740" s="31"/>
      <c r="F740" s="56"/>
      <c r="G740" s="14"/>
    </row>
    <row r="741">
      <c r="B741" s="11"/>
      <c r="C741" s="60"/>
      <c r="D741" s="31"/>
      <c r="E741" s="31"/>
      <c r="F741" s="56"/>
      <c r="G741" s="14"/>
    </row>
    <row r="742">
      <c r="B742" s="11"/>
      <c r="C742" s="60"/>
      <c r="D742" s="31"/>
      <c r="E742" s="31"/>
      <c r="F742" s="56"/>
      <c r="G742" s="14"/>
    </row>
    <row r="743">
      <c r="B743" s="11"/>
      <c r="C743" s="60"/>
      <c r="D743" s="31"/>
      <c r="E743" s="31"/>
      <c r="F743" s="56"/>
      <c r="G743" s="14"/>
    </row>
    <row r="744">
      <c r="B744" s="11"/>
      <c r="C744" s="60"/>
      <c r="D744" s="31"/>
      <c r="E744" s="31"/>
      <c r="F744" s="56"/>
      <c r="G744" s="14"/>
    </row>
    <row r="745">
      <c r="B745" s="11"/>
      <c r="C745" s="60"/>
      <c r="D745" s="31"/>
      <c r="E745" s="31"/>
      <c r="F745" s="56"/>
      <c r="G745" s="14"/>
    </row>
    <row r="746">
      <c r="B746" s="11"/>
      <c r="C746" s="60"/>
      <c r="D746" s="31"/>
      <c r="E746" s="31"/>
      <c r="F746" s="56"/>
      <c r="G746" s="14"/>
    </row>
    <row r="747">
      <c r="B747" s="11"/>
      <c r="C747" s="60"/>
      <c r="D747" s="31"/>
      <c r="E747" s="31"/>
      <c r="F747" s="56"/>
      <c r="G747" s="14"/>
    </row>
    <row r="748">
      <c r="B748" s="11"/>
      <c r="C748" s="60"/>
      <c r="D748" s="31"/>
      <c r="E748" s="31"/>
      <c r="F748" s="56"/>
      <c r="G748" s="14"/>
    </row>
    <row r="749">
      <c r="B749" s="11"/>
      <c r="C749" s="60"/>
      <c r="D749" s="31"/>
      <c r="E749" s="31"/>
      <c r="F749" s="56"/>
      <c r="G749" s="14"/>
    </row>
    <row r="750">
      <c r="B750" s="11"/>
      <c r="C750" s="60"/>
      <c r="D750" s="31"/>
      <c r="E750" s="31"/>
      <c r="F750" s="56"/>
      <c r="G750" s="14"/>
    </row>
    <row r="751">
      <c r="B751" s="11"/>
      <c r="C751" s="60"/>
      <c r="D751" s="31"/>
      <c r="E751" s="31"/>
      <c r="F751" s="56"/>
      <c r="G751" s="14"/>
    </row>
    <row r="752">
      <c r="B752" s="11"/>
      <c r="C752" s="60"/>
      <c r="D752" s="31"/>
      <c r="E752" s="31"/>
      <c r="F752" s="56"/>
      <c r="G752" s="14"/>
    </row>
    <row r="753">
      <c r="B753" s="11"/>
      <c r="C753" s="60"/>
      <c r="D753" s="31"/>
      <c r="E753" s="31"/>
      <c r="F753" s="56"/>
      <c r="G753" s="14"/>
    </row>
    <row r="754">
      <c r="B754" s="11"/>
      <c r="C754" s="60"/>
      <c r="D754" s="31"/>
      <c r="E754" s="31"/>
      <c r="F754" s="56"/>
      <c r="G754" s="14"/>
    </row>
    <row r="755">
      <c r="B755" s="11"/>
      <c r="C755" s="60"/>
      <c r="D755" s="31"/>
      <c r="E755" s="31"/>
      <c r="F755" s="56"/>
      <c r="G755" s="14"/>
    </row>
    <row r="756">
      <c r="B756" s="11"/>
      <c r="C756" s="60"/>
      <c r="D756" s="31"/>
      <c r="E756" s="31"/>
      <c r="F756" s="56"/>
      <c r="G756" s="14"/>
    </row>
    <row r="757">
      <c r="B757" s="11"/>
      <c r="C757" s="60"/>
      <c r="D757" s="31"/>
      <c r="E757" s="31"/>
      <c r="F757" s="56"/>
      <c r="G757" s="14"/>
    </row>
    <row r="758">
      <c r="B758" s="11"/>
      <c r="C758" s="60"/>
      <c r="D758" s="31"/>
      <c r="E758" s="31"/>
      <c r="F758" s="56"/>
      <c r="G758" s="14"/>
    </row>
    <row r="759">
      <c r="B759" s="11"/>
      <c r="C759" s="60"/>
      <c r="D759" s="31"/>
      <c r="E759" s="31"/>
      <c r="F759" s="56"/>
      <c r="G759" s="14"/>
    </row>
    <row r="760">
      <c r="B760" s="11"/>
      <c r="C760" s="60"/>
      <c r="D760" s="31"/>
      <c r="E760" s="31"/>
      <c r="F760" s="56"/>
      <c r="G760" s="14"/>
    </row>
    <row r="761">
      <c r="B761" s="11"/>
      <c r="C761" s="60"/>
      <c r="D761" s="31"/>
      <c r="E761" s="31"/>
      <c r="F761" s="56"/>
      <c r="G761" s="14"/>
    </row>
    <row r="762">
      <c r="B762" s="11"/>
      <c r="C762" s="60"/>
      <c r="D762" s="31"/>
      <c r="E762" s="31"/>
      <c r="F762" s="56"/>
      <c r="G762" s="14"/>
    </row>
    <row r="763">
      <c r="B763" s="11"/>
      <c r="C763" s="60"/>
      <c r="D763" s="31"/>
      <c r="E763" s="31"/>
      <c r="F763" s="56"/>
      <c r="G763" s="14"/>
    </row>
    <row r="764">
      <c r="B764" s="11"/>
      <c r="C764" s="60"/>
      <c r="D764" s="31"/>
      <c r="E764" s="31"/>
      <c r="F764" s="56"/>
      <c r="G764" s="14"/>
    </row>
    <row r="765">
      <c r="B765" s="11"/>
      <c r="C765" s="60"/>
      <c r="D765" s="31"/>
      <c r="E765" s="31"/>
      <c r="F765" s="56"/>
      <c r="G765" s="14"/>
    </row>
    <row r="766">
      <c r="B766" s="11"/>
      <c r="C766" s="60"/>
      <c r="D766" s="31"/>
      <c r="E766" s="31"/>
      <c r="F766" s="56"/>
      <c r="G766" s="14"/>
    </row>
    <row r="767">
      <c r="B767" s="11"/>
      <c r="C767" s="60"/>
      <c r="D767" s="31"/>
      <c r="E767" s="31"/>
      <c r="F767" s="56"/>
      <c r="G767" s="14"/>
    </row>
    <row r="768">
      <c r="B768" s="11"/>
      <c r="C768" s="60"/>
      <c r="D768" s="31"/>
      <c r="E768" s="31"/>
      <c r="F768" s="56"/>
      <c r="G768" s="14"/>
    </row>
    <row r="769">
      <c r="B769" s="11"/>
      <c r="C769" s="60"/>
      <c r="D769" s="31"/>
      <c r="E769" s="31"/>
      <c r="F769" s="56"/>
      <c r="G769" s="14"/>
    </row>
    <row r="770">
      <c r="B770" s="11"/>
      <c r="C770" s="60"/>
      <c r="D770" s="31"/>
      <c r="E770" s="31"/>
      <c r="F770" s="56"/>
      <c r="G770" s="14"/>
    </row>
    <row r="771">
      <c r="B771" s="11"/>
      <c r="C771" s="60"/>
      <c r="D771" s="31"/>
      <c r="E771" s="31"/>
      <c r="F771" s="56"/>
      <c r="G771" s="14"/>
    </row>
    <row r="772">
      <c r="B772" s="11"/>
      <c r="C772" s="60"/>
      <c r="D772" s="31"/>
      <c r="E772" s="31"/>
      <c r="F772" s="56"/>
      <c r="G772" s="14"/>
    </row>
    <row r="773">
      <c r="B773" s="11"/>
      <c r="C773" s="60"/>
      <c r="D773" s="31"/>
      <c r="E773" s="31"/>
      <c r="F773" s="56"/>
      <c r="G773" s="14"/>
    </row>
    <row r="774">
      <c r="B774" s="11"/>
      <c r="C774" s="60"/>
      <c r="D774" s="31"/>
      <c r="E774" s="31"/>
      <c r="F774" s="56"/>
      <c r="G774" s="14"/>
    </row>
    <row r="775">
      <c r="B775" s="11"/>
      <c r="C775" s="60"/>
      <c r="D775" s="31"/>
      <c r="E775" s="31"/>
      <c r="F775" s="56"/>
      <c r="G775" s="14"/>
    </row>
    <row r="776">
      <c r="B776" s="11"/>
      <c r="C776" s="60"/>
      <c r="D776" s="31"/>
      <c r="E776" s="31"/>
      <c r="F776" s="56"/>
      <c r="G776" s="14"/>
    </row>
    <row r="777">
      <c r="B777" s="11"/>
      <c r="C777" s="60"/>
      <c r="D777" s="31"/>
      <c r="E777" s="31"/>
      <c r="F777" s="56"/>
      <c r="G777" s="14"/>
    </row>
    <row r="778">
      <c r="B778" s="11"/>
      <c r="C778" s="60"/>
      <c r="D778" s="31"/>
      <c r="E778" s="31"/>
      <c r="F778" s="56"/>
      <c r="G778" s="14"/>
    </row>
    <row r="779">
      <c r="B779" s="11"/>
      <c r="C779" s="60"/>
      <c r="D779" s="31"/>
      <c r="E779" s="31"/>
      <c r="F779" s="56"/>
      <c r="G779" s="14"/>
    </row>
    <row r="780">
      <c r="B780" s="11"/>
      <c r="C780" s="60"/>
      <c r="D780" s="31"/>
      <c r="E780" s="31"/>
      <c r="F780" s="56"/>
      <c r="G780" s="14"/>
    </row>
    <row r="781">
      <c r="B781" s="11"/>
      <c r="C781" s="60"/>
      <c r="D781" s="31"/>
      <c r="E781" s="31"/>
      <c r="F781" s="56"/>
      <c r="G781" s="14"/>
    </row>
    <row r="782">
      <c r="B782" s="11"/>
      <c r="C782" s="60"/>
      <c r="D782" s="31"/>
      <c r="E782" s="31"/>
      <c r="F782" s="56"/>
      <c r="G782" s="14"/>
    </row>
    <row r="783">
      <c r="B783" s="11"/>
      <c r="C783" s="60"/>
      <c r="D783" s="31"/>
      <c r="E783" s="31"/>
      <c r="F783" s="56"/>
      <c r="G783" s="14"/>
    </row>
    <row r="784">
      <c r="B784" s="11"/>
      <c r="C784" s="60"/>
      <c r="D784" s="31"/>
      <c r="E784" s="31"/>
      <c r="F784" s="56"/>
      <c r="G784" s="14"/>
    </row>
    <row r="785">
      <c r="B785" s="11"/>
      <c r="C785" s="60"/>
      <c r="D785" s="31"/>
      <c r="E785" s="31"/>
      <c r="F785" s="56"/>
      <c r="G785" s="14"/>
    </row>
    <row r="786">
      <c r="B786" s="11"/>
      <c r="C786" s="60"/>
      <c r="D786" s="31"/>
      <c r="E786" s="31"/>
      <c r="F786" s="56"/>
      <c r="G786" s="14"/>
    </row>
    <row r="787">
      <c r="B787" s="11"/>
      <c r="C787" s="60"/>
      <c r="D787" s="31"/>
      <c r="E787" s="31"/>
      <c r="F787" s="56"/>
      <c r="G787" s="14"/>
    </row>
    <row r="788">
      <c r="B788" s="11"/>
      <c r="C788" s="60"/>
      <c r="D788" s="31"/>
      <c r="E788" s="31"/>
      <c r="F788" s="56"/>
      <c r="G788" s="14"/>
    </row>
    <row r="789">
      <c r="B789" s="11"/>
      <c r="C789" s="60"/>
      <c r="D789" s="31"/>
      <c r="E789" s="31"/>
      <c r="F789" s="56"/>
      <c r="G789" s="14"/>
    </row>
    <row r="790">
      <c r="B790" s="11"/>
      <c r="C790" s="60"/>
      <c r="D790" s="31"/>
      <c r="E790" s="31"/>
      <c r="F790" s="56"/>
      <c r="G790" s="14"/>
    </row>
    <row r="791">
      <c r="B791" s="11"/>
      <c r="C791" s="60"/>
      <c r="D791" s="31"/>
      <c r="E791" s="31"/>
      <c r="F791" s="56"/>
      <c r="G791" s="14"/>
    </row>
    <row r="792">
      <c r="B792" s="11"/>
      <c r="C792" s="60"/>
      <c r="D792" s="31"/>
      <c r="E792" s="31"/>
      <c r="F792" s="56"/>
      <c r="G792" s="14"/>
    </row>
    <row r="793">
      <c r="B793" s="11"/>
      <c r="C793" s="60"/>
      <c r="D793" s="31"/>
      <c r="E793" s="31"/>
      <c r="F793" s="56"/>
      <c r="G793" s="14"/>
    </row>
    <row r="794">
      <c r="B794" s="11"/>
      <c r="C794" s="60"/>
      <c r="D794" s="31"/>
      <c r="E794" s="31"/>
      <c r="F794" s="56"/>
      <c r="G794" s="14"/>
    </row>
    <row r="795">
      <c r="B795" s="11"/>
      <c r="C795" s="60"/>
      <c r="D795" s="31"/>
      <c r="E795" s="31"/>
      <c r="F795" s="56"/>
      <c r="G795" s="14"/>
    </row>
    <row r="796">
      <c r="B796" s="11"/>
      <c r="C796" s="60"/>
      <c r="D796" s="31"/>
      <c r="E796" s="31"/>
      <c r="F796" s="56"/>
      <c r="G796" s="14"/>
    </row>
    <row r="797">
      <c r="B797" s="11"/>
      <c r="C797" s="60"/>
      <c r="D797" s="31"/>
      <c r="E797" s="31"/>
      <c r="F797" s="56"/>
      <c r="G797" s="14"/>
    </row>
    <row r="798">
      <c r="B798" s="11"/>
      <c r="C798" s="60"/>
      <c r="D798" s="31"/>
      <c r="E798" s="31"/>
      <c r="F798" s="56"/>
      <c r="G798" s="14"/>
    </row>
    <row r="799">
      <c r="B799" s="11"/>
      <c r="C799" s="60"/>
      <c r="D799" s="31"/>
      <c r="E799" s="31"/>
      <c r="F799" s="56"/>
      <c r="G799" s="14"/>
    </row>
    <row r="800">
      <c r="B800" s="11"/>
      <c r="C800" s="60"/>
      <c r="D800" s="31"/>
      <c r="E800" s="31"/>
      <c r="F800" s="56"/>
      <c r="G800" s="14"/>
    </row>
    <row r="801">
      <c r="B801" s="11"/>
      <c r="C801" s="60"/>
      <c r="D801" s="31"/>
      <c r="E801" s="31"/>
      <c r="F801" s="56"/>
      <c r="G801" s="14"/>
    </row>
    <row r="802">
      <c r="B802" s="11"/>
      <c r="C802" s="60"/>
      <c r="D802" s="31"/>
      <c r="E802" s="31"/>
      <c r="F802" s="56"/>
      <c r="G802" s="14"/>
    </row>
    <row r="803">
      <c r="B803" s="11"/>
      <c r="C803" s="60"/>
      <c r="D803" s="31"/>
      <c r="E803" s="31"/>
      <c r="F803" s="56"/>
      <c r="G803" s="14"/>
    </row>
    <row r="804">
      <c r="B804" s="11"/>
      <c r="C804" s="60"/>
      <c r="D804" s="31"/>
      <c r="E804" s="31"/>
      <c r="F804" s="56"/>
      <c r="G804" s="14"/>
    </row>
    <row r="805">
      <c r="B805" s="11"/>
      <c r="C805" s="60"/>
      <c r="D805" s="31"/>
      <c r="E805" s="31"/>
      <c r="F805" s="56"/>
      <c r="G805" s="14"/>
    </row>
    <row r="806">
      <c r="B806" s="11"/>
      <c r="C806" s="60"/>
      <c r="D806" s="31"/>
      <c r="E806" s="31"/>
      <c r="F806" s="56"/>
      <c r="G806" s="14"/>
    </row>
    <row r="807">
      <c r="B807" s="11"/>
      <c r="C807" s="60"/>
      <c r="D807" s="31"/>
      <c r="E807" s="31"/>
      <c r="F807" s="56"/>
      <c r="G807" s="14"/>
    </row>
    <row r="808">
      <c r="B808" s="11"/>
      <c r="C808" s="60"/>
      <c r="D808" s="31"/>
      <c r="E808" s="31"/>
      <c r="F808" s="56"/>
      <c r="G808" s="14"/>
    </row>
    <row r="809">
      <c r="B809" s="11"/>
      <c r="C809" s="60"/>
      <c r="D809" s="31"/>
      <c r="E809" s="31"/>
      <c r="F809" s="56"/>
      <c r="G809" s="14"/>
    </row>
    <row r="810">
      <c r="B810" s="11"/>
      <c r="C810" s="60"/>
      <c r="D810" s="31"/>
      <c r="E810" s="31"/>
      <c r="F810" s="56"/>
      <c r="G810" s="14"/>
    </row>
    <row r="811">
      <c r="B811" s="11"/>
      <c r="C811" s="60"/>
      <c r="D811" s="31"/>
      <c r="E811" s="31"/>
      <c r="F811" s="56"/>
      <c r="G811" s="14"/>
    </row>
    <row r="812">
      <c r="B812" s="11"/>
      <c r="C812" s="60"/>
      <c r="D812" s="31"/>
      <c r="E812" s="31"/>
      <c r="F812" s="56"/>
      <c r="G812" s="14"/>
    </row>
    <row r="813">
      <c r="B813" s="11"/>
      <c r="C813" s="60"/>
      <c r="D813" s="31"/>
      <c r="E813" s="31"/>
      <c r="F813" s="56"/>
      <c r="G813" s="14"/>
    </row>
    <row r="814">
      <c r="B814" s="11"/>
      <c r="C814" s="60"/>
      <c r="D814" s="31"/>
      <c r="E814" s="31"/>
      <c r="F814" s="56"/>
      <c r="G814" s="14"/>
    </row>
    <row r="815">
      <c r="B815" s="11"/>
      <c r="C815" s="60"/>
      <c r="D815" s="31"/>
      <c r="E815" s="31"/>
      <c r="F815" s="56"/>
      <c r="G815" s="14"/>
    </row>
    <row r="816">
      <c r="B816" s="11"/>
      <c r="C816" s="60"/>
      <c r="D816" s="31"/>
      <c r="E816" s="31"/>
      <c r="F816" s="56"/>
      <c r="G816" s="14"/>
    </row>
    <row r="817">
      <c r="B817" s="11"/>
      <c r="C817" s="60"/>
      <c r="D817" s="31"/>
      <c r="E817" s="31"/>
      <c r="F817" s="56"/>
      <c r="G817" s="14"/>
    </row>
    <row r="818">
      <c r="B818" s="11"/>
      <c r="C818" s="60"/>
      <c r="D818" s="31"/>
      <c r="E818" s="31"/>
      <c r="F818" s="56"/>
      <c r="G818" s="14"/>
    </row>
    <row r="819">
      <c r="B819" s="11"/>
      <c r="C819" s="60"/>
      <c r="D819" s="31"/>
      <c r="E819" s="31"/>
      <c r="F819" s="56"/>
      <c r="G819" s="14"/>
    </row>
    <row r="820">
      <c r="B820" s="11"/>
      <c r="C820" s="60"/>
      <c r="D820" s="31"/>
      <c r="E820" s="31"/>
      <c r="F820" s="56"/>
      <c r="G820" s="14"/>
    </row>
    <row r="821">
      <c r="B821" s="11"/>
      <c r="C821" s="60"/>
      <c r="D821" s="31"/>
      <c r="E821" s="31"/>
      <c r="F821" s="56"/>
      <c r="G821" s="14"/>
    </row>
    <row r="822">
      <c r="B822" s="11"/>
      <c r="C822" s="60"/>
      <c r="D822" s="31"/>
      <c r="E822" s="31"/>
      <c r="F822" s="56"/>
      <c r="G822" s="14"/>
    </row>
    <row r="823">
      <c r="B823" s="11"/>
      <c r="C823" s="60"/>
      <c r="D823" s="31"/>
      <c r="E823" s="31"/>
      <c r="F823" s="56"/>
      <c r="G823" s="14"/>
    </row>
    <row r="824">
      <c r="B824" s="11"/>
      <c r="C824" s="60"/>
      <c r="D824" s="31"/>
      <c r="E824" s="31"/>
      <c r="F824" s="56"/>
      <c r="G824" s="14"/>
    </row>
    <row r="825">
      <c r="B825" s="11"/>
      <c r="C825" s="60"/>
      <c r="D825" s="31"/>
      <c r="E825" s="31"/>
      <c r="F825" s="56"/>
      <c r="G825" s="14"/>
    </row>
    <row r="826">
      <c r="B826" s="11"/>
      <c r="C826" s="60"/>
      <c r="D826" s="31"/>
      <c r="E826" s="31"/>
      <c r="F826" s="56"/>
      <c r="G826" s="14"/>
    </row>
    <row r="827">
      <c r="B827" s="11"/>
      <c r="C827" s="60"/>
      <c r="D827" s="31"/>
      <c r="E827" s="31"/>
      <c r="F827" s="56"/>
      <c r="G827" s="14"/>
    </row>
    <row r="828">
      <c r="B828" s="11"/>
      <c r="C828" s="60"/>
      <c r="D828" s="31"/>
      <c r="E828" s="31"/>
      <c r="F828" s="56"/>
      <c r="G828" s="14"/>
    </row>
    <row r="829">
      <c r="B829" s="11"/>
      <c r="C829" s="60"/>
      <c r="D829" s="31"/>
      <c r="E829" s="31"/>
      <c r="F829" s="56"/>
      <c r="G829" s="14"/>
    </row>
    <row r="830">
      <c r="B830" s="11"/>
      <c r="C830" s="60"/>
      <c r="D830" s="31"/>
      <c r="E830" s="31"/>
      <c r="F830" s="56"/>
      <c r="G830" s="14"/>
    </row>
    <row r="831">
      <c r="B831" s="11"/>
      <c r="C831" s="60"/>
      <c r="D831" s="31"/>
      <c r="E831" s="31"/>
      <c r="F831" s="56"/>
      <c r="G831" s="14"/>
    </row>
    <row r="832">
      <c r="B832" s="11"/>
      <c r="C832" s="60"/>
      <c r="D832" s="31"/>
      <c r="E832" s="31"/>
      <c r="F832" s="56"/>
      <c r="G832" s="14"/>
    </row>
    <row r="833">
      <c r="B833" s="11"/>
      <c r="C833" s="60"/>
      <c r="D833" s="31"/>
      <c r="E833" s="31"/>
      <c r="F833" s="56"/>
      <c r="G833" s="14"/>
    </row>
    <row r="834">
      <c r="B834" s="11"/>
      <c r="C834" s="60"/>
      <c r="D834" s="31"/>
      <c r="E834" s="31"/>
      <c r="F834" s="56"/>
      <c r="G834" s="14"/>
    </row>
    <row r="835">
      <c r="B835" s="11"/>
      <c r="C835" s="60"/>
      <c r="D835" s="31"/>
      <c r="E835" s="31"/>
      <c r="F835" s="56"/>
      <c r="G835" s="14"/>
    </row>
    <row r="836">
      <c r="B836" s="11"/>
      <c r="C836" s="60"/>
      <c r="D836" s="31"/>
      <c r="E836" s="31"/>
      <c r="F836" s="56"/>
      <c r="G836" s="14"/>
    </row>
    <row r="837">
      <c r="B837" s="11"/>
      <c r="C837" s="60"/>
      <c r="D837" s="31"/>
      <c r="E837" s="31"/>
      <c r="F837" s="56"/>
      <c r="G837" s="14"/>
    </row>
    <row r="838">
      <c r="B838" s="11"/>
      <c r="C838" s="60"/>
      <c r="D838" s="31"/>
      <c r="E838" s="31"/>
      <c r="F838" s="56"/>
      <c r="G838" s="14"/>
    </row>
    <row r="839">
      <c r="B839" s="11"/>
      <c r="C839" s="60"/>
      <c r="D839" s="31"/>
      <c r="E839" s="31"/>
      <c r="F839" s="56"/>
      <c r="G839" s="14"/>
    </row>
    <row r="840">
      <c r="B840" s="11"/>
      <c r="C840" s="60"/>
      <c r="D840" s="31"/>
      <c r="E840" s="31"/>
      <c r="F840" s="56"/>
      <c r="G840" s="14"/>
    </row>
    <row r="841">
      <c r="B841" s="11"/>
      <c r="C841" s="60"/>
      <c r="D841" s="31"/>
      <c r="E841" s="31"/>
      <c r="F841" s="56"/>
      <c r="G841" s="14"/>
    </row>
    <row r="842">
      <c r="B842" s="11"/>
      <c r="C842" s="60"/>
      <c r="D842" s="31"/>
      <c r="E842" s="31"/>
      <c r="F842" s="56"/>
      <c r="G842" s="14"/>
    </row>
    <row r="843">
      <c r="B843" s="11"/>
      <c r="C843" s="60"/>
      <c r="D843" s="31"/>
      <c r="E843" s="31"/>
      <c r="F843" s="56"/>
      <c r="G843" s="14"/>
    </row>
    <row r="844">
      <c r="B844" s="11"/>
      <c r="C844" s="60"/>
      <c r="D844" s="31"/>
      <c r="E844" s="31"/>
      <c r="F844" s="56"/>
      <c r="G844" s="14"/>
    </row>
    <row r="845">
      <c r="B845" s="11"/>
      <c r="C845" s="60"/>
      <c r="D845" s="31"/>
      <c r="E845" s="31"/>
      <c r="F845" s="56"/>
      <c r="G845" s="14"/>
    </row>
    <row r="846">
      <c r="B846" s="11"/>
      <c r="C846" s="60"/>
      <c r="D846" s="31"/>
      <c r="E846" s="31"/>
      <c r="F846" s="56"/>
      <c r="G846" s="14"/>
    </row>
    <row r="847">
      <c r="B847" s="11"/>
      <c r="C847" s="60"/>
      <c r="D847" s="31"/>
      <c r="E847" s="31"/>
      <c r="F847" s="56"/>
      <c r="G847" s="14"/>
    </row>
    <row r="848">
      <c r="B848" s="11"/>
      <c r="C848" s="60"/>
      <c r="D848" s="31"/>
      <c r="E848" s="31"/>
      <c r="F848" s="56"/>
      <c r="G848" s="14"/>
    </row>
    <row r="849">
      <c r="B849" s="11"/>
      <c r="C849" s="60"/>
      <c r="D849" s="31"/>
      <c r="E849" s="31"/>
      <c r="F849" s="56"/>
      <c r="G849" s="14"/>
    </row>
    <row r="850">
      <c r="B850" s="11"/>
      <c r="C850" s="60"/>
      <c r="D850" s="31"/>
      <c r="E850" s="31"/>
      <c r="F850" s="56"/>
      <c r="G850" s="14"/>
    </row>
    <row r="851">
      <c r="B851" s="11"/>
      <c r="C851" s="60"/>
      <c r="D851" s="31"/>
      <c r="E851" s="31"/>
      <c r="F851" s="56"/>
      <c r="G851" s="14"/>
    </row>
    <row r="852">
      <c r="B852" s="11"/>
      <c r="C852" s="60"/>
      <c r="D852" s="31"/>
      <c r="E852" s="31"/>
      <c r="F852" s="56"/>
      <c r="G852" s="14"/>
    </row>
    <row r="853">
      <c r="B853" s="11"/>
      <c r="C853" s="60"/>
      <c r="D853" s="31"/>
      <c r="E853" s="31"/>
      <c r="F853" s="56"/>
      <c r="G853" s="14"/>
    </row>
    <row r="854">
      <c r="B854" s="11"/>
      <c r="C854" s="60"/>
      <c r="D854" s="31"/>
      <c r="E854" s="31"/>
      <c r="F854" s="56"/>
      <c r="G854" s="14"/>
    </row>
    <row r="855">
      <c r="B855" s="11"/>
      <c r="C855" s="60"/>
      <c r="D855" s="31"/>
      <c r="E855" s="31"/>
      <c r="F855" s="56"/>
      <c r="G855" s="14"/>
    </row>
    <row r="856">
      <c r="B856" s="11"/>
      <c r="C856" s="60"/>
      <c r="D856" s="31"/>
      <c r="E856" s="31"/>
      <c r="F856" s="56"/>
      <c r="G856" s="14"/>
    </row>
    <row r="857">
      <c r="B857" s="11"/>
      <c r="C857" s="60"/>
      <c r="D857" s="31"/>
      <c r="E857" s="31"/>
      <c r="F857" s="56"/>
      <c r="G857" s="14"/>
    </row>
    <row r="858">
      <c r="B858" s="11"/>
      <c r="C858" s="60"/>
      <c r="D858" s="31"/>
      <c r="E858" s="31"/>
      <c r="F858" s="56"/>
      <c r="G858" s="14"/>
    </row>
    <row r="859">
      <c r="B859" s="11"/>
      <c r="C859" s="60"/>
      <c r="D859" s="31"/>
      <c r="E859" s="31"/>
      <c r="F859" s="56"/>
      <c r="G859" s="14"/>
    </row>
    <row r="860">
      <c r="B860" s="11"/>
      <c r="C860" s="60"/>
      <c r="D860" s="31"/>
      <c r="E860" s="31"/>
      <c r="F860" s="56"/>
      <c r="G860" s="14"/>
    </row>
    <row r="861">
      <c r="B861" s="11"/>
      <c r="C861" s="60"/>
      <c r="D861" s="31"/>
      <c r="E861" s="31"/>
      <c r="F861" s="56"/>
      <c r="G861" s="14"/>
    </row>
    <row r="862">
      <c r="B862" s="11"/>
      <c r="C862" s="60"/>
      <c r="D862" s="31"/>
      <c r="E862" s="31"/>
      <c r="F862" s="56"/>
      <c r="G862" s="14"/>
    </row>
    <row r="863">
      <c r="B863" s="11"/>
      <c r="C863" s="60"/>
      <c r="D863" s="31"/>
      <c r="E863" s="31"/>
      <c r="F863" s="56"/>
      <c r="G863" s="14"/>
    </row>
    <row r="864">
      <c r="B864" s="11"/>
      <c r="C864" s="60"/>
      <c r="D864" s="31"/>
      <c r="E864" s="31"/>
      <c r="F864" s="56"/>
      <c r="G864" s="14"/>
    </row>
    <row r="865">
      <c r="B865" s="11"/>
      <c r="C865" s="60"/>
      <c r="D865" s="31"/>
      <c r="E865" s="31"/>
      <c r="F865" s="56"/>
      <c r="G865" s="14"/>
    </row>
    <row r="866">
      <c r="B866" s="11"/>
      <c r="C866" s="60"/>
      <c r="D866" s="31"/>
      <c r="E866" s="31"/>
      <c r="F866" s="56"/>
      <c r="G866" s="14"/>
    </row>
    <row r="867">
      <c r="B867" s="11"/>
      <c r="C867" s="60"/>
      <c r="D867" s="31"/>
      <c r="E867" s="31"/>
      <c r="F867" s="56"/>
      <c r="G867" s="14"/>
    </row>
    <row r="868">
      <c r="B868" s="11"/>
      <c r="C868" s="60"/>
      <c r="D868" s="31"/>
      <c r="E868" s="31"/>
      <c r="F868" s="56"/>
      <c r="G868" s="14"/>
    </row>
    <row r="869">
      <c r="B869" s="11"/>
      <c r="C869" s="60"/>
      <c r="D869" s="31"/>
      <c r="E869" s="31"/>
      <c r="F869" s="56"/>
      <c r="G869" s="14"/>
    </row>
    <row r="870">
      <c r="B870" s="11"/>
      <c r="C870" s="60"/>
      <c r="D870" s="31"/>
      <c r="E870" s="31"/>
      <c r="F870" s="56"/>
      <c r="G870" s="14"/>
    </row>
    <row r="871">
      <c r="B871" s="11"/>
      <c r="C871" s="60"/>
      <c r="D871" s="31"/>
      <c r="E871" s="31"/>
      <c r="F871" s="56"/>
      <c r="G871" s="14"/>
    </row>
    <row r="872">
      <c r="B872" s="11"/>
      <c r="C872" s="60"/>
      <c r="D872" s="31"/>
      <c r="E872" s="31"/>
      <c r="F872" s="56"/>
      <c r="G872" s="14"/>
    </row>
    <row r="873">
      <c r="B873" s="11"/>
      <c r="C873" s="60"/>
      <c r="D873" s="31"/>
      <c r="E873" s="31"/>
      <c r="F873" s="56"/>
      <c r="G873" s="14"/>
    </row>
    <row r="874">
      <c r="B874" s="11"/>
      <c r="C874" s="60"/>
      <c r="D874" s="31"/>
      <c r="E874" s="31"/>
      <c r="F874" s="56"/>
      <c r="G874" s="14"/>
    </row>
    <row r="875">
      <c r="B875" s="11"/>
      <c r="C875" s="60"/>
      <c r="D875" s="31"/>
      <c r="E875" s="31"/>
      <c r="F875" s="56"/>
      <c r="G875" s="14"/>
    </row>
    <row r="876">
      <c r="B876" s="11"/>
      <c r="C876" s="60"/>
      <c r="D876" s="31"/>
      <c r="E876" s="31"/>
      <c r="F876" s="56"/>
      <c r="G876" s="14"/>
    </row>
    <row r="877">
      <c r="B877" s="11"/>
      <c r="C877" s="60"/>
      <c r="D877" s="31"/>
      <c r="E877" s="31"/>
      <c r="F877" s="56"/>
      <c r="G877" s="14"/>
    </row>
    <row r="878">
      <c r="B878" s="11"/>
      <c r="C878" s="60"/>
      <c r="D878" s="31"/>
      <c r="E878" s="31"/>
      <c r="F878" s="56"/>
      <c r="G878" s="14"/>
    </row>
    <row r="879">
      <c r="B879" s="11"/>
      <c r="C879" s="60"/>
      <c r="D879" s="31"/>
      <c r="E879" s="31"/>
      <c r="F879" s="56"/>
      <c r="G879" s="14"/>
    </row>
    <row r="880">
      <c r="B880" s="11"/>
      <c r="C880" s="60"/>
      <c r="D880" s="31"/>
      <c r="E880" s="31"/>
      <c r="F880" s="56"/>
      <c r="G880" s="14"/>
    </row>
    <row r="881">
      <c r="B881" s="11"/>
      <c r="C881" s="60"/>
      <c r="D881" s="31"/>
      <c r="E881" s="31"/>
      <c r="F881" s="56"/>
      <c r="G881" s="14"/>
    </row>
    <row r="882">
      <c r="B882" s="11"/>
      <c r="C882" s="60"/>
      <c r="D882" s="31"/>
      <c r="E882" s="31"/>
      <c r="F882" s="56"/>
      <c r="G882" s="14"/>
    </row>
    <row r="883">
      <c r="B883" s="11"/>
      <c r="C883" s="60"/>
      <c r="D883" s="31"/>
      <c r="E883" s="31"/>
      <c r="F883" s="56"/>
      <c r="G883" s="14"/>
    </row>
    <row r="884">
      <c r="B884" s="11"/>
      <c r="C884" s="60"/>
      <c r="D884" s="31"/>
      <c r="E884" s="31"/>
      <c r="F884" s="56"/>
      <c r="G884" s="14"/>
    </row>
    <row r="885">
      <c r="B885" s="11"/>
      <c r="C885" s="60"/>
      <c r="D885" s="31"/>
      <c r="E885" s="31"/>
      <c r="F885" s="56"/>
      <c r="G885" s="14"/>
    </row>
    <row r="886">
      <c r="B886" s="11"/>
      <c r="C886" s="60"/>
      <c r="D886" s="31"/>
      <c r="E886" s="31"/>
      <c r="F886" s="56"/>
      <c r="G886" s="14"/>
    </row>
    <row r="887">
      <c r="B887" s="11"/>
      <c r="C887" s="60"/>
      <c r="D887" s="31"/>
      <c r="E887" s="31"/>
      <c r="F887" s="56"/>
      <c r="G887" s="14"/>
    </row>
    <row r="888">
      <c r="B888" s="11"/>
      <c r="C888" s="60"/>
      <c r="D888" s="31"/>
      <c r="E888" s="31"/>
      <c r="F888" s="56"/>
      <c r="G888" s="14"/>
    </row>
    <row r="889">
      <c r="B889" s="11"/>
      <c r="C889" s="60"/>
      <c r="D889" s="31"/>
      <c r="E889" s="31"/>
      <c r="F889" s="56"/>
      <c r="G889" s="14"/>
    </row>
    <row r="890">
      <c r="B890" s="11"/>
      <c r="C890" s="60"/>
      <c r="D890" s="31"/>
      <c r="E890" s="31"/>
      <c r="F890" s="56"/>
      <c r="G890" s="14"/>
    </row>
    <row r="891">
      <c r="B891" s="11"/>
      <c r="C891" s="60"/>
      <c r="D891" s="31"/>
      <c r="E891" s="31"/>
      <c r="F891" s="56"/>
      <c r="G891" s="14"/>
    </row>
    <row r="892">
      <c r="B892" s="11"/>
      <c r="C892" s="60"/>
      <c r="D892" s="31"/>
      <c r="E892" s="31"/>
      <c r="F892" s="56"/>
      <c r="G892" s="14"/>
    </row>
    <row r="893">
      <c r="B893" s="11"/>
      <c r="C893" s="60"/>
      <c r="D893" s="31"/>
      <c r="E893" s="31"/>
      <c r="F893" s="56"/>
      <c r="G893" s="14"/>
    </row>
    <row r="894">
      <c r="B894" s="11"/>
      <c r="C894" s="60"/>
      <c r="D894" s="31"/>
      <c r="E894" s="31"/>
      <c r="F894" s="56"/>
      <c r="G894" s="14"/>
    </row>
    <row r="895">
      <c r="B895" s="11"/>
      <c r="C895" s="60"/>
      <c r="D895" s="31"/>
      <c r="E895" s="31"/>
      <c r="F895" s="56"/>
      <c r="G895" s="14"/>
    </row>
    <row r="896">
      <c r="B896" s="11"/>
      <c r="C896" s="60"/>
      <c r="D896" s="31"/>
      <c r="E896" s="31"/>
      <c r="F896" s="56"/>
      <c r="G896" s="14"/>
    </row>
    <row r="897">
      <c r="B897" s="11"/>
      <c r="C897" s="60"/>
      <c r="D897" s="31"/>
      <c r="E897" s="31"/>
      <c r="F897" s="56"/>
      <c r="G897" s="14"/>
    </row>
    <row r="898">
      <c r="B898" s="11"/>
      <c r="C898" s="60"/>
      <c r="D898" s="31"/>
      <c r="E898" s="31"/>
      <c r="F898" s="56"/>
      <c r="G898" s="14"/>
    </row>
    <row r="899">
      <c r="B899" s="11"/>
      <c r="C899" s="60"/>
      <c r="D899" s="31"/>
      <c r="E899" s="31"/>
      <c r="F899" s="56"/>
      <c r="G899" s="14"/>
    </row>
    <row r="900">
      <c r="B900" s="11"/>
      <c r="C900" s="60"/>
      <c r="D900" s="31"/>
      <c r="E900" s="31"/>
      <c r="F900" s="56"/>
      <c r="G900" s="14"/>
    </row>
    <row r="901">
      <c r="B901" s="11"/>
      <c r="C901" s="60"/>
      <c r="D901" s="31"/>
      <c r="E901" s="31"/>
      <c r="F901" s="56"/>
      <c r="G901" s="14"/>
    </row>
    <row r="902">
      <c r="B902" s="11"/>
      <c r="C902" s="60"/>
      <c r="D902" s="31"/>
      <c r="E902" s="31"/>
      <c r="F902" s="56"/>
      <c r="G902" s="14"/>
    </row>
    <row r="903">
      <c r="B903" s="11"/>
      <c r="C903" s="60"/>
      <c r="D903" s="31"/>
      <c r="E903" s="31"/>
      <c r="F903" s="56"/>
      <c r="G903" s="14"/>
    </row>
    <row r="904">
      <c r="B904" s="11"/>
      <c r="C904" s="60"/>
      <c r="D904" s="31"/>
      <c r="E904" s="31"/>
      <c r="F904" s="56"/>
      <c r="G904" s="14"/>
    </row>
    <row r="905">
      <c r="B905" s="11"/>
      <c r="C905" s="60"/>
      <c r="D905" s="31"/>
      <c r="E905" s="31"/>
      <c r="F905" s="56"/>
      <c r="G905" s="14"/>
    </row>
    <row r="906">
      <c r="B906" s="11"/>
      <c r="C906" s="60"/>
      <c r="D906" s="31"/>
      <c r="E906" s="31"/>
      <c r="F906" s="56"/>
      <c r="G906" s="14"/>
    </row>
    <row r="907">
      <c r="B907" s="11"/>
      <c r="C907" s="60"/>
      <c r="D907" s="31"/>
      <c r="E907" s="31"/>
      <c r="F907" s="56"/>
      <c r="G907" s="14"/>
    </row>
    <row r="908">
      <c r="B908" s="11"/>
      <c r="C908" s="60"/>
      <c r="D908" s="31"/>
      <c r="E908" s="31"/>
      <c r="F908" s="56"/>
      <c r="G908" s="14"/>
    </row>
    <row r="909">
      <c r="B909" s="11"/>
      <c r="C909" s="60"/>
      <c r="D909" s="31"/>
      <c r="E909" s="31"/>
      <c r="F909" s="56"/>
      <c r="G909" s="14"/>
    </row>
    <row r="910">
      <c r="B910" s="11"/>
      <c r="C910" s="60"/>
      <c r="D910" s="31"/>
      <c r="E910" s="31"/>
      <c r="F910" s="56"/>
      <c r="G910" s="14"/>
    </row>
    <row r="911">
      <c r="B911" s="11"/>
      <c r="C911" s="60"/>
      <c r="D911" s="31"/>
      <c r="E911" s="31"/>
      <c r="F911" s="56"/>
      <c r="G911" s="14"/>
    </row>
    <row r="912">
      <c r="B912" s="11"/>
      <c r="C912" s="60"/>
      <c r="D912" s="31"/>
      <c r="E912" s="31"/>
      <c r="F912" s="56"/>
      <c r="G912" s="14"/>
    </row>
    <row r="913">
      <c r="B913" s="11"/>
      <c r="C913" s="60"/>
      <c r="D913" s="31"/>
      <c r="E913" s="31"/>
      <c r="F913" s="56"/>
      <c r="G913" s="14"/>
    </row>
    <row r="914">
      <c r="B914" s="11"/>
      <c r="C914" s="60"/>
      <c r="D914" s="31"/>
      <c r="E914" s="31"/>
      <c r="F914" s="56"/>
      <c r="G914" s="14"/>
    </row>
    <row r="915">
      <c r="B915" s="11"/>
      <c r="C915" s="60"/>
      <c r="D915" s="31"/>
      <c r="E915" s="31"/>
      <c r="F915" s="56"/>
      <c r="G915" s="14"/>
    </row>
    <row r="916">
      <c r="B916" s="11"/>
      <c r="C916" s="60"/>
      <c r="D916" s="31"/>
      <c r="E916" s="31"/>
      <c r="F916" s="56"/>
      <c r="G916" s="14"/>
    </row>
    <row r="917">
      <c r="B917" s="11"/>
      <c r="C917" s="60"/>
      <c r="D917" s="31"/>
      <c r="E917" s="31"/>
      <c r="F917" s="56"/>
      <c r="G917" s="14"/>
    </row>
    <row r="918">
      <c r="B918" s="11"/>
      <c r="C918" s="60"/>
      <c r="D918" s="31"/>
      <c r="E918" s="31"/>
      <c r="F918" s="56"/>
      <c r="G918" s="14"/>
    </row>
    <row r="919">
      <c r="B919" s="11"/>
      <c r="C919" s="60"/>
      <c r="D919" s="31"/>
      <c r="E919" s="31"/>
      <c r="F919" s="56"/>
      <c r="G919" s="14"/>
    </row>
    <row r="920">
      <c r="B920" s="11"/>
      <c r="C920" s="60"/>
      <c r="D920" s="31"/>
      <c r="E920" s="31"/>
      <c r="F920" s="56"/>
      <c r="G920" s="14"/>
    </row>
    <row r="921">
      <c r="B921" s="11"/>
      <c r="C921" s="60"/>
      <c r="D921" s="31"/>
      <c r="E921" s="31"/>
      <c r="F921" s="56"/>
      <c r="G921" s="14"/>
    </row>
    <row r="922">
      <c r="B922" s="11"/>
      <c r="C922" s="60"/>
      <c r="D922" s="31"/>
      <c r="E922" s="31"/>
      <c r="F922" s="56"/>
      <c r="G922" s="14"/>
    </row>
    <row r="923">
      <c r="B923" s="11"/>
      <c r="C923" s="60"/>
      <c r="D923" s="31"/>
      <c r="E923" s="31"/>
      <c r="F923" s="56"/>
      <c r="G923" s="14"/>
    </row>
    <row r="924">
      <c r="B924" s="11"/>
      <c r="C924" s="60"/>
      <c r="D924" s="31"/>
      <c r="E924" s="31"/>
      <c r="F924" s="56"/>
      <c r="G924" s="14"/>
    </row>
    <row r="925">
      <c r="B925" s="11"/>
      <c r="C925" s="60"/>
      <c r="D925" s="31"/>
      <c r="E925" s="31"/>
      <c r="F925" s="56"/>
      <c r="G925" s="14"/>
    </row>
    <row r="926">
      <c r="B926" s="11"/>
      <c r="C926" s="60"/>
      <c r="D926" s="31"/>
      <c r="E926" s="31"/>
      <c r="F926" s="56"/>
      <c r="G926" s="14"/>
    </row>
    <row r="927">
      <c r="B927" s="11"/>
      <c r="C927" s="60"/>
      <c r="D927" s="31"/>
      <c r="E927" s="31"/>
      <c r="F927" s="56"/>
      <c r="G927" s="14"/>
    </row>
    <row r="928">
      <c r="B928" s="11"/>
      <c r="C928" s="60"/>
      <c r="D928" s="31"/>
      <c r="E928" s="31"/>
      <c r="F928" s="56"/>
      <c r="G928" s="14"/>
    </row>
    <row r="929">
      <c r="B929" s="11"/>
      <c r="C929" s="60"/>
      <c r="D929" s="31"/>
      <c r="E929" s="31"/>
      <c r="F929" s="56"/>
      <c r="G929" s="14"/>
    </row>
    <row r="930">
      <c r="B930" s="11"/>
      <c r="C930" s="60"/>
      <c r="D930" s="31"/>
      <c r="E930" s="31"/>
      <c r="F930" s="56"/>
      <c r="G930" s="14"/>
    </row>
    <row r="931">
      <c r="B931" s="11"/>
      <c r="C931" s="60"/>
      <c r="D931" s="31"/>
      <c r="E931" s="31"/>
      <c r="F931" s="56"/>
      <c r="G931" s="14"/>
    </row>
    <row r="932">
      <c r="B932" s="11"/>
      <c r="C932" s="60"/>
      <c r="D932" s="31"/>
      <c r="E932" s="31"/>
      <c r="F932" s="56"/>
      <c r="G932" s="14"/>
    </row>
    <row r="933">
      <c r="B933" s="11"/>
      <c r="C933" s="60"/>
      <c r="D933" s="31"/>
      <c r="E933" s="31"/>
      <c r="F933" s="56"/>
      <c r="G933" s="14"/>
    </row>
    <row r="934">
      <c r="B934" s="11"/>
      <c r="C934" s="60"/>
      <c r="D934" s="31"/>
      <c r="E934" s="31"/>
      <c r="F934" s="56"/>
      <c r="G934" s="14"/>
    </row>
    <row r="935">
      <c r="B935" s="11"/>
      <c r="C935" s="60"/>
      <c r="D935" s="31"/>
      <c r="E935" s="31"/>
      <c r="F935" s="56"/>
      <c r="G935" s="14"/>
    </row>
    <row r="936">
      <c r="B936" s="11"/>
      <c r="C936" s="60"/>
      <c r="D936" s="31"/>
      <c r="E936" s="31"/>
      <c r="F936" s="56"/>
      <c r="G936" s="14"/>
    </row>
    <row r="937">
      <c r="B937" s="11"/>
      <c r="C937" s="60"/>
      <c r="D937" s="31"/>
      <c r="E937" s="31"/>
      <c r="F937" s="56"/>
      <c r="G937" s="14"/>
    </row>
    <row r="938">
      <c r="B938" s="11"/>
      <c r="C938" s="60"/>
      <c r="D938" s="31"/>
      <c r="E938" s="31"/>
      <c r="F938" s="56"/>
      <c r="G938" s="14"/>
    </row>
    <row r="939">
      <c r="B939" s="11"/>
      <c r="C939" s="60"/>
      <c r="D939" s="31"/>
      <c r="E939" s="31"/>
      <c r="F939" s="56"/>
      <c r="G939" s="14"/>
    </row>
    <row r="940">
      <c r="B940" s="11"/>
      <c r="C940" s="60"/>
      <c r="D940" s="31"/>
      <c r="E940" s="31"/>
      <c r="F940" s="56"/>
      <c r="G940" s="14"/>
    </row>
    <row r="941">
      <c r="B941" s="11"/>
      <c r="C941" s="60"/>
      <c r="D941" s="31"/>
      <c r="E941" s="31"/>
      <c r="F941" s="56"/>
      <c r="G941" s="14"/>
    </row>
    <row r="942">
      <c r="B942" s="11"/>
      <c r="C942" s="60"/>
      <c r="D942" s="31"/>
      <c r="E942" s="31"/>
      <c r="F942" s="56"/>
      <c r="G942" s="14"/>
    </row>
    <row r="943">
      <c r="B943" s="11"/>
      <c r="C943" s="60"/>
      <c r="D943" s="31"/>
      <c r="E943" s="31"/>
      <c r="F943" s="56"/>
      <c r="G943" s="14"/>
    </row>
    <row r="944">
      <c r="B944" s="11"/>
      <c r="C944" s="60"/>
      <c r="D944" s="31"/>
      <c r="E944" s="31"/>
      <c r="F944" s="56"/>
      <c r="G944" s="14"/>
    </row>
    <row r="945">
      <c r="B945" s="11"/>
      <c r="C945" s="60"/>
      <c r="D945" s="31"/>
      <c r="E945" s="31"/>
      <c r="F945" s="56"/>
      <c r="G945" s="14"/>
    </row>
    <row r="946">
      <c r="B946" s="11"/>
      <c r="C946" s="60"/>
      <c r="D946" s="31"/>
      <c r="E946" s="31"/>
      <c r="F946" s="56"/>
      <c r="G946" s="14"/>
    </row>
    <row r="947">
      <c r="B947" s="11"/>
      <c r="C947" s="60"/>
      <c r="D947" s="31"/>
      <c r="E947" s="31"/>
      <c r="F947" s="56"/>
      <c r="G947" s="14"/>
    </row>
    <row r="948">
      <c r="B948" s="11"/>
      <c r="C948" s="60"/>
      <c r="D948" s="31"/>
      <c r="E948" s="31"/>
      <c r="F948" s="56"/>
      <c r="G948" s="14"/>
    </row>
    <row r="949">
      <c r="B949" s="11"/>
      <c r="C949" s="60"/>
      <c r="D949" s="31"/>
      <c r="E949" s="31"/>
      <c r="F949" s="56"/>
      <c r="G949" s="14"/>
    </row>
    <row r="950">
      <c r="B950" s="11"/>
      <c r="C950" s="60"/>
      <c r="D950" s="31"/>
      <c r="E950" s="31"/>
      <c r="F950" s="56"/>
      <c r="G950" s="14"/>
    </row>
    <row r="951">
      <c r="B951" s="11"/>
      <c r="C951" s="60"/>
      <c r="D951" s="31"/>
      <c r="E951" s="31"/>
      <c r="F951" s="56"/>
      <c r="G951" s="14"/>
    </row>
    <row r="952">
      <c r="B952" s="11"/>
      <c r="C952" s="60"/>
      <c r="D952" s="31"/>
      <c r="E952" s="31"/>
      <c r="F952" s="56"/>
      <c r="G952" s="14"/>
    </row>
    <row r="953">
      <c r="B953" s="11"/>
      <c r="C953" s="60"/>
      <c r="D953" s="31"/>
      <c r="E953" s="31"/>
      <c r="F953" s="56"/>
      <c r="G953" s="14"/>
    </row>
    <row r="954">
      <c r="B954" s="11"/>
      <c r="C954" s="60"/>
      <c r="D954" s="31"/>
      <c r="E954" s="31"/>
      <c r="F954" s="56"/>
      <c r="G954" s="14"/>
    </row>
    <row r="955">
      <c r="B955" s="11"/>
      <c r="C955" s="60"/>
      <c r="D955" s="31"/>
      <c r="E955" s="31"/>
      <c r="F955" s="56"/>
      <c r="G955" s="14"/>
    </row>
    <row r="956">
      <c r="B956" s="11"/>
      <c r="C956" s="60"/>
      <c r="D956" s="31"/>
      <c r="E956" s="31"/>
      <c r="F956" s="56"/>
      <c r="G956" s="14"/>
    </row>
    <row r="957">
      <c r="B957" s="11"/>
      <c r="C957" s="60"/>
      <c r="D957" s="31"/>
      <c r="E957" s="31"/>
      <c r="F957" s="56"/>
      <c r="G957" s="14"/>
    </row>
    <row r="958">
      <c r="B958" s="11"/>
      <c r="C958" s="60"/>
      <c r="D958" s="31"/>
      <c r="E958" s="31"/>
      <c r="F958" s="56"/>
      <c r="G958" s="14"/>
    </row>
    <row r="959">
      <c r="B959" s="11"/>
      <c r="C959" s="60"/>
      <c r="D959" s="31"/>
      <c r="E959" s="31"/>
      <c r="F959" s="56"/>
      <c r="G959" s="14"/>
    </row>
    <row r="960">
      <c r="B960" s="11"/>
      <c r="C960" s="60"/>
      <c r="D960" s="31"/>
      <c r="E960" s="31"/>
      <c r="F960" s="56"/>
      <c r="G960" s="14"/>
    </row>
    <row r="961">
      <c r="B961" s="11"/>
      <c r="C961" s="60"/>
      <c r="D961" s="31"/>
      <c r="E961" s="31"/>
      <c r="F961" s="56"/>
      <c r="G961" s="14"/>
    </row>
    <row r="962">
      <c r="B962" s="11"/>
      <c r="C962" s="60"/>
      <c r="D962" s="31"/>
      <c r="E962" s="31"/>
      <c r="F962" s="56"/>
      <c r="G962" s="14"/>
    </row>
    <row r="963">
      <c r="B963" s="11"/>
      <c r="C963" s="60"/>
      <c r="D963" s="31"/>
      <c r="E963" s="31"/>
      <c r="F963" s="56"/>
      <c r="G963" s="14"/>
    </row>
    <row r="964">
      <c r="B964" s="11"/>
      <c r="C964" s="60"/>
      <c r="D964" s="31"/>
      <c r="E964" s="31"/>
      <c r="F964" s="56"/>
      <c r="G964" s="14"/>
    </row>
    <row r="965">
      <c r="B965" s="11"/>
      <c r="C965" s="60"/>
      <c r="D965" s="31"/>
      <c r="E965" s="31"/>
      <c r="F965" s="56"/>
      <c r="G965" s="14"/>
    </row>
    <row r="966">
      <c r="B966" s="11"/>
      <c r="C966" s="60"/>
      <c r="D966" s="31"/>
      <c r="E966" s="31"/>
      <c r="F966" s="56"/>
      <c r="G966" s="14"/>
    </row>
    <row r="967">
      <c r="B967" s="11"/>
      <c r="C967" s="60"/>
      <c r="D967" s="31"/>
      <c r="E967" s="31"/>
      <c r="F967" s="56"/>
      <c r="G967" s="14"/>
    </row>
    <row r="968">
      <c r="B968" s="11"/>
      <c r="C968" s="60"/>
      <c r="D968" s="31"/>
      <c r="E968" s="31"/>
      <c r="F968" s="56"/>
      <c r="G968" s="14"/>
    </row>
    <row r="969">
      <c r="B969" s="11"/>
      <c r="C969" s="60"/>
      <c r="D969" s="31"/>
      <c r="E969" s="31"/>
      <c r="F969" s="56"/>
      <c r="G969" s="14"/>
    </row>
    <row r="970">
      <c r="B970" s="11"/>
      <c r="C970" s="60"/>
      <c r="D970" s="31"/>
      <c r="E970" s="31"/>
      <c r="F970" s="56"/>
      <c r="G970" s="14"/>
    </row>
    <row r="971">
      <c r="B971" s="11"/>
      <c r="C971" s="60"/>
      <c r="D971" s="31"/>
      <c r="E971" s="31"/>
      <c r="F971" s="56"/>
      <c r="G971" s="14"/>
    </row>
    <row r="972">
      <c r="B972" s="11"/>
      <c r="C972" s="60"/>
      <c r="D972" s="31"/>
      <c r="E972" s="31"/>
      <c r="F972" s="56"/>
      <c r="G972" s="14"/>
    </row>
    <row r="973">
      <c r="B973" s="11"/>
      <c r="C973" s="60"/>
      <c r="D973" s="31"/>
      <c r="E973" s="31"/>
      <c r="F973" s="56"/>
      <c r="G973" s="14"/>
    </row>
    <row r="974">
      <c r="B974" s="11"/>
      <c r="C974" s="60"/>
      <c r="D974" s="31"/>
      <c r="E974" s="31"/>
      <c r="F974" s="56"/>
      <c r="G974" s="14"/>
    </row>
    <row r="975">
      <c r="B975" s="11"/>
      <c r="C975" s="60"/>
      <c r="D975" s="31"/>
      <c r="E975" s="31"/>
      <c r="F975" s="56"/>
      <c r="G975" s="14"/>
    </row>
    <row r="976">
      <c r="B976" s="11"/>
      <c r="C976" s="60"/>
      <c r="D976" s="31"/>
      <c r="E976" s="31"/>
      <c r="F976" s="56"/>
      <c r="G976" s="14"/>
    </row>
    <row r="977">
      <c r="B977" s="11"/>
      <c r="C977" s="60"/>
      <c r="D977" s="31"/>
      <c r="E977" s="31"/>
      <c r="F977" s="56"/>
      <c r="G977" s="14"/>
    </row>
    <row r="978">
      <c r="B978" s="11"/>
      <c r="C978" s="60"/>
      <c r="D978" s="31"/>
      <c r="E978" s="31"/>
      <c r="F978" s="56"/>
      <c r="G978" s="14"/>
    </row>
    <row r="979">
      <c r="B979" s="11"/>
      <c r="C979" s="60"/>
      <c r="D979" s="31"/>
      <c r="E979" s="31"/>
      <c r="F979" s="56"/>
      <c r="G979" s="14"/>
    </row>
    <row r="980">
      <c r="B980" s="11"/>
      <c r="C980" s="60"/>
      <c r="D980" s="31"/>
      <c r="E980" s="31"/>
      <c r="F980" s="56"/>
      <c r="G980" s="14"/>
    </row>
    <row r="981">
      <c r="B981" s="11"/>
      <c r="C981" s="60"/>
      <c r="D981" s="31"/>
      <c r="E981" s="31"/>
      <c r="F981" s="56"/>
      <c r="G981" s="14"/>
    </row>
    <row r="982">
      <c r="B982" s="11"/>
      <c r="C982" s="60"/>
      <c r="D982" s="31"/>
      <c r="E982" s="31"/>
      <c r="F982" s="56"/>
      <c r="G982" s="14"/>
    </row>
    <row r="983">
      <c r="B983" s="11"/>
      <c r="C983" s="60"/>
      <c r="D983" s="31"/>
      <c r="E983" s="31"/>
      <c r="F983" s="56"/>
      <c r="G983" s="14"/>
    </row>
    <row r="984">
      <c r="B984" s="11"/>
      <c r="C984" s="60"/>
      <c r="D984" s="31"/>
      <c r="E984" s="31"/>
      <c r="F984" s="56"/>
      <c r="G984" s="14"/>
    </row>
    <row r="985">
      <c r="B985" s="11"/>
      <c r="C985" s="60"/>
      <c r="D985" s="31"/>
      <c r="E985" s="31"/>
      <c r="F985" s="56"/>
      <c r="G985" s="14"/>
    </row>
    <row r="986">
      <c r="B986" s="11"/>
      <c r="C986" s="60"/>
      <c r="D986" s="31"/>
      <c r="E986" s="31"/>
      <c r="F986" s="56"/>
      <c r="G986" s="14"/>
    </row>
    <row r="987">
      <c r="B987" s="11"/>
      <c r="C987" s="60"/>
      <c r="D987" s="31"/>
      <c r="E987" s="31"/>
      <c r="F987" s="56"/>
      <c r="G987" s="14"/>
    </row>
    <row r="988">
      <c r="B988" s="11"/>
      <c r="C988" s="60"/>
      <c r="D988" s="31"/>
      <c r="E988" s="31"/>
      <c r="F988" s="56"/>
      <c r="G988" s="14"/>
    </row>
    <row r="989">
      <c r="B989" s="11"/>
      <c r="C989" s="60"/>
      <c r="D989" s="31"/>
      <c r="E989" s="31"/>
      <c r="F989" s="56"/>
      <c r="G989" s="14"/>
    </row>
    <row r="990">
      <c r="B990" s="11"/>
      <c r="C990" s="60"/>
      <c r="D990" s="31"/>
      <c r="E990" s="31"/>
      <c r="F990" s="56"/>
      <c r="G990" s="14"/>
    </row>
    <row r="991">
      <c r="B991" s="11"/>
      <c r="C991" s="60"/>
      <c r="D991" s="31"/>
      <c r="E991" s="31"/>
      <c r="F991" s="56"/>
      <c r="G991" s="14"/>
    </row>
    <row r="992">
      <c r="B992" s="11"/>
      <c r="C992" s="60"/>
      <c r="D992" s="31"/>
      <c r="E992" s="31"/>
      <c r="F992" s="56"/>
      <c r="G992" s="14"/>
    </row>
    <row r="993">
      <c r="B993" s="11"/>
      <c r="C993" s="60"/>
      <c r="D993" s="31"/>
      <c r="E993" s="31"/>
      <c r="F993" s="56"/>
      <c r="G993" s="14"/>
    </row>
    <row r="994">
      <c r="B994" s="11"/>
      <c r="C994" s="60"/>
      <c r="D994" s="31"/>
      <c r="E994" s="31"/>
      <c r="F994" s="56"/>
      <c r="G994" s="14"/>
    </row>
    <row r="995">
      <c r="B995" s="11"/>
      <c r="C995" s="60"/>
      <c r="D995" s="31"/>
      <c r="E995" s="31"/>
      <c r="F995" s="56"/>
      <c r="G995" s="14"/>
    </row>
    <row r="996">
      <c r="B996" s="11"/>
      <c r="C996" s="60"/>
      <c r="D996" s="31"/>
      <c r="E996" s="31"/>
      <c r="F996" s="56"/>
      <c r="G996" s="14"/>
    </row>
    <row r="997">
      <c r="B997" s="11"/>
      <c r="C997" s="60"/>
      <c r="D997" s="31"/>
      <c r="E997" s="31"/>
      <c r="F997" s="56"/>
      <c r="G997" s="14"/>
    </row>
    <row r="998">
      <c r="B998" s="11"/>
      <c r="C998" s="60"/>
      <c r="D998" s="31"/>
      <c r="E998" s="31"/>
      <c r="F998" s="56"/>
      <c r="G998" s="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" t="s">
        <v>79</v>
      </c>
      <c r="B1" s="3" t="s">
        <v>1</v>
      </c>
      <c r="C1" s="1" t="s">
        <v>35</v>
      </c>
      <c r="D1" s="55"/>
    </row>
    <row r="2">
      <c r="B2" s="7"/>
      <c r="C2" s="28"/>
    </row>
    <row r="3">
      <c r="B3" s="7"/>
      <c r="C3" s="2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19</v>
      </c>
    </row>
    <row r="2">
      <c r="A2" s="5" t="s">
        <v>20</v>
      </c>
      <c r="B2" s="61" t="s">
        <v>95</v>
      </c>
    </row>
    <row r="3">
      <c r="A3" s="5" t="s">
        <v>31</v>
      </c>
      <c r="B3" s="61" t="s">
        <v>96</v>
      </c>
    </row>
    <row r="4">
      <c r="A4" s="5" t="s">
        <v>33</v>
      </c>
      <c r="B4" s="61" t="s">
        <v>97</v>
      </c>
    </row>
    <row r="5">
      <c r="A5" s="5" t="s">
        <v>32</v>
      </c>
      <c r="B5" s="61" t="s">
        <v>96</v>
      </c>
    </row>
    <row r="6">
      <c r="A6" s="5" t="s">
        <v>29</v>
      </c>
      <c r="B6" s="61" t="s">
        <v>98</v>
      </c>
    </row>
    <row r="7">
      <c r="A7" s="5" t="s">
        <v>21</v>
      </c>
      <c r="B7" s="61" t="s">
        <v>99</v>
      </c>
    </row>
    <row r="8">
      <c r="A8" s="5" t="s">
        <v>100</v>
      </c>
      <c r="B8" s="61" t="s">
        <v>97</v>
      </c>
    </row>
    <row r="9">
      <c r="A9" s="5" t="s">
        <v>23</v>
      </c>
      <c r="B9" s="62" t="s">
        <v>101</v>
      </c>
    </row>
    <row r="10">
      <c r="A10" s="5" t="s">
        <v>22</v>
      </c>
      <c r="B10" s="61" t="s">
        <v>96</v>
      </c>
    </row>
    <row r="11">
      <c r="A11" s="5" t="s">
        <v>24</v>
      </c>
      <c r="B11" s="61" t="s">
        <v>102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